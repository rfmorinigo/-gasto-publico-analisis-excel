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data_model" sheetId="2" r:id="rId5"/>
    <sheet state="visible" name="clean_data" sheetId="3" r:id="rId6"/>
    <sheet state="visible" name="analysis" sheetId="4" r:id="rId7"/>
    <sheet state="visible" name="dashboard" sheetId="5" r:id="rId8"/>
  </sheets>
  <definedNames/>
  <calcPr/>
</workbook>
</file>

<file path=xl/sharedStrings.xml><?xml version="1.0" encoding="utf-8"?>
<sst xmlns="http://schemas.openxmlformats.org/spreadsheetml/2006/main" count="2405" uniqueCount="70">
  <si>
    <t>indice_tiempo</t>
  </si>
  <si>
    <t>gpc_pib</t>
  </si>
  <si>
    <t>gpc_funcionamiento_estado_pib</t>
  </si>
  <si>
    <t>gpc_administracion_general_pib</t>
  </si>
  <si>
    <t>gpc_justicia_pib</t>
  </si>
  <si>
    <t>gpc_defensa_seguridad_pib</t>
  </si>
  <si>
    <t>gpc_servicios_sociales_pib</t>
  </si>
  <si>
    <t>gpc_educacion_basica_pib</t>
  </si>
  <si>
    <t>gpc_educacion_universitaria_pib</t>
  </si>
  <si>
    <t>gpc_ciencia_tecnica_pib</t>
  </si>
  <si>
    <t>gpc_cultura_pib</t>
  </si>
  <si>
    <t>gpc_educacion_cultura_sin_discriminar_pib</t>
  </si>
  <si>
    <t>gpc_atencion_salud_pib</t>
  </si>
  <si>
    <t>gpc_obras_sociales_salud_pib</t>
  </si>
  <si>
    <t>gpc_inssjyp_salud_pib</t>
  </si>
  <si>
    <t>gpc_agua_alcantarillado_pib</t>
  </si>
  <si>
    <t>gpc_vivienda_urbanismo_pib</t>
  </si>
  <si>
    <t>gpc_promocion_asistencia_social_pib</t>
  </si>
  <si>
    <t>gpc_obras_sociales_prestaciones_pib</t>
  </si>
  <si>
    <t>gpc_inssjyp_prestaciones_pib</t>
  </si>
  <si>
    <t>gpc_prevision_social_pib</t>
  </si>
  <si>
    <t>gpc_programas_empleo_pib</t>
  </si>
  <si>
    <t>gpc_asignaciones_familiares_pib</t>
  </si>
  <si>
    <t>gpc_otros_servicios_urbanos_pib</t>
  </si>
  <si>
    <t>gpc_servicios_economicos_pib</t>
  </si>
  <si>
    <t>gpc_produccion_primaria_pib</t>
  </si>
  <si>
    <t>gpc_energia_combustible_pib</t>
  </si>
  <si>
    <t>gpc_industria_pib</t>
  </si>
  <si>
    <t>gpc_transporte_pib</t>
  </si>
  <si>
    <t>gpc_comunicaciones_pib</t>
  </si>
  <si>
    <t>gpc_otros_servicios_economicos_pib</t>
  </si>
  <si>
    <t>gpc_servicios_deuda_publica_pib</t>
  </si>
  <si>
    <t>FECHA</t>
  </si>
  <si>
    <t>FUNCION</t>
  </si>
  <si>
    <t>GASTO (MM$)</t>
  </si>
  <si>
    <t>AÑO</t>
  </si>
  <si>
    <t>Funcionamiento Estado</t>
  </si>
  <si>
    <t>Administracion General</t>
  </si>
  <si>
    <t>Justicia</t>
  </si>
  <si>
    <t>Defensa Seguridad</t>
  </si>
  <si>
    <t>Servicios Sociales</t>
  </si>
  <si>
    <t>Educacion Basica</t>
  </si>
  <si>
    <t>Educacion Universitaria</t>
  </si>
  <si>
    <t>Ciencia Tecnica</t>
  </si>
  <si>
    <t>Cultura</t>
  </si>
  <si>
    <t>Educacion Cultura Sin Discriminar</t>
  </si>
  <si>
    <t>Atencion Salud</t>
  </si>
  <si>
    <t>Obras Sociales Salud</t>
  </si>
  <si>
    <t>Inssjyp Salud</t>
  </si>
  <si>
    <t>Agua Alcantarillado</t>
  </si>
  <si>
    <t>Vivienda Urbanismo</t>
  </si>
  <si>
    <t>Promocion Asistencia Social</t>
  </si>
  <si>
    <t>Obras Sociales Prestaciones</t>
  </si>
  <si>
    <t>Inssjyp Prestaciones</t>
  </si>
  <si>
    <t>Prevision Social</t>
  </si>
  <si>
    <t>Programas Empleo</t>
  </si>
  <si>
    <t>Asignaciones Familiares</t>
  </si>
  <si>
    <t>Otros Servicios Urbanos</t>
  </si>
  <si>
    <t>Servicios Economicos</t>
  </si>
  <si>
    <t>Produccion Primaria</t>
  </si>
  <si>
    <t>Energia Combustible</t>
  </si>
  <si>
    <t>Industria</t>
  </si>
  <si>
    <t>Transporte</t>
  </si>
  <si>
    <t>Comunicaciones</t>
  </si>
  <si>
    <t>Otros Servicios Economicos</t>
  </si>
  <si>
    <t>Servicios Deuda Publica</t>
  </si>
  <si>
    <t>PIB</t>
  </si>
  <si>
    <t/>
  </si>
  <si>
    <t>Análisis del gasto público por función</t>
  </si>
  <si>
    <t>Datos públicos – análisis exploratorio en Google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</si>
</sst>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i/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165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gasto por función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analysis!$B$1371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analysis!$B$1372:$B$1416</c:f>
              <c:numCache/>
            </c:numRef>
          </c:val>
          <c:smooth val="0"/>
        </c:ser>
        <c:ser>
          <c:idx val="1"/>
          <c:order val="1"/>
          <c:tx>
            <c:strRef>
              <c:f>analysis!$C$1371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analysis!$C$1372:$C$1416</c:f>
              <c:numCache/>
            </c:numRef>
          </c:val>
          <c:smooth val="0"/>
        </c:ser>
        <c:ser>
          <c:idx val="2"/>
          <c:order val="2"/>
          <c:tx>
            <c:strRef>
              <c:f>analysis!$D$1371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analysis!$D$1372:$D$1416</c:f>
              <c:numCache/>
            </c:numRef>
          </c:val>
          <c:smooth val="0"/>
        </c:ser>
        <c:ser>
          <c:idx val="3"/>
          <c:order val="3"/>
          <c:tx>
            <c:strRef>
              <c:f>analysis!$E$1371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analysis!$E$1372:$E$1416</c:f>
              <c:numCache/>
            </c:numRef>
          </c:val>
          <c:smooth val="0"/>
        </c:ser>
        <c:ser>
          <c:idx val="4"/>
          <c:order val="4"/>
          <c:tx>
            <c:strRef>
              <c:f>analysis!$F$1371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analysis!$F$1372:$F$1416</c:f>
              <c:numCache/>
            </c:numRef>
          </c:val>
          <c:smooth val="0"/>
        </c:ser>
        <c:ser>
          <c:idx val="5"/>
          <c:order val="5"/>
          <c:tx>
            <c:strRef>
              <c:f>analysis!$G$1371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analysis!$G$1372:$G$1416</c:f>
              <c:numCache/>
            </c:numRef>
          </c:val>
          <c:smooth val="0"/>
        </c:ser>
        <c:ser>
          <c:idx val="6"/>
          <c:order val="6"/>
          <c:tx>
            <c:strRef>
              <c:f>analysis!$H$1371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analysis!$H$1372:$H$1416</c:f>
              <c:numCache/>
            </c:numRef>
          </c:val>
          <c:smooth val="0"/>
        </c:ser>
        <c:ser>
          <c:idx val="7"/>
          <c:order val="7"/>
          <c:tx>
            <c:strRef>
              <c:f>analysis!$I$1371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analysis!$I$1372:$I$1416</c:f>
              <c:numCache/>
            </c:numRef>
          </c:val>
          <c:smooth val="0"/>
        </c:ser>
        <c:ser>
          <c:idx val="8"/>
          <c:order val="8"/>
          <c:tx>
            <c:strRef>
              <c:f>analysis!$J$1371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analysis!$J$1372:$J$1416</c:f>
              <c:numCache/>
            </c:numRef>
          </c:val>
          <c:smooth val="0"/>
        </c:ser>
        <c:ser>
          <c:idx val="9"/>
          <c:order val="9"/>
          <c:tx>
            <c:strRef>
              <c:f>analysis!$K$1371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analysis!$K$1372:$K$1416</c:f>
              <c:numCache/>
            </c:numRef>
          </c:val>
          <c:smooth val="0"/>
        </c:ser>
        <c:ser>
          <c:idx val="10"/>
          <c:order val="10"/>
          <c:tx>
            <c:strRef>
              <c:f>analysis!$L$1371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analysis!$L$1372:$L$1416</c:f>
              <c:numCache/>
            </c:numRef>
          </c:val>
          <c:smooth val="0"/>
        </c:ser>
        <c:ser>
          <c:idx val="11"/>
          <c:order val="11"/>
          <c:tx>
            <c:strRef>
              <c:f>analysis!$M$1371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analysis!$M$1372:$M$1416</c:f>
              <c:numCache/>
            </c:numRef>
          </c:val>
          <c:smooth val="0"/>
        </c:ser>
        <c:ser>
          <c:idx val="12"/>
          <c:order val="12"/>
          <c:tx>
            <c:strRef>
              <c:f>analysis!$N$1371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analysis!$N$1372:$N$1416</c:f>
              <c:numCache/>
            </c:numRef>
          </c:val>
          <c:smooth val="0"/>
        </c:ser>
        <c:ser>
          <c:idx val="13"/>
          <c:order val="13"/>
          <c:tx>
            <c:strRef>
              <c:f>analysis!$O$1371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analysis!$O$1372:$O$1416</c:f>
              <c:numCache/>
            </c:numRef>
          </c:val>
          <c:smooth val="0"/>
        </c:ser>
        <c:ser>
          <c:idx val="14"/>
          <c:order val="14"/>
          <c:tx>
            <c:strRef>
              <c:f>analysis!$P$1371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analysis!$P$1372:$P$1416</c:f>
              <c:numCache/>
            </c:numRef>
          </c:val>
          <c:smooth val="0"/>
        </c:ser>
        <c:ser>
          <c:idx val="15"/>
          <c:order val="15"/>
          <c:tx>
            <c:strRef>
              <c:f>analysis!$Q$1371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analysis!$Q$1372:$Q$1416</c:f>
              <c:numCache/>
            </c:numRef>
          </c:val>
          <c:smooth val="0"/>
        </c:ser>
        <c:ser>
          <c:idx val="16"/>
          <c:order val="16"/>
          <c:tx>
            <c:strRef>
              <c:f>analysis!$R$1371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analysis!$R$1372:$R$1416</c:f>
              <c:numCache/>
            </c:numRef>
          </c:val>
          <c:smooth val="0"/>
        </c:ser>
        <c:ser>
          <c:idx val="17"/>
          <c:order val="17"/>
          <c:tx>
            <c:strRef>
              <c:f>analysis!$S$1371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analysis!$S$1372:$S$1416</c:f>
              <c:numCache/>
            </c:numRef>
          </c:val>
          <c:smooth val="0"/>
        </c:ser>
        <c:ser>
          <c:idx val="18"/>
          <c:order val="18"/>
          <c:tx>
            <c:strRef>
              <c:f>analysis!$T$1371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analysis!$T$1372:$T$1416</c:f>
              <c:numCache/>
            </c:numRef>
          </c:val>
          <c:smooth val="0"/>
        </c:ser>
        <c:ser>
          <c:idx val="19"/>
          <c:order val="19"/>
          <c:tx>
            <c:strRef>
              <c:f>analysis!$U$1371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analysis!$U$1372:$U$1416</c:f>
              <c:numCache/>
            </c:numRef>
          </c:val>
          <c:smooth val="0"/>
        </c:ser>
        <c:ser>
          <c:idx val="20"/>
          <c:order val="20"/>
          <c:tx>
            <c:strRef>
              <c:f>analysis!$V$1371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analysis!$V$1372:$V$1416</c:f>
              <c:numCache/>
            </c:numRef>
          </c:val>
          <c:smooth val="0"/>
        </c:ser>
        <c:ser>
          <c:idx val="21"/>
          <c:order val="21"/>
          <c:tx>
            <c:strRef>
              <c:f>analysis!$W$1371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analysis!$W$1372:$W$1416</c:f>
              <c:numCache/>
            </c:numRef>
          </c:val>
          <c:smooth val="0"/>
        </c:ser>
        <c:ser>
          <c:idx val="22"/>
          <c:order val="22"/>
          <c:tx>
            <c:strRef>
              <c:f>analysis!$X$1371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analysis!$X$1372:$X$1416</c:f>
              <c:numCache/>
            </c:numRef>
          </c:val>
          <c:smooth val="0"/>
        </c:ser>
        <c:ser>
          <c:idx val="23"/>
          <c:order val="23"/>
          <c:tx>
            <c:strRef>
              <c:f>analysis!$Y$1371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analysis!$Y$1372:$Y$1416</c:f>
              <c:numCache/>
            </c:numRef>
          </c:val>
          <c:smooth val="0"/>
        </c:ser>
        <c:ser>
          <c:idx val="24"/>
          <c:order val="24"/>
          <c:tx>
            <c:strRef>
              <c:f>analysis!$Z$1371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analysis!$Z$1372:$Z$1416</c:f>
              <c:numCache/>
            </c:numRef>
          </c:val>
          <c:smooth val="0"/>
        </c:ser>
        <c:ser>
          <c:idx val="25"/>
          <c:order val="25"/>
          <c:tx>
            <c:strRef>
              <c:f>analysis!$AA$1371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analysis!$AA$1372:$AA$1416</c:f>
              <c:numCache/>
            </c:numRef>
          </c:val>
          <c:smooth val="0"/>
        </c:ser>
        <c:ser>
          <c:idx val="26"/>
          <c:order val="26"/>
          <c:tx>
            <c:strRef>
              <c:f>analysis!$AB$1371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analysis!$AB$1372:$AB$1416</c:f>
              <c:numCache/>
            </c:numRef>
          </c:val>
          <c:smooth val="0"/>
        </c:ser>
        <c:ser>
          <c:idx val="27"/>
          <c:order val="27"/>
          <c:tx>
            <c:strRef>
              <c:f>analysis!$AC$1371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analysis!$AC$1372:$AC$1416</c:f>
              <c:numCache/>
            </c:numRef>
          </c:val>
          <c:smooth val="0"/>
        </c:ser>
        <c:ser>
          <c:idx val="28"/>
          <c:order val="28"/>
          <c:tx>
            <c:strRef>
              <c:f>analysis!$AD$1371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analysis!$AD$1372:$AD$1416</c:f>
              <c:numCache/>
            </c:numRef>
          </c:val>
          <c:smooth val="0"/>
        </c:ser>
        <c:ser>
          <c:idx val="29"/>
          <c:order val="29"/>
          <c:tx>
            <c:strRef>
              <c:f>analysis!$AE$1371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cat>
            <c:strRef>
              <c:f>analysis!$A$1372:$A$1416</c:f>
            </c:strRef>
          </c:cat>
          <c:val>
            <c:numRef>
              <c:f>analysis!$AE$1372:$AE$1416</c:f>
              <c:numCache/>
            </c:numRef>
          </c:val>
          <c:smooth val="0"/>
        </c:ser>
        <c:axId val="539475735"/>
        <c:axId val="1744797846"/>
      </c:lineChart>
      <c:catAx>
        <c:axId val="539475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797846"/>
      </c:catAx>
      <c:valAx>
        <c:axId val="1744797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475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 total (MM$) contra Año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analysis!$A$2:$A$45</c:f>
            </c:strRef>
          </c:cat>
          <c:val>
            <c:numRef>
              <c:f>analysis!$B$2:$B$45</c:f>
              <c:numCache/>
            </c:numRef>
          </c:val>
        </c:ser>
        <c:axId val="566932991"/>
        <c:axId val="720334141"/>
      </c:barChart>
      <c:catAx>
        <c:axId val="56693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334141"/>
      </c:catAx>
      <c:valAx>
        <c:axId val="72033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Gasto total (MM$)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932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Distribucion del gasto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analysis!$B$1417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analysis!$A$1418:$A$1447</c:f>
            </c:strRef>
          </c:cat>
          <c:val>
            <c:numRef>
              <c:f>analysis!$B$1418:$B$1447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85725</xdr:rowOff>
    </xdr:from>
    <xdr:ext cx="6715125" cy="3514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</xdr:row>
      <xdr:rowOff>28575</xdr:rowOff>
    </xdr:from>
    <xdr:ext cx="12649200" cy="49434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333375</xdr:colOff>
      <xdr:row>29</xdr:row>
      <xdr:rowOff>66675</xdr:rowOff>
    </xdr:from>
    <xdr:ext cx="5219700" cy="3457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4" width="25.13"/>
    <col customWidth="1" min="32" max="3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29221.0</v>
      </c>
      <c r="B2" s="1">
        <v>29.0371464921598</v>
      </c>
      <c r="C2" s="1">
        <v>5.36965402960544</v>
      </c>
      <c r="D2" s="1">
        <v>1.84961529673946</v>
      </c>
      <c r="E2" s="1">
        <v>0.32884533811118</v>
      </c>
      <c r="F2" s="1">
        <v>3.19119339475479</v>
      </c>
      <c r="G2" s="1">
        <v>14.5054736342083</v>
      </c>
      <c r="H2" s="1">
        <v>2.02497873277004</v>
      </c>
      <c r="I2" s="1">
        <v>0.453309991488944</v>
      </c>
      <c r="J2" s="1">
        <v>0.251231805850851</v>
      </c>
      <c r="K2" s="1">
        <v>0.0704388240703323</v>
      </c>
      <c r="L2" s="1">
        <v>0.187836864187552</v>
      </c>
      <c r="M2" s="1">
        <v>1.16087184147473</v>
      </c>
      <c r="N2" s="1">
        <v>1.6021218796724</v>
      </c>
      <c r="O2" s="1">
        <v>0.414884673774257</v>
      </c>
      <c r="P2" s="1">
        <v>0.239474735227702</v>
      </c>
      <c r="Q2" s="1">
        <v>0.781870947180688</v>
      </c>
      <c r="R2" s="1">
        <v>0.469522961111524</v>
      </c>
      <c r="S2" s="1">
        <v>0.235112786443145</v>
      </c>
      <c r="T2" s="1">
        <v>0.0312278786711806</v>
      </c>
      <c r="U2" s="1">
        <v>5.17820684125517</v>
      </c>
      <c r="V2" s="1">
        <v>0.0258275688257885</v>
      </c>
      <c r="W2" s="1">
        <v>0.770671174153505</v>
      </c>
      <c r="X2" s="1">
        <v>0.607884128050547</v>
      </c>
      <c r="Y2" s="1">
        <v>6.85618513871731</v>
      </c>
      <c r="Z2" s="1">
        <v>0.515765636744978</v>
      </c>
      <c r="AA2" s="1">
        <v>2.42010967264515</v>
      </c>
      <c r="AB2" s="1">
        <v>0.448835519552453</v>
      </c>
      <c r="AC2" s="1">
        <v>2.30496406894664</v>
      </c>
      <c r="AD2" s="1">
        <v>0.523981143424143</v>
      </c>
      <c r="AE2" s="1">
        <v>0.642529097403939</v>
      </c>
      <c r="AF2" s="1">
        <v>2.30583368962874</v>
      </c>
      <c r="AG2" s="3">
        <f>SUM(C2:AE2)</f>
        <v>53.46262561</v>
      </c>
    </row>
    <row r="3">
      <c r="A3" s="2">
        <v>29587.0</v>
      </c>
      <c r="B3" s="1">
        <v>31.3425496780339</v>
      </c>
      <c r="C3" s="1">
        <v>5.24268585196555</v>
      </c>
      <c r="D3" s="1">
        <v>1.84944885061433</v>
      </c>
      <c r="E3" s="1">
        <v>0.28600446492568</v>
      </c>
      <c r="F3" s="1">
        <v>3.10723253642554</v>
      </c>
      <c r="G3" s="1">
        <v>14.8897715208822</v>
      </c>
      <c r="H3" s="1">
        <v>1.84122222589511</v>
      </c>
      <c r="I3" s="1">
        <v>0.475915366539897</v>
      </c>
      <c r="J3" s="1">
        <v>0.268635772723715</v>
      </c>
      <c r="K3" s="1">
        <v>0.0752643328751789</v>
      </c>
      <c r="L3" s="1">
        <v>0.260530383029465</v>
      </c>
      <c r="M3" s="1">
        <v>1.26647910107366</v>
      </c>
      <c r="N3" s="1">
        <v>2.19780758941842</v>
      </c>
      <c r="O3" s="1">
        <v>0.506123690765242</v>
      </c>
      <c r="P3" s="1">
        <v>0.199911124006597</v>
      </c>
      <c r="Q3" s="1">
        <v>0.450428084437609</v>
      </c>
      <c r="R3" s="1">
        <v>0.512867873100666</v>
      </c>
      <c r="S3" s="1">
        <v>0.331709345182097</v>
      </c>
      <c r="T3" s="1">
        <v>0.0380953315629752</v>
      </c>
      <c r="U3" s="1">
        <v>5.31007237126589</v>
      </c>
      <c r="V3" s="1">
        <v>0.0208424306423572</v>
      </c>
      <c r="W3" s="1">
        <v>0.507165812297359</v>
      </c>
      <c r="X3" s="1">
        <v>0.62670068606596</v>
      </c>
      <c r="Y3" s="1">
        <v>6.48001846218456</v>
      </c>
      <c r="Z3" s="1">
        <v>0.321040168457362</v>
      </c>
      <c r="AA3" s="1">
        <v>2.87076110964043</v>
      </c>
      <c r="AB3" s="1">
        <v>0.35054167503386</v>
      </c>
      <c r="AC3" s="1">
        <v>1.88279471532927</v>
      </c>
      <c r="AD3" s="1">
        <v>0.409757684094867</v>
      </c>
      <c r="AE3" s="1">
        <v>0.64512310962876</v>
      </c>
      <c r="AF3" s="1">
        <v>4.73007384300163</v>
      </c>
    </row>
    <row r="4">
      <c r="A4" s="2">
        <v>29952.0</v>
      </c>
      <c r="B4" s="1">
        <v>28.0466713752136</v>
      </c>
      <c r="C4" s="1">
        <v>4.35422125511031</v>
      </c>
      <c r="D4" s="1">
        <v>1.33318393199603</v>
      </c>
      <c r="E4" s="1">
        <v>0.221369572507648</v>
      </c>
      <c r="F4" s="1">
        <v>2.79966775060664</v>
      </c>
      <c r="G4" s="1">
        <v>10.8864103587577</v>
      </c>
      <c r="H4" s="1">
        <v>1.33411566212678</v>
      </c>
      <c r="I4" s="1">
        <v>0.345840238311565</v>
      </c>
      <c r="J4" s="1">
        <v>0.223356732045418</v>
      </c>
      <c r="K4" s="1">
        <v>0.0556404670575776</v>
      </c>
      <c r="L4" s="1">
        <v>0.216202957709444</v>
      </c>
      <c r="M4" s="1">
        <v>0.931264510403112</v>
      </c>
      <c r="N4" s="1">
        <v>1.72913590005419</v>
      </c>
      <c r="O4" s="1">
        <v>0.425053425129137</v>
      </c>
      <c r="P4" s="1">
        <v>0.154530503226678</v>
      </c>
      <c r="Q4" s="1">
        <v>0.457841557502353</v>
      </c>
      <c r="R4" s="1">
        <v>0.31611954263485</v>
      </c>
      <c r="S4" s="1">
        <v>0.262289313353473</v>
      </c>
      <c r="T4" s="1">
        <v>0.0319932685581071</v>
      </c>
      <c r="U4" s="1">
        <v>3.64663646776288</v>
      </c>
      <c r="V4" s="1">
        <v>0.0151024124870567</v>
      </c>
      <c r="W4" s="1">
        <v>0.337817121421007</v>
      </c>
      <c r="X4" s="1">
        <v>0.403470278974098</v>
      </c>
      <c r="Y4" s="1">
        <v>6.69154986362533</v>
      </c>
      <c r="Z4" s="1">
        <v>0.275215046359756</v>
      </c>
      <c r="AA4" s="1">
        <v>3.18328690697262</v>
      </c>
      <c r="AB4" s="1">
        <v>0.418082646559603</v>
      </c>
      <c r="AC4" s="1">
        <v>1.7823116240563</v>
      </c>
      <c r="AD4" s="1">
        <v>0.384514549936598</v>
      </c>
      <c r="AE4" s="1">
        <v>0.648139089740444</v>
      </c>
      <c r="AF4" s="1">
        <v>6.11448989772022</v>
      </c>
    </row>
    <row r="5">
      <c r="A5" s="2">
        <v>30317.0</v>
      </c>
      <c r="B5" s="1">
        <v>25.9203560079243</v>
      </c>
      <c r="C5" s="1">
        <v>4.27225053811308</v>
      </c>
      <c r="D5" s="1">
        <v>1.43482921615206</v>
      </c>
      <c r="E5" s="1">
        <v>0.263484604419424</v>
      </c>
      <c r="F5" s="1">
        <v>2.57393671754158</v>
      </c>
      <c r="G5" s="1">
        <v>11.419618136849</v>
      </c>
      <c r="H5" s="1">
        <v>1.58591575930754</v>
      </c>
      <c r="I5" s="1">
        <v>0.361014844150238</v>
      </c>
      <c r="J5" s="1">
        <v>0.220879961958736</v>
      </c>
      <c r="K5" s="1">
        <v>0.0563742037122408</v>
      </c>
      <c r="L5" s="1">
        <v>0.244288216086377</v>
      </c>
      <c r="M5" s="1">
        <v>0.990248970510988</v>
      </c>
      <c r="N5" s="1">
        <v>1.65288750610124</v>
      </c>
      <c r="O5" s="1">
        <v>0.481343362644732</v>
      </c>
      <c r="P5" s="1">
        <v>0.148691785537325</v>
      </c>
      <c r="Q5" s="1">
        <v>0.670820625208015</v>
      </c>
      <c r="R5" s="1">
        <v>0.35579950013311</v>
      </c>
      <c r="S5" s="1">
        <v>0.246925083929171</v>
      </c>
      <c r="T5" s="1">
        <v>0.0362301455754099</v>
      </c>
      <c r="U5" s="1">
        <v>3.45745583284585</v>
      </c>
      <c r="V5" s="1">
        <v>0.0143365431854405</v>
      </c>
      <c r="W5" s="1">
        <v>0.446943758741587</v>
      </c>
      <c r="X5" s="1">
        <v>0.449462037220989</v>
      </c>
      <c r="Y5" s="1">
        <v>6.92055273582449</v>
      </c>
      <c r="Z5" s="1">
        <v>0.295178031305443</v>
      </c>
      <c r="AA5" s="1">
        <v>2.91983953193836</v>
      </c>
      <c r="AB5" s="1">
        <v>0.525173421805062</v>
      </c>
      <c r="AC5" s="1">
        <v>1.80148185362646</v>
      </c>
      <c r="AD5" s="1">
        <v>0.435688081351262</v>
      </c>
      <c r="AE5" s="1">
        <v>0.943191815797895</v>
      </c>
      <c r="AF5" s="1">
        <v>3.30793459713781</v>
      </c>
    </row>
    <row r="6">
      <c r="A6" s="2">
        <v>30682.0</v>
      </c>
      <c r="B6" s="1">
        <v>26.5816402009775</v>
      </c>
      <c r="C6" s="1">
        <v>3.85834530386381</v>
      </c>
      <c r="D6" s="1">
        <v>1.52145952434217</v>
      </c>
      <c r="E6" s="1">
        <v>0.314130522778952</v>
      </c>
      <c r="F6" s="1">
        <v>2.02275525674268</v>
      </c>
      <c r="G6" s="1">
        <v>12.9662153901989</v>
      </c>
      <c r="H6" s="1">
        <v>2.09235210663943</v>
      </c>
      <c r="I6" s="1">
        <v>0.43511897186118</v>
      </c>
      <c r="J6" s="1">
        <v>0.188317124265616</v>
      </c>
      <c r="K6" s="1">
        <v>0.0814772155176039</v>
      </c>
      <c r="L6" s="1">
        <v>0.279350453203213</v>
      </c>
      <c r="M6" s="1">
        <v>1.20555957231099</v>
      </c>
      <c r="N6" s="1">
        <v>1.69108596641863</v>
      </c>
      <c r="O6" s="1">
        <v>0.520674325964139</v>
      </c>
      <c r="P6" s="1">
        <v>0.193250814905607</v>
      </c>
      <c r="Q6" s="1">
        <v>0.592803290406058</v>
      </c>
      <c r="R6" s="1">
        <v>0.501225025298512</v>
      </c>
      <c r="S6" s="1">
        <v>0.23964052643448</v>
      </c>
      <c r="T6" s="1">
        <v>0.0391905406639674</v>
      </c>
      <c r="U6" s="1">
        <v>4.04485488715592</v>
      </c>
      <c r="V6" s="1">
        <v>0.0184254903091952</v>
      </c>
      <c r="W6" s="1">
        <v>0.385526904624868</v>
      </c>
      <c r="X6" s="1">
        <v>0.457362174219518</v>
      </c>
      <c r="Y6" s="1">
        <v>6.68606219371701</v>
      </c>
      <c r="Z6" s="1">
        <v>0.367261280068554</v>
      </c>
      <c r="AA6" s="1">
        <v>2.68090019269312</v>
      </c>
      <c r="AB6" s="1">
        <v>0.364329069969511</v>
      </c>
      <c r="AC6" s="1">
        <v>2.07173025635461</v>
      </c>
      <c r="AD6" s="1">
        <v>0.309528100719785</v>
      </c>
      <c r="AE6" s="1">
        <v>0.892313293911421</v>
      </c>
      <c r="AF6" s="1">
        <v>3.07101731319775</v>
      </c>
    </row>
    <row r="7">
      <c r="A7" s="2">
        <v>31048.0</v>
      </c>
      <c r="B7" s="1">
        <v>29.9539427981967</v>
      </c>
      <c r="C7" s="1">
        <v>4.31129011920676</v>
      </c>
      <c r="D7" s="1">
        <v>1.90517464782132</v>
      </c>
      <c r="E7" s="1">
        <v>0.353657551061509</v>
      </c>
      <c r="F7" s="1">
        <v>2.05245792032393</v>
      </c>
      <c r="G7" s="1">
        <v>14.945165951527</v>
      </c>
      <c r="H7" s="1">
        <v>2.05230702385168</v>
      </c>
      <c r="I7" s="1">
        <v>0.452058715212229</v>
      </c>
      <c r="J7" s="1">
        <v>0.244116144555823</v>
      </c>
      <c r="K7" s="1">
        <v>0.087484765795333</v>
      </c>
      <c r="L7" s="1">
        <v>0.29071860633526</v>
      </c>
      <c r="M7" s="1">
        <v>1.24423651134349</v>
      </c>
      <c r="N7" s="1">
        <v>1.68971340453145</v>
      </c>
      <c r="O7" s="1">
        <v>0.557947553054473</v>
      </c>
      <c r="P7" s="1">
        <v>0.176710920446439</v>
      </c>
      <c r="Q7" s="1">
        <v>0.587898972064111</v>
      </c>
      <c r="R7" s="1">
        <v>0.686592888014836</v>
      </c>
      <c r="S7" s="1">
        <v>0.244372879282295</v>
      </c>
      <c r="T7" s="1">
        <v>0.0419960523804442</v>
      </c>
      <c r="U7" s="1">
        <v>5.51343967396334</v>
      </c>
      <c r="V7" s="1">
        <v>0.0223759112514986</v>
      </c>
      <c r="W7" s="1">
        <v>0.439728716075503</v>
      </c>
      <c r="X7" s="1">
        <v>0.613467213368809</v>
      </c>
      <c r="Y7" s="1">
        <v>7.01869546067143</v>
      </c>
      <c r="Z7" s="1">
        <v>0.365961417797174</v>
      </c>
      <c r="AA7" s="1">
        <v>2.48784092613939</v>
      </c>
      <c r="AB7" s="1">
        <v>0.388239650005205</v>
      </c>
      <c r="AC7" s="1">
        <v>1.95487826572107</v>
      </c>
      <c r="AD7" s="1">
        <v>0.254335858886947</v>
      </c>
      <c r="AE7" s="1">
        <v>1.56743934212163</v>
      </c>
      <c r="AF7" s="1">
        <v>3.67879126679151</v>
      </c>
    </row>
    <row r="8">
      <c r="A8" s="2">
        <v>31413.0</v>
      </c>
      <c r="B8" s="1">
        <v>32.1536192846632</v>
      </c>
      <c r="C8" s="1">
        <v>5.11007715523228</v>
      </c>
      <c r="D8" s="1">
        <v>2.22002362086046</v>
      </c>
      <c r="E8" s="1">
        <v>0.43517296778604</v>
      </c>
      <c r="F8" s="1">
        <v>2.45488056658577</v>
      </c>
      <c r="G8" s="1">
        <v>17.2403679796291</v>
      </c>
      <c r="H8" s="1">
        <v>2.54323305810903</v>
      </c>
      <c r="I8" s="1">
        <v>0.504947337501551</v>
      </c>
      <c r="J8" s="1">
        <v>0.285517458537226</v>
      </c>
      <c r="K8" s="1">
        <v>0.0881238866170701</v>
      </c>
      <c r="L8" s="1">
        <v>0.297614822436667</v>
      </c>
      <c r="M8" s="1">
        <v>1.52156870760225</v>
      </c>
      <c r="N8" s="1">
        <v>1.89702595480005</v>
      </c>
      <c r="O8" s="1">
        <v>0.617225209608872</v>
      </c>
      <c r="P8" s="1">
        <v>0.184753591590178</v>
      </c>
      <c r="Q8" s="1">
        <v>0.743545293331529</v>
      </c>
      <c r="R8" s="1">
        <v>0.720939800056777</v>
      </c>
      <c r="S8" s="1">
        <v>0.272532990385152</v>
      </c>
      <c r="T8" s="1">
        <v>0.0464578114759366</v>
      </c>
      <c r="U8" s="1">
        <v>6.07269079119632</v>
      </c>
      <c r="V8" s="1">
        <v>0.0204573308218198</v>
      </c>
      <c r="W8" s="1">
        <v>0.689500565992154</v>
      </c>
      <c r="X8" s="1">
        <v>0.734233369566506</v>
      </c>
      <c r="Y8" s="1">
        <v>6.97111241415611</v>
      </c>
      <c r="Z8" s="1">
        <v>0.451075680649824</v>
      </c>
      <c r="AA8" s="1">
        <v>2.32777720547556</v>
      </c>
      <c r="AB8" s="1">
        <v>0.334905522829763</v>
      </c>
      <c r="AC8" s="1">
        <v>1.88080026357996</v>
      </c>
      <c r="AD8" s="1">
        <v>0.395365315807652</v>
      </c>
      <c r="AE8" s="1">
        <v>1.58118842581335</v>
      </c>
      <c r="AF8" s="1">
        <v>2.83206173564568</v>
      </c>
    </row>
    <row r="9">
      <c r="A9" s="2">
        <v>31778.0</v>
      </c>
      <c r="B9" s="1">
        <v>34.6379523962947</v>
      </c>
      <c r="C9" s="1">
        <v>5.53782005259119</v>
      </c>
      <c r="D9" s="1">
        <v>2.48301036008911</v>
      </c>
      <c r="E9" s="1">
        <v>0.480368321961731</v>
      </c>
      <c r="F9" s="1">
        <v>2.57444137054034</v>
      </c>
      <c r="G9" s="1">
        <v>18.6758912975571</v>
      </c>
      <c r="H9" s="1">
        <v>2.69466617485523</v>
      </c>
      <c r="I9" s="1">
        <v>0.625493639537421</v>
      </c>
      <c r="J9" s="1">
        <v>0.309424126097291</v>
      </c>
      <c r="K9" s="1">
        <v>0.127175262948198</v>
      </c>
      <c r="L9" s="1">
        <v>0.313698981938888</v>
      </c>
      <c r="M9" s="1">
        <v>1.55870342962061</v>
      </c>
      <c r="N9" s="1">
        <v>2.05436040681311</v>
      </c>
      <c r="O9" s="1">
        <v>0.591364972709121</v>
      </c>
      <c r="P9" s="1">
        <v>0.182900426761901</v>
      </c>
      <c r="Q9" s="1">
        <v>0.832701230030485</v>
      </c>
      <c r="R9" s="1">
        <v>0.795797484057505</v>
      </c>
      <c r="S9" s="1">
        <v>0.277186080570514</v>
      </c>
      <c r="T9" s="1">
        <v>0.0445113420318693</v>
      </c>
      <c r="U9" s="1">
        <v>6.85324557697903</v>
      </c>
      <c r="V9" s="1">
        <v>0.0219165369814061</v>
      </c>
      <c r="W9" s="1">
        <v>0.592636725338603</v>
      </c>
      <c r="X9" s="1">
        <v>0.800108900285913</v>
      </c>
      <c r="Y9" s="1">
        <v>7.71209926892545</v>
      </c>
      <c r="Z9" s="1">
        <v>0.418283651819708</v>
      </c>
      <c r="AA9" s="1">
        <v>2.89723110176887</v>
      </c>
      <c r="AB9" s="1">
        <v>0.294643831096371</v>
      </c>
      <c r="AC9" s="1">
        <v>1.95232771933128</v>
      </c>
      <c r="AD9" s="1">
        <v>0.585530330201504</v>
      </c>
      <c r="AE9" s="1">
        <v>1.56408263470771</v>
      </c>
      <c r="AF9" s="1">
        <v>2.71214177722099</v>
      </c>
    </row>
    <row r="10">
      <c r="A10" s="2">
        <v>32143.0</v>
      </c>
      <c r="B10" s="1">
        <v>32.1746660820903</v>
      </c>
      <c r="C10" s="1">
        <v>5.23756331336937</v>
      </c>
      <c r="D10" s="1">
        <v>2.3221556242567</v>
      </c>
      <c r="E10" s="1">
        <v>0.476312589297899</v>
      </c>
      <c r="F10" s="1">
        <v>2.43909509981477</v>
      </c>
      <c r="G10" s="1">
        <v>16.6784254816552</v>
      </c>
      <c r="H10" s="1">
        <v>2.4360647248594</v>
      </c>
      <c r="I10" s="1">
        <v>0.608139009726065</v>
      </c>
      <c r="J10" s="1">
        <v>0.292567100677602</v>
      </c>
      <c r="K10" s="1">
        <v>0.127744907124534</v>
      </c>
      <c r="L10" s="1">
        <v>0.291988359141792</v>
      </c>
      <c r="M10" s="1">
        <v>1.41797169663124</v>
      </c>
      <c r="N10" s="1">
        <v>2.06112745235813</v>
      </c>
      <c r="O10" s="1">
        <v>0.585527906441526</v>
      </c>
      <c r="P10" s="1">
        <v>0.177317312845936</v>
      </c>
      <c r="Q10" s="1">
        <v>0.638761034167564</v>
      </c>
      <c r="R10" s="1">
        <v>0.695313836143924</v>
      </c>
      <c r="S10" s="1">
        <v>0.265654784553025</v>
      </c>
      <c r="T10" s="1">
        <v>0.0440719929579643</v>
      </c>
      <c r="U10" s="1">
        <v>5.9602057556364</v>
      </c>
      <c r="V10" s="1">
        <v>0.0199555794200969</v>
      </c>
      <c r="W10" s="1">
        <v>0.344464142061306</v>
      </c>
      <c r="X10" s="1">
        <v>0.711549886908722</v>
      </c>
      <c r="Y10" s="1">
        <v>7.99954747551862</v>
      </c>
      <c r="Z10" s="1">
        <v>0.383413907436353</v>
      </c>
      <c r="AA10" s="1">
        <v>2.54364204185511</v>
      </c>
      <c r="AB10" s="1">
        <v>0.267531579960568</v>
      </c>
      <c r="AC10" s="1">
        <v>1.80069227210301</v>
      </c>
      <c r="AD10" s="1">
        <v>1.20817473255215</v>
      </c>
      <c r="AE10" s="1">
        <v>1.79609294161141</v>
      </c>
      <c r="AF10" s="1">
        <v>2.25912981154707</v>
      </c>
    </row>
    <row r="11">
      <c r="A11" s="2">
        <v>32509.0</v>
      </c>
      <c r="B11" s="1">
        <v>31.7132590292966</v>
      </c>
      <c r="C11" s="1">
        <v>4.68990835596518</v>
      </c>
      <c r="D11" s="1">
        <v>2.1471553464561</v>
      </c>
      <c r="E11" s="1">
        <v>0.424371383552299</v>
      </c>
      <c r="F11" s="1">
        <v>2.11838162595677</v>
      </c>
      <c r="G11" s="1">
        <v>16.6089632672459</v>
      </c>
      <c r="H11" s="1">
        <v>2.11985669257887</v>
      </c>
      <c r="I11" s="1">
        <v>0.480600939200329</v>
      </c>
      <c r="J11" s="1">
        <v>0.249122195673402</v>
      </c>
      <c r="K11" s="1">
        <v>0.0957451956083229</v>
      </c>
      <c r="L11" s="1">
        <v>0.24144440631664</v>
      </c>
      <c r="M11" s="1">
        <v>1.32702471914193</v>
      </c>
      <c r="N11" s="1">
        <v>1.80246941660196</v>
      </c>
      <c r="O11" s="1">
        <v>0.461300704229738</v>
      </c>
      <c r="P11" s="1">
        <v>0.135183923786575</v>
      </c>
      <c r="Q11" s="1">
        <v>0.5077257058725</v>
      </c>
      <c r="R11" s="1">
        <v>0.838279926477861</v>
      </c>
      <c r="S11" s="1">
        <v>0.215625888259318</v>
      </c>
      <c r="T11" s="1">
        <v>0.0347215583828835</v>
      </c>
      <c r="U11" s="1">
        <v>7.08307466382017</v>
      </c>
      <c r="V11" s="1">
        <v>0.0147358481397671</v>
      </c>
      <c r="W11" s="1">
        <v>0.35902982566293</v>
      </c>
      <c r="X11" s="1">
        <v>0.64302165749272</v>
      </c>
      <c r="Y11" s="1">
        <v>7.59289715091927</v>
      </c>
      <c r="Z11" s="1">
        <v>0.321358065331244</v>
      </c>
      <c r="AA11" s="1">
        <v>2.47878368153175</v>
      </c>
      <c r="AB11" s="1">
        <v>0.243832926176583</v>
      </c>
      <c r="AC11" s="1">
        <v>1.29163322782647</v>
      </c>
      <c r="AD11" s="1">
        <v>0.508195649395625</v>
      </c>
      <c r="AE11" s="1">
        <v>2.74909360065759</v>
      </c>
      <c r="AF11" s="1">
        <v>2.82149025516629</v>
      </c>
    </row>
    <row r="12">
      <c r="A12" s="2">
        <v>32874.0</v>
      </c>
      <c r="B12" s="1">
        <v>30.3695450329187</v>
      </c>
      <c r="C12" s="1">
        <v>4.92033117326411</v>
      </c>
      <c r="D12" s="1">
        <v>2.44407977383453</v>
      </c>
      <c r="E12" s="1">
        <v>0.482213194803587</v>
      </c>
      <c r="F12" s="1">
        <v>1.99403820462599</v>
      </c>
      <c r="G12" s="1">
        <v>18.5691882635123</v>
      </c>
      <c r="H12" s="1">
        <v>2.35174244970782</v>
      </c>
      <c r="I12" s="1">
        <v>0.552168355789566</v>
      </c>
      <c r="J12" s="1">
        <v>0.25358324201955</v>
      </c>
      <c r="K12" s="1">
        <v>0.0983652830140884</v>
      </c>
      <c r="L12" s="1">
        <v>0.259745825459077</v>
      </c>
      <c r="M12" s="1">
        <v>1.41997112673285</v>
      </c>
      <c r="N12" s="1">
        <v>2.14917470203429</v>
      </c>
      <c r="O12" s="1">
        <v>0.638928621902917</v>
      </c>
      <c r="P12" s="1">
        <v>0.142864182707565</v>
      </c>
      <c r="Q12" s="1">
        <v>0.707865536460956</v>
      </c>
      <c r="R12" s="1">
        <v>0.586573089863864</v>
      </c>
      <c r="S12" s="1">
        <v>0.245405156339921</v>
      </c>
      <c r="T12" s="1">
        <v>0.0480914016486066</v>
      </c>
      <c r="U12" s="1">
        <v>7.93174124068069</v>
      </c>
      <c r="V12" s="1">
        <v>0.0189107425398632</v>
      </c>
      <c r="W12" s="1">
        <v>0.375265091656294</v>
      </c>
      <c r="X12" s="1">
        <v>0.788792214954465</v>
      </c>
      <c r="Y12" s="1">
        <v>5.30855343049734</v>
      </c>
      <c r="Z12" s="1">
        <v>0.267126209971293</v>
      </c>
      <c r="AA12" s="1">
        <v>1.83481517368423</v>
      </c>
      <c r="AB12" s="1">
        <v>0.164288553266993</v>
      </c>
      <c r="AC12" s="1">
        <v>1.01259474213317</v>
      </c>
      <c r="AD12" s="1">
        <v>0.124727456467725</v>
      </c>
      <c r="AE12" s="1">
        <v>1.90500129497391</v>
      </c>
      <c r="AF12" s="1">
        <v>1.57147216564493</v>
      </c>
    </row>
    <row r="13">
      <c r="A13" s="2">
        <v>33239.0</v>
      </c>
      <c r="B13" s="1">
        <v>31.0432369697209</v>
      </c>
      <c r="C13" s="1">
        <v>5.80332688818082</v>
      </c>
      <c r="D13" s="1">
        <v>2.88094381996151</v>
      </c>
      <c r="E13" s="1">
        <v>0.6052383149219</v>
      </c>
      <c r="F13" s="1">
        <v>2.31714475329741</v>
      </c>
      <c r="G13" s="1">
        <v>19.6138636954817</v>
      </c>
      <c r="H13" s="1">
        <v>2.53454730845461</v>
      </c>
      <c r="I13" s="1">
        <v>0.53788231179</v>
      </c>
      <c r="J13" s="1">
        <v>0.23464788023202</v>
      </c>
      <c r="K13" s="1">
        <v>0.100916017684465</v>
      </c>
      <c r="L13" s="1">
        <v>0.204853473024154</v>
      </c>
      <c r="M13" s="1">
        <v>1.5774781011978</v>
      </c>
      <c r="N13" s="1">
        <v>2.04344881804341</v>
      </c>
      <c r="O13" s="1">
        <v>0.737889461283377</v>
      </c>
      <c r="P13" s="1">
        <v>0.141561575493637</v>
      </c>
      <c r="Q13" s="1">
        <v>0.616686028950599</v>
      </c>
      <c r="R13" s="1">
        <v>0.638712736014532</v>
      </c>
      <c r="S13" s="1">
        <v>0.198897255692511</v>
      </c>
      <c r="T13" s="1">
        <v>0.0555400669783187</v>
      </c>
      <c r="U13" s="1">
        <v>8.38535422870219</v>
      </c>
      <c r="V13" s="1">
        <v>0.0261046134765201</v>
      </c>
      <c r="W13" s="1">
        <v>0.661211416469115</v>
      </c>
      <c r="X13" s="1">
        <v>0.918132401994427</v>
      </c>
      <c r="Y13" s="1">
        <v>3.63408915252208</v>
      </c>
      <c r="Z13" s="1">
        <v>0.276441059002039</v>
      </c>
      <c r="AA13" s="1">
        <v>1.40517820334017</v>
      </c>
      <c r="AB13" s="1">
        <v>0.168321500394567</v>
      </c>
      <c r="AC13" s="1">
        <v>0.96024315434841</v>
      </c>
      <c r="AD13" s="1">
        <v>0.0277234104684625</v>
      </c>
      <c r="AE13" s="1">
        <v>0.79618182496843</v>
      </c>
      <c r="AF13" s="1">
        <v>1.99195723353628</v>
      </c>
    </row>
    <row r="14">
      <c r="A14" s="2">
        <v>33604.0</v>
      </c>
      <c r="B14" s="1">
        <v>31.4928070518152</v>
      </c>
      <c r="C14" s="1">
        <v>6.08167229958081</v>
      </c>
      <c r="D14" s="1">
        <v>3.13504839280203</v>
      </c>
      <c r="E14" s="1">
        <v>0.655384338318819</v>
      </c>
      <c r="F14" s="1">
        <v>2.29123956845996</v>
      </c>
      <c r="G14" s="1">
        <v>19.8071099050701</v>
      </c>
      <c r="H14" s="1">
        <v>2.53441446271827</v>
      </c>
      <c r="I14" s="1">
        <v>0.629605024058444</v>
      </c>
      <c r="J14" s="1">
        <v>0.200412438611681</v>
      </c>
      <c r="K14" s="1">
        <v>0.0734376566490496</v>
      </c>
      <c r="L14" s="1">
        <v>0.369643386171403</v>
      </c>
      <c r="M14" s="1">
        <v>1.7502243619693</v>
      </c>
      <c r="N14" s="1">
        <v>1.90126095229842</v>
      </c>
      <c r="O14" s="1">
        <v>0.812738501075292</v>
      </c>
      <c r="P14" s="1">
        <v>0.13906219113564</v>
      </c>
      <c r="Q14" s="1">
        <v>0.456097459366779</v>
      </c>
      <c r="R14" s="1">
        <v>0.690783089725017</v>
      </c>
      <c r="S14" s="1">
        <v>0.167466422711161</v>
      </c>
      <c r="T14" s="1">
        <v>0.0611738656723338</v>
      </c>
      <c r="U14" s="1">
        <v>8.45156745746069</v>
      </c>
      <c r="V14" s="1">
        <v>0.036541277730537</v>
      </c>
      <c r="W14" s="1">
        <v>0.592721106562868</v>
      </c>
      <c r="X14" s="1">
        <v>0.93996025115321</v>
      </c>
      <c r="Y14" s="1">
        <v>3.09734517109038</v>
      </c>
      <c r="Z14" s="1">
        <v>0.225215040781929</v>
      </c>
      <c r="AA14" s="1">
        <v>1.31669092432226</v>
      </c>
      <c r="AB14" s="1">
        <v>0.125894862068568</v>
      </c>
      <c r="AC14" s="1">
        <v>0.952238229357538</v>
      </c>
      <c r="AD14" s="1">
        <v>0.0455245286479072</v>
      </c>
      <c r="AE14" s="1">
        <v>0.431781585912173</v>
      </c>
      <c r="AF14" s="1">
        <v>2.50667967607389</v>
      </c>
    </row>
    <row r="15">
      <c r="A15" s="2">
        <v>33970.0</v>
      </c>
      <c r="B15" s="1">
        <v>31.7125590778916</v>
      </c>
      <c r="C15" s="1">
        <v>6.17689259388084</v>
      </c>
      <c r="D15" s="1">
        <v>3.16597343099633</v>
      </c>
      <c r="E15" s="1">
        <v>0.707114546920796</v>
      </c>
      <c r="F15" s="1">
        <v>2.30380461596371</v>
      </c>
      <c r="G15" s="1">
        <v>20.2876374854089</v>
      </c>
      <c r="H15" s="1">
        <v>2.73255268880991</v>
      </c>
      <c r="I15" s="1">
        <v>0.711439135086646</v>
      </c>
      <c r="J15" s="1">
        <v>0.219151962334486</v>
      </c>
      <c r="K15" s="1">
        <v>0.0932472891264014</v>
      </c>
      <c r="L15" s="1">
        <v>0.331254655030411</v>
      </c>
      <c r="M15" s="1">
        <v>1.84015665976705</v>
      </c>
      <c r="N15" s="1">
        <v>1.97416028583248</v>
      </c>
      <c r="O15" s="1">
        <v>0.822244840205619</v>
      </c>
      <c r="P15" s="1">
        <v>0.209342878025637</v>
      </c>
      <c r="Q15" s="1">
        <v>0.606502059252652</v>
      </c>
      <c r="R15" s="1">
        <v>0.700132579264331</v>
      </c>
      <c r="S15" s="1">
        <v>0.157221475826801</v>
      </c>
      <c r="T15" s="1">
        <v>0.101625766766986</v>
      </c>
      <c r="U15" s="1">
        <v>7.88298437759021</v>
      </c>
      <c r="V15" s="1">
        <v>0.200275555257039</v>
      </c>
      <c r="W15" s="1">
        <v>0.643942640264331</v>
      </c>
      <c r="X15" s="1">
        <v>1.06140263696788</v>
      </c>
      <c r="Y15" s="1">
        <v>3.39926442779479</v>
      </c>
      <c r="Z15" s="1">
        <v>0.326075089917015</v>
      </c>
      <c r="AA15" s="1">
        <v>1.306294974074</v>
      </c>
      <c r="AB15" s="1">
        <v>0.17102538319659</v>
      </c>
      <c r="AC15" s="1">
        <v>1.00343960095046</v>
      </c>
      <c r="AD15" s="1">
        <v>0.104770324407515</v>
      </c>
      <c r="AE15" s="1">
        <v>0.487659055249201</v>
      </c>
      <c r="AF15" s="1">
        <v>1.84876457080704</v>
      </c>
    </row>
    <row r="16">
      <c r="A16" s="2">
        <v>34335.0</v>
      </c>
      <c r="B16" s="1">
        <v>31.8278741114533</v>
      </c>
      <c r="C16" s="1">
        <v>6.30545839516208</v>
      </c>
      <c r="D16" s="1">
        <v>3.25816757581662</v>
      </c>
      <c r="E16" s="1">
        <v>0.740174083579329</v>
      </c>
      <c r="F16" s="1">
        <v>2.30711673576613</v>
      </c>
      <c r="G16" s="1">
        <v>21.0238472366766</v>
      </c>
      <c r="H16" s="1">
        <v>2.77175672845931</v>
      </c>
      <c r="I16" s="1">
        <v>0.715315897214327</v>
      </c>
      <c r="J16" s="1">
        <v>0.233262122327226</v>
      </c>
      <c r="K16" s="1">
        <v>0.106448966459995</v>
      </c>
      <c r="L16" s="1">
        <v>0.32953174289823</v>
      </c>
      <c r="M16" s="1">
        <v>1.90841786593099</v>
      </c>
      <c r="N16" s="1">
        <v>1.99666615605435</v>
      </c>
      <c r="O16" s="1">
        <v>0.957273374773233</v>
      </c>
      <c r="P16" s="1">
        <v>0.212279608725784</v>
      </c>
      <c r="Q16" s="1">
        <v>0.626202936349295</v>
      </c>
      <c r="R16" s="1">
        <v>0.724323517882101</v>
      </c>
      <c r="S16" s="1">
        <v>0.146446787665003</v>
      </c>
      <c r="T16" s="1">
        <v>0.158952398092863</v>
      </c>
      <c r="U16" s="1">
        <v>8.23245015586558</v>
      </c>
      <c r="V16" s="1">
        <v>0.238631571118758</v>
      </c>
      <c r="W16" s="1">
        <v>0.669167073610243</v>
      </c>
      <c r="X16" s="1">
        <v>0.996720333249369</v>
      </c>
      <c r="Y16" s="1">
        <v>2.74534750702428</v>
      </c>
      <c r="Z16" s="1">
        <v>0.343126672345277</v>
      </c>
      <c r="AA16" s="1">
        <v>0.750956239607822</v>
      </c>
      <c r="AB16" s="1">
        <v>0.0917204744203493</v>
      </c>
      <c r="AC16" s="1">
        <v>1.05078450886552</v>
      </c>
      <c r="AD16" s="1">
        <v>0.0639137832134333</v>
      </c>
      <c r="AE16" s="1">
        <v>0.444845828571874</v>
      </c>
      <c r="AF16" s="1">
        <v>1.75322097259033</v>
      </c>
    </row>
    <row r="17">
      <c r="A17" s="2">
        <v>34700.0</v>
      </c>
      <c r="B17" s="1">
        <v>32.4444885999448</v>
      </c>
      <c r="C17" s="1">
        <v>6.24909121715093</v>
      </c>
      <c r="D17" s="1">
        <v>3.09773081047685</v>
      </c>
      <c r="E17" s="1">
        <v>0.783142930564557</v>
      </c>
      <c r="F17" s="1">
        <v>2.36821747610952</v>
      </c>
      <c r="G17" s="1">
        <v>21.1998568683819</v>
      </c>
      <c r="H17" s="1">
        <v>2.79524259298846</v>
      </c>
      <c r="I17" s="1">
        <v>0.842992727587051</v>
      </c>
      <c r="J17" s="1">
        <v>0.228699739460934</v>
      </c>
      <c r="K17" s="1">
        <v>0.118614921705679</v>
      </c>
      <c r="L17" s="1">
        <v>0.328220390772637</v>
      </c>
      <c r="M17" s="1">
        <v>1.87417843888791</v>
      </c>
      <c r="N17" s="1">
        <v>2.03905071098254</v>
      </c>
      <c r="O17" s="1">
        <v>1.01525021903544</v>
      </c>
      <c r="P17" s="1">
        <v>0.241221641919154</v>
      </c>
      <c r="Q17" s="1">
        <v>0.540555264751392</v>
      </c>
      <c r="R17" s="1">
        <v>0.635012622981503</v>
      </c>
      <c r="S17" s="1">
        <v>0.144242126316961</v>
      </c>
      <c r="T17" s="1">
        <v>0.15817665943302</v>
      </c>
      <c r="U17" s="1">
        <v>8.37800646322158</v>
      </c>
      <c r="V17" s="1">
        <v>0.225983079012911</v>
      </c>
      <c r="W17" s="1">
        <v>0.739539621787494</v>
      </c>
      <c r="X17" s="1">
        <v>0.894869647537241</v>
      </c>
      <c r="Y17" s="1">
        <v>2.75513309726718</v>
      </c>
      <c r="Z17" s="1">
        <v>0.328081405566926</v>
      </c>
      <c r="AA17" s="1">
        <v>0.570232412038613</v>
      </c>
      <c r="AB17" s="1">
        <v>0.100706154035685</v>
      </c>
      <c r="AC17" s="1">
        <v>1.0749575853052</v>
      </c>
      <c r="AD17" s="1">
        <v>0.0795793949700429</v>
      </c>
      <c r="AE17" s="1">
        <v>0.601576145350712</v>
      </c>
      <c r="AF17" s="1">
        <v>2.24040741714474</v>
      </c>
    </row>
    <row r="18">
      <c r="A18" s="2">
        <v>35065.0</v>
      </c>
      <c r="B18" s="1">
        <v>30.5447998307878</v>
      </c>
      <c r="C18" s="1">
        <v>5.87328853990028</v>
      </c>
      <c r="D18" s="1">
        <v>2.93903527425896</v>
      </c>
      <c r="E18" s="1">
        <v>0.747418595867468</v>
      </c>
      <c r="F18" s="1">
        <v>2.18683466977385</v>
      </c>
      <c r="G18" s="1">
        <v>20.1142902620518</v>
      </c>
      <c r="H18" s="1">
        <v>2.67072795570632</v>
      </c>
      <c r="I18" s="1">
        <v>0.832353214639969</v>
      </c>
      <c r="J18" s="1">
        <v>0.195548711021082</v>
      </c>
      <c r="K18" s="1">
        <v>0.124231260659833</v>
      </c>
      <c r="L18" s="1">
        <v>0.313730528474772</v>
      </c>
      <c r="M18" s="1">
        <v>1.77634680551874</v>
      </c>
      <c r="N18" s="1">
        <v>1.95249260059647</v>
      </c>
      <c r="O18" s="1">
        <v>0.88158821922231</v>
      </c>
      <c r="P18" s="1">
        <v>0.239706028849185</v>
      </c>
      <c r="Q18" s="1">
        <v>0.507466889832437</v>
      </c>
      <c r="R18" s="1">
        <v>0.655766722681533</v>
      </c>
      <c r="S18" s="1">
        <v>0.129580293588731</v>
      </c>
      <c r="T18" s="1">
        <v>0.11525173750511</v>
      </c>
      <c r="U18" s="1">
        <v>8.0038037992448</v>
      </c>
      <c r="V18" s="1">
        <v>0.264464537027145</v>
      </c>
      <c r="W18" s="1">
        <v>0.645259978778878</v>
      </c>
      <c r="X18" s="1">
        <v>0.805970978704528</v>
      </c>
      <c r="Y18" s="1">
        <v>2.34829520768146</v>
      </c>
      <c r="Z18" s="1">
        <v>0.309079027213115</v>
      </c>
      <c r="AA18" s="1">
        <v>0.378566490850541</v>
      </c>
      <c r="AB18" s="1">
        <v>0.073356219170182</v>
      </c>
      <c r="AC18" s="1">
        <v>0.912004506648916</v>
      </c>
      <c r="AD18" s="1">
        <v>0.0595519704441964</v>
      </c>
      <c r="AE18" s="1">
        <v>0.615736993354515</v>
      </c>
      <c r="AF18" s="1">
        <v>2.2089258211542</v>
      </c>
    </row>
    <row r="19">
      <c r="A19" s="2">
        <v>35431.0</v>
      </c>
      <c r="B19" s="1">
        <v>30.3567455599236</v>
      </c>
      <c r="C19" s="1">
        <v>5.65858227739606</v>
      </c>
      <c r="D19" s="1">
        <v>2.78113446506157</v>
      </c>
      <c r="E19" s="1">
        <v>0.754356183576106</v>
      </c>
      <c r="F19" s="1">
        <v>2.12309162875838</v>
      </c>
      <c r="G19" s="1">
        <v>19.8247572105816</v>
      </c>
      <c r="H19" s="1">
        <v>2.84150035959537</v>
      </c>
      <c r="I19" s="1">
        <v>0.807516147356856</v>
      </c>
      <c r="J19" s="1">
        <v>0.217694301264435</v>
      </c>
      <c r="K19" s="1">
        <v>0.120708548160231</v>
      </c>
      <c r="L19" s="1">
        <v>0.327149911627445</v>
      </c>
      <c r="M19" s="1">
        <v>1.7689563234278</v>
      </c>
      <c r="N19" s="1">
        <v>1.93280721491547</v>
      </c>
      <c r="O19" s="1">
        <v>0.823126523562937</v>
      </c>
      <c r="P19" s="1">
        <v>0.256295957508114</v>
      </c>
      <c r="Q19" s="1">
        <v>0.562512889176909</v>
      </c>
      <c r="R19" s="1">
        <v>0.793227832441716</v>
      </c>
      <c r="S19" s="1">
        <v>0.121805642887301</v>
      </c>
      <c r="T19" s="1">
        <v>0.121581716910437</v>
      </c>
      <c r="U19" s="1">
        <v>7.50334502343186</v>
      </c>
      <c r="V19" s="1">
        <v>0.274759928380136</v>
      </c>
      <c r="W19" s="1">
        <v>0.586862968097555</v>
      </c>
      <c r="X19" s="1">
        <v>0.764905921837046</v>
      </c>
      <c r="Y19" s="1">
        <v>2.20044067126459</v>
      </c>
      <c r="Z19" s="1">
        <v>0.30356232743696</v>
      </c>
      <c r="AA19" s="1">
        <v>0.323512100286619</v>
      </c>
      <c r="AB19" s="1">
        <v>0.0725810296430151</v>
      </c>
      <c r="AC19" s="1">
        <v>1.06865182187969</v>
      </c>
      <c r="AD19" s="1">
        <v>0.0953916899035385</v>
      </c>
      <c r="AE19" s="1">
        <v>0.336741702114758</v>
      </c>
      <c r="AF19" s="1">
        <v>2.67296540068131</v>
      </c>
    </row>
    <row r="20">
      <c r="A20" s="2">
        <v>35796.0</v>
      </c>
      <c r="B20" s="1">
        <v>30.9599549376472</v>
      </c>
      <c r="C20" s="1">
        <v>5.89920205341433</v>
      </c>
      <c r="D20" s="1">
        <v>2.92184875982747</v>
      </c>
      <c r="E20" s="1">
        <v>0.782794704836674</v>
      </c>
      <c r="F20" s="1">
        <v>2.19455858875018</v>
      </c>
      <c r="G20" s="1">
        <v>20.129554203663</v>
      </c>
      <c r="H20" s="1">
        <v>2.84455633157499</v>
      </c>
      <c r="I20" s="1">
        <v>0.845364376467524</v>
      </c>
      <c r="J20" s="1">
        <v>0.228857782203423</v>
      </c>
      <c r="K20" s="1">
        <v>0.162568919364366</v>
      </c>
      <c r="L20" s="1">
        <v>0.317090972029677</v>
      </c>
      <c r="M20" s="1">
        <v>1.86688879906471</v>
      </c>
      <c r="N20" s="1">
        <v>1.95627672654288</v>
      </c>
      <c r="O20" s="1">
        <v>0.77031101519332</v>
      </c>
      <c r="P20" s="1">
        <v>0.239286873114265</v>
      </c>
      <c r="Q20" s="1">
        <v>0.600827539286437</v>
      </c>
      <c r="R20" s="1">
        <v>0.883912945495253</v>
      </c>
      <c r="S20" s="1">
        <v>0.114424892435931</v>
      </c>
      <c r="T20" s="1">
        <v>0.119832970343052</v>
      </c>
      <c r="U20" s="1">
        <v>7.45287674018884</v>
      </c>
      <c r="V20" s="1">
        <v>0.289838784022886</v>
      </c>
      <c r="W20" s="1">
        <v>0.574266012706237</v>
      </c>
      <c r="X20" s="1">
        <v>0.862372523629253</v>
      </c>
      <c r="Y20" s="1">
        <v>2.23891858547082</v>
      </c>
      <c r="Z20" s="1">
        <v>0.336296205596558</v>
      </c>
      <c r="AA20" s="1">
        <v>0.305593350656601</v>
      </c>
      <c r="AB20" s="1">
        <v>0.0747444485378058</v>
      </c>
      <c r="AC20" s="1">
        <v>1.11395344139552</v>
      </c>
      <c r="AD20" s="1">
        <v>0.0715880786969944</v>
      </c>
      <c r="AE20" s="1">
        <v>0.336743060587335</v>
      </c>
      <c r="AF20" s="1">
        <v>2.69228009509898</v>
      </c>
    </row>
    <row r="21">
      <c r="A21" s="2">
        <v>36161.0</v>
      </c>
      <c r="B21" s="1">
        <v>34.2326895648178</v>
      </c>
      <c r="C21" s="1">
        <v>6.7559349390509</v>
      </c>
      <c r="D21" s="1">
        <v>3.46232922435443</v>
      </c>
      <c r="E21" s="1">
        <v>0.887803978760407</v>
      </c>
      <c r="F21" s="1">
        <v>2.40580173593606</v>
      </c>
      <c r="G21" s="1">
        <v>21.8252654889323</v>
      </c>
      <c r="H21" s="1">
        <v>3.21962048720463</v>
      </c>
      <c r="I21" s="1">
        <v>0.917519776266689</v>
      </c>
      <c r="J21" s="1">
        <v>0.223492326923442</v>
      </c>
      <c r="K21" s="1">
        <v>0.183443425836344</v>
      </c>
      <c r="L21" s="1">
        <v>0.393487063953444</v>
      </c>
      <c r="M21" s="1">
        <v>2.11515621841522</v>
      </c>
      <c r="N21" s="1">
        <v>2.14733136427789</v>
      </c>
      <c r="O21" s="1">
        <v>0.857904397413497</v>
      </c>
      <c r="P21" s="1">
        <v>0.244780101479379</v>
      </c>
      <c r="Q21" s="1">
        <v>0.564178882096993</v>
      </c>
      <c r="R21" s="1">
        <v>0.937899288562832</v>
      </c>
      <c r="S21" s="1">
        <v>0.113572987160652</v>
      </c>
      <c r="T21" s="1">
        <v>0.122913362056909</v>
      </c>
      <c r="U21" s="1">
        <v>7.89575508986267</v>
      </c>
      <c r="V21" s="1">
        <v>0.300993611721668</v>
      </c>
      <c r="W21" s="1">
        <v>0.670490102112332</v>
      </c>
      <c r="X21" s="1">
        <v>0.9167270035877</v>
      </c>
      <c r="Y21" s="1">
        <v>2.08696284497176</v>
      </c>
      <c r="Z21" s="1">
        <v>0.406291937927364</v>
      </c>
      <c r="AA21" s="1">
        <v>0.248451841295451</v>
      </c>
      <c r="AB21" s="1">
        <v>0.0712405673245192</v>
      </c>
      <c r="AC21" s="1">
        <v>1.06164620696785</v>
      </c>
      <c r="AD21" s="1">
        <v>0.0693510948451243</v>
      </c>
      <c r="AE21" s="1">
        <v>0.229981196611447</v>
      </c>
      <c r="AF21" s="1">
        <v>3.56452629186287</v>
      </c>
    </row>
    <row r="22">
      <c r="A22" s="2">
        <v>36526.0</v>
      </c>
      <c r="B22" s="1">
        <v>33.8291236479034</v>
      </c>
      <c r="C22" s="1">
        <v>6.08127448750743</v>
      </c>
      <c r="D22" s="1">
        <v>2.80405565942438</v>
      </c>
      <c r="E22" s="1">
        <v>0.913555846498597</v>
      </c>
      <c r="F22" s="1">
        <v>2.36366298158445</v>
      </c>
      <c r="G22" s="1">
        <v>21.7509208985982</v>
      </c>
      <c r="H22" s="1">
        <v>3.30969737574951</v>
      </c>
      <c r="I22" s="1">
        <v>0.924082889798268</v>
      </c>
      <c r="J22" s="1">
        <v>0.204782772906078</v>
      </c>
      <c r="K22" s="1">
        <v>0.202387318213592</v>
      </c>
      <c r="L22" s="1">
        <v>0.380420010591321</v>
      </c>
      <c r="M22" s="1">
        <v>2.16194045812263</v>
      </c>
      <c r="N22" s="1">
        <v>2.14153274662115</v>
      </c>
      <c r="O22" s="1">
        <v>0.785447987525279</v>
      </c>
      <c r="P22" s="1">
        <v>0.209695060183779</v>
      </c>
      <c r="Q22" s="1">
        <v>0.601709933506054</v>
      </c>
      <c r="R22" s="1">
        <v>0.890167838342959</v>
      </c>
      <c r="S22" s="1">
        <v>0.111232830904875</v>
      </c>
      <c r="T22" s="1">
        <v>0.11664781395248</v>
      </c>
      <c r="U22" s="1">
        <v>7.94913233213157</v>
      </c>
      <c r="V22" s="1">
        <v>0.298483793867464</v>
      </c>
      <c r="W22" s="1">
        <v>0.659226469851448</v>
      </c>
      <c r="X22" s="1">
        <v>0.804333266329761</v>
      </c>
      <c r="Y22" s="1">
        <v>1.73158065019561</v>
      </c>
      <c r="Z22" s="1">
        <v>0.363078385030749</v>
      </c>
      <c r="AA22" s="1">
        <v>0.262242765398608</v>
      </c>
      <c r="AB22" s="1">
        <v>0.0630347329702806</v>
      </c>
      <c r="AC22" s="1">
        <v>0.805497025566246</v>
      </c>
      <c r="AD22" s="1">
        <v>0.0477047155812722</v>
      </c>
      <c r="AE22" s="1">
        <v>0.190023025648454</v>
      </c>
      <c r="AF22" s="1">
        <v>4.26534761160213</v>
      </c>
    </row>
    <row r="23">
      <c r="A23" s="2">
        <v>36892.0</v>
      </c>
      <c r="B23" s="1">
        <v>35.5976619716601</v>
      </c>
      <c r="C23" s="1">
        <v>6.16495728085366</v>
      </c>
      <c r="D23" s="1">
        <v>2.74178709319381</v>
      </c>
      <c r="E23" s="1">
        <v>0.975524532972941</v>
      </c>
      <c r="F23" s="1">
        <v>2.4476456546869</v>
      </c>
      <c r="G23" s="1">
        <v>22.3921442883675</v>
      </c>
      <c r="H23" s="1">
        <v>3.48685260816441</v>
      </c>
      <c r="I23" s="1">
        <v>0.95553218101721</v>
      </c>
      <c r="J23" s="1">
        <v>0.190361071670332</v>
      </c>
      <c r="K23" s="1">
        <v>0.190788108788626</v>
      </c>
      <c r="L23" s="1">
        <v>0.374174113702173</v>
      </c>
      <c r="M23" s="1">
        <v>2.13769259116602</v>
      </c>
      <c r="N23" s="1">
        <v>2.1260913931352</v>
      </c>
      <c r="O23" s="1">
        <v>0.789361284837142</v>
      </c>
      <c r="P23" s="1">
        <v>0.204928568839537</v>
      </c>
      <c r="Q23" s="1">
        <v>0.744386700271484</v>
      </c>
      <c r="R23" s="1">
        <v>0.905270517574356</v>
      </c>
      <c r="S23" s="1">
        <v>0.146718979639761</v>
      </c>
      <c r="T23" s="1">
        <v>0.0998312549781269</v>
      </c>
      <c r="U23" s="1">
        <v>8.16520463077483</v>
      </c>
      <c r="V23" s="1">
        <v>0.408042657916452</v>
      </c>
      <c r="W23" s="1">
        <v>0.674632638875778</v>
      </c>
      <c r="X23" s="1">
        <v>0.792274987016127</v>
      </c>
      <c r="Y23" s="1">
        <v>1.72247638525068</v>
      </c>
      <c r="Z23" s="1">
        <v>0.334162558863183</v>
      </c>
      <c r="AA23" s="1">
        <v>0.211457251086594</v>
      </c>
      <c r="AB23" s="1">
        <v>0.0641645911998202</v>
      </c>
      <c r="AC23" s="1">
        <v>0.827801980597702</v>
      </c>
      <c r="AD23" s="1">
        <v>0.0764241118106132</v>
      </c>
      <c r="AE23" s="1">
        <v>0.208465891692773</v>
      </c>
      <c r="AF23" s="1">
        <v>5.31808401718817</v>
      </c>
    </row>
    <row r="24">
      <c r="A24" s="2">
        <v>37257.0</v>
      </c>
      <c r="B24" s="1">
        <v>29.1075300062972</v>
      </c>
      <c r="C24" s="1">
        <v>5.28322253661596</v>
      </c>
      <c r="D24" s="1">
        <v>2.27138870048097</v>
      </c>
      <c r="E24" s="1">
        <v>0.813898980776701</v>
      </c>
      <c r="F24" s="1">
        <v>2.19793485535829</v>
      </c>
      <c r="G24" s="1">
        <v>19.841962190755</v>
      </c>
      <c r="H24" s="1">
        <v>2.91396926335604</v>
      </c>
      <c r="I24" s="1">
        <v>0.805739470352617</v>
      </c>
      <c r="J24" s="1">
        <v>0.182512636992074</v>
      </c>
      <c r="K24" s="1">
        <v>0.155057452259974</v>
      </c>
      <c r="L24" s="1">
        <v>0.306009218847177</v>
      </c>
      <c r="M24" s="1">
        <v>1.88267626846122</v>
      </c>
      <c r="N24" s="1">
        <v>1.90845634984155</v>
      </c>
      <c r="O24" s="1">
        <v>0.652531566936166</v>
      </c>
      <c r="P24" s="1">
        <v>0.189656145309624</v>
      </c>
      <c r="Q24" s="1">
        <v>0.522681063028782</v>
      </c>
      <c r="R24" s="1">
        <v>0.868453074359239</v>
      </c>
      <c r="S24" s="1">
        <v>0.103956957525991</v>
      </c>
      <c r="T24" s="1">
        <v>0.0805077297789019</v>
      </c>
      <c r="U24" s="1">
        <v>7.09194742235367</v>
      </c>
      <c r="V24" s="1">
        <v>1.03558473939052</v>
      </c>
      <c r="W24" s="1">
        <v>0.509661626440251</v>
      </c>
      <c r="X24" s="1">
        <v>0.63256120552121</v>
      </c>
      <c r="Y24" s="1">
        <v>1.34736882879082</v>
      </c>
      <c r="Z24" s="1">
        <v>0.286841331308963</v>
      </c>
      <c r="AA24" s="1">
        <v>0.205485581343293</v>
      </c>
      <c r="AB24" s="1">
        <v>0.0502151215575739</v>
      </c>
      <c r="AC24" s="1">
        <v>0.587142480171199</v>
      </c>
      <c r="AD24" s="1">
        <v>0.0530643195168731</v>
      </c>
      <c r="AE24" s="1">
        <v>0.164619994892919</v>
      </c>
      <c r="AF24" s="1">
        <v>2.63497645013537</v>
      </c>
    </row>
    <row r="25">
      <c r="A25" s="2">
        <v>37622.0</v>
      </c>
      <c r="B25" s="1">
        <v>29.449469668082</v>
      </c>
      <c r="C25" s="1">
        <v>5.26216322911255</v>
      </c>
      <c r="D25" s="1">
        <v>2.36876916045601</v>
      </c>
      <c r="E25" s="1">
        <v>0.728412689643543</v>
      </c>
      <c r="F25" s="1">
        <v>2.16498137901299</v>
      </c>
      <c r="G25" s="1">
        <v>19.368209731017</v>
      </c>
      <c r="H25" s="1">
        <v>2.63322094259698</v>
      </c>
      <c r="I25" s="1">
        <v>0.796707283399211</v>
      </c>
      <c r="J25" s="1">
        <v>0.20240558233151</v>
      </c>
      <c r="K25" s="1">
        <v>0.150815562413374</v>
      </c>
      <c r="L25" s="1">
        <v>0.287537540745402</v>
      </c>
      <c r="M25" s="1">
        <v>1.89534654695372</v>
      </c>
      <c r="N25" s="1">
        <v>1.79099779689391</v>
      </c>
      <c r="O25" s="1">
        <v>0.566510853189058</v>
      </c>
      <c r="P25" s="1">
        <v>0.205207273772716</v>
      </c>
      <c r="Q25" s="1">
        <v>0.604258754557556</v>
      </c>
      <c r="R25" s="1">
        <v>1.07543795334203</v>
      </c>
      <c r="S25" s="1">
        <v>0.0992253019922977</v>
      </c>
      <c r="T25" s="1">
        <v>0.0910080973226729</v>
      </c>
      <c r="U25" s="1">
        <v>6.5855647434991</v>
      </c>
      <c r="V25" s="1">
        <v>1.27060188560371</v>
      </c>
      <c r="W25" s="1">
        <v>0.465899071685656</v>
      </c>
      <c r="X25" s="1">
        <v>0.647464540718077</v>
      </c>
      <c r="Y25" s="1">
        <v>2.40033312174111</v>
      </c>
      <c r="Z25" s="1">
        <v>0.316202653516207</v>
      </c>
      <c r="AA25" s="1">
        <v>0.189074854306026</v>
      </c>
      <c r="AB25" s="1">
        <v>0.0592321876072065</v>
      </c>
      <c r="AC25" s="1">
        <v>0.792434387147131</v>
      </c>
      <c r="AD25" s="1">
        <v>0.0539655730402505</v>
      </c>
      <c r="AE25" s="1">
        <v>0.989423466124293</v>
      </c>
      <c r="AF25" s="1">
        <v>2.41876358621131</v>
      </c>
    </row>
    <row r="26">
      <c r="A26" s="2">
        <v>37987.0</v>
      </c>
      <c r="B26" s="1">
        <v>26.6001728242416</v>
      </c>
      <c r="C26" s="1">
        <v>4.99306707233424</v>
      </c>
      <c r="D26" s="1">
        <v>2.32266306105917</v>
      </c>
      <c r="E26" s="1">
        <v>0.684065966324079</v>
      </c>
      <c r="F26" s="1">
        <v>1.98633804495098</v>
      </c>
      <c r="G26" s="1">
        <v>17.6665625345741</v>
      </c>
      <c r="H26" s="1">
        <v>2.54007001761106</v>
      </c>
      <c r="I26" s="1">
        <v>0.686631306500537</v>
      </c>
      <c r="J26" s="1">
        <v>0.186908452574093</v>
      </c>
      <c r="K26" s="1">
        <v>0.1430807800125</v>
      </c>
      <c r="L26" s="1">
        <v>0.306089053127933</v>
      </c>
      <c r="M26" s="1">
        <v>1.74275769115267</v>
      </c>
      <c r="N26" s="1">
        <v>1.65126884579078</v>
      </c>
      <c r="O26" s="1">
        <v>0.496252743001023</v>
      </c>
      <c r="P26" s="1">
        <v>0.208586133602061</v>
      </c>
      <c r="Q26" s="1">
        <v>0.647250567943044</v>
      </c>
      <c r="R26" s="1">
        <v>1.00741407087651</v>
      </c>
      <c r="S26" s="1">
        <v>0.0893690072387651</v>
      </c>
      <c r="T26" s="1">
        <v>0.0898215844652507</v>
      </c>
      <c r="U26" s="1">
        <v>5.85120566071794</v>
      </c>
      <c r="V26" s="1">
        <v>0.978522546457257</v>
      </c>
      <c r="W26" s="1">
        <v>0.401099790577216</v>
      </c>
      <c r="X26" s="1">
        <v>0.640234282925473</v>
      </c>
      <c r="Y26" s="1">
        <v>2.36319882795653</v>
      </c>
      <c r="Z26" s="1">
        <v>0.323162440550595</v>
      </c>
      <c r="AA26" s="1">
        <v>0.615235204733717</v>
      </c>
      <c r="AB26" s="1">
        <v>0.0539995492908254</v>
      </c>
      <c r="AC26" s="1">
        <v>0.921782906692642</v>
      </c>
      <c r="AD26" s="1">
        <v>0.0600618574236033</v>
      </c>
      <c r="AE26" s="1">
        <v>0.388956869265153</v>
      </c>
      <c r="AF26" s="1">
        <v>1.57734438937671</v>
      </c>
    </row>
    <row r="27">
      <c r="A27" s="2">
        <v>38353.0</v>
      </c>
      <c r="B27" s="1">
        <v>29.0570548582002</v>
      </c>
      <c r="C27" s="1">
        <v>5.16860837881259</v>
      </c>
      <c r="D27" s="1">
        <v>2.43718144310059</v>
      </c>
      <c r="E27" s="1">
        <v>0.702529784759953</v>
      </c>
      <c r="F27" s="1">
        <v>2.02889715095205</v>
      </c>
      <c r="G27" s="1">
        <v>18.4083610921152</v>
      </c>
      <c r="H27" s="1">
        <v>2.85793190710685</v>
      </c>
      <c r="I27" s="1">
        <v>0.776437795176917</v>
      </c>
      <c r="J27" s="1">
        <v>0.20397241132323</v>
      </c>
      <c r="K27" s="1">
        <v>0.156843995618162</v>
      </c>
      <c r="L27" s="1">
        <v>0.357103301544042</v>
      </c>
      <c r="M27" s="1">
        <v>1.79538489513491</v>
      </c>
      <c r="N27" s="1">
        <v>1.74967596137666</v>
      </c>
      <c r="O27" s="1">
        <v>0.491009290829001</v>
      </c>
      <c r="P27" s="1">
        <v>0.217161260938343</v>
      </c>
      <c r="Q27" s="1">
        <v>0.961194144692435</v>
      </c>
      <c r="R27" s="1">
        <v>1.07541591648545</v>
      </c>
      <c r="S27" s="1">
        <v>0.0885698479022335</v>
      </c>
      <c r="T27" s="1">
        <v>0.125137537072081</v>
      </c>
      <c r="U27" s="1">
        <v>5.61542962424661</v>
      </c>
      <c r="V27" s="1">
        <v>0.782044707750431</v>
      </c>
      <c r="W27" s="1">
        <v>0.467626106043242</v>
      </c>
      <c r="X27" s="1">
        <v>0.687422388874606</v>
      </c>
      <c r="Y27" s="1">
        <v>3.26925328332654</v>
      </c>
      <c r="Z27" s="1">
        <v>0.339026830465738</v>
      </c>
      <c r="AA27" s="1">
        <v>0.667165567712702</v>
      </c>
      <c r="AB27" s="1">
        <v>0.0973319665107132</v>
      </c>
      <c r="AC27" s="1">
        <v>1.25287324668979</v>
      </c>
      <c r="AD27" s="1">
        <v>0.0615279881414345</v>
      </c>
      <c r="AE27" s="1">
        <v>0.851327683806159</v>
      </c>
      <c r="AF27" s="1">
        <v>2.21083210394581</v>
      </c>
    </row>
    <row r="28">
      <c r="A28" s="2">
        <v>38718.0</v>
      </c>
      <c r="B28" s="1">
        <v>29.6454784126122</v>
      </c>
      <c r="C28" s="1">
        <v>5.19707382514332</v>
      </c>
      <c r="D28" s="1">
        <v>2.50917538913654</v>
      </c>
      <c r="E28" s="1">
        <v>0.701279935149513</v>
      </c>
      <c r="F28" s="1">
        <v>1.98661850085726</v>
      </c>
      <c r="G28" s="1">
        <v>19.1734182374744</v>
      </c>
      <c r="H28" s="1">
        <v>3.0640000217761</v>
      </c>
      <c r="I28" s="1">
        <v>0.87364521197202</v>
      </c>
      <c r="J28" s="1">
        <v>0.222223108508477</v>
      </c>
      <c r="K28" s="1">
        <v>0.164029405966996</v>
      </c>
      <c r="L28" s="1">
        <v>0.39439301690383</v>
      </c>
      <c r="M28" s="1">
        <v>1.80950226537395</v>
      </c>
      <c r="N28" s="1">
        <v>1.76256169668793</v>
      </c>
      <c r="O28" s="1">
        <v>0.507514006018629</v>
      </c>
      <c r="P28" s="1">
        <v>0.281996567281716</v>
      </c>
      <c r="Q28" s="1">
        <v>1.06852264315432</v>
      </c>
      <c r="R28" s="1">
        <v>1.11237482053964</v>
      </c>
      <c r="S28" s="1">
        <v>0.08546642077898</v>
      </c>
      <c r="T28" s="1">
        <v>0.1406322490501</v>
      </c>
      <c r="U28" s="1">
        <v>5.89770146651995</v>
      </c>
      <c r="V28" s="1">
        <v>0.618477882613653</v>
      </c>
      <c r="W28" s="1">
        <v>0.451879871132849</v>
      </c>
      <c r="X28" s="1">
        <v>0.718497583195286</v>
      </c>
      <c r="Y28" s="1">
        <v>3.40192989595988</v>
      </c>
      <c r="Z28" s="1">
        <v>0.319799179176612</v>
      </c>
      <c r="AA28" s="1">
        <v>0.852637335985896</v>
      </c>
      <c r="AB28" s="1">
        <v>0.0905284544184435</v>
      </c>
      <c r="AC28" s="1">
        <v>1.58452825727704</v>
      </c>
      <c r="AD28" s="1">
        <v>0.0738940434854716</v>
      </c>
      <c r="AE28" s="1">
        <v>0.48054262561641</v>
      </c>
      <c r="AF28" s="1">
        <v>1.87305645403455</v>
      </c>
    </row>
    <row r="29">
      <c r="A29" s="2">
        <v>39083.0</v>
      </c>
      <c r="B29" s="1">
        <v>32.4838211956201</v>
      </c>
      <c r="C29" s="1">
        <v>5.42867152021052</v>
      </c>
      <c r="D29" s="1">
        <v>2.69692436463669</v>
      </c>
      <c r="E29" s="1">
        <v>0.729575389484626</v>
      </c>
      <c r="F29" s="1">
        <v>2.0021717660892</v>
      </c>
      <c r="G29" s="1">
        <v>20.8806502283659</v>
      </c>
      <c r="H29" s="1">
        <v>3.20616057419101</v>
      </c>
      <c r="I29" s="1">
        <v>0.936365273918497</v>
      </c>
      <c r="J29" s="1">
        <v>0.236289205498617</v>
      </c>
      <c r="K29" s="1">
        <v>0.176823329433976</v>
      </c>
      <c r="L29" s="1">
        <v>0.442292623196718</v>
      </c>
      <c r="M29" s="1">
        <v>1.89274467922989</v>
      </c>
      <c r="N29" s="1">
        <v>1.82041604381129</v>
      </c>
      <c r="O29" s="1">
        <v>0.566481542555101</v>
      </c>
      <c r="P29" s="1">
        <v>0.349167889701351</v>
      </c>
      <c r="Q29" s="1">
        <v>0.975491384268947</v>
      </c>
      <c r="R29" s="1">
        <v>1.13779655181217</v>
      </c>
      <c r="S29" s="1">
        <v>0.0856713923704984</v>
      </c>
      <c r="T29" s="1">
        <v>0.14809389459232</v>
      </c>
      <c r="U29" s="1">
        <v>7.18765899189452</v>
      </c>
      <c r="V29" s="1">
        <v>0.457440350702825</v>
      </c>
      <c r="W29" s="1">
        <v>0.510240486746307</v>
      </c>
      <c r="X29" s="1">
        <v>0.751516014441846</v>
      </c>
      <c r="Y29" s="1">
        <v>4.08975934518485</v>
      </c>
      <c r="Z29" s="1">
        <v>0.456815782794325</v>
      </c>
      <c r="AA29" s="1">
        <v>1.33653292914013</v>
      </c>
      <c r="AB29" s="1">
        <v>0.138675371683347</v>
      </c>
      <c r="AC29" s="1">
        <v>1.80411772635989</v>
      </c>
      <c r="AD29" s="1">
        <v>0.0755932893829257</v>
      </c>
      <c r="AE29" s="1">
        <v>0.278024245824225</v>
      </c>
      <c r="AF29" s="1">
        <v>2.08474010185882</v>
      </c>
    </row>
    <row r="30">
      <c r="A30" s="2">
        <v>39448.0</v>
      </c>
      <c r="B30" s="1">
        <v>34.3122709253903</v>
      </c>
      <c r="C30" s="1">
        <v>5.48780906339034</v>
      </c>
      <c r="D30" s="1">
        <v>2.66439966623086</v>
      </c>
      <c r="E30" s="1">
        <v>0.787957772930309</v>
      </c>
      <c r="F30" s="1">
        <v>2.03545162422917</v>
      </c>
      <c r="G30" s="1">
        <v>21.7096765135007</v>
      </c>
      <c r="H30" s="1">
        <v>3.37383135930142</v>
      </c>
      <c r="I30" s="1">
        <v>0.994412973274662</v>
      </c>
      <c r="J30" s="1">
        <v>0.237905497884278</v>
      </c>
      <c r="K30" s="1">
        <v>0.168468312429542</v>
      </c>
      <c r="L30" s="1">
        <v>0.539968768176282</v>
      </c>
      <c r="M30" s="1">
        <v>1.96239499875311</v>
      </c>
      <c r="N30" s="1">
        <v>1.9700361078487</v>
      </c>
      <c r="O30" s="1">
        <v>0.634112742574472</v>
      </c>
      <c r="P30" s="1">
        <v>0.396276633557117</v>
      </c>
      <c r="Q30" s="1">
        <v>0.848704456774765</v>
      </c>
      <c r="R30" s="1">
        <v>1.16500387811405</v>
      </c>
      <c r="S30" s="1">
        <v>0.090523670202329</v>
      </c>
      <c r="T30" s="1">
        <v>0.173788060644438</v>
      </c>
      <c r="U30" s="1">
        <v>7.45324634302831</v>
      </c>
      <c r="V30" s="1">
        <v>0.368630218000629</v>
      </c>
      <c r="W30" s="1">
        <v>0.559033148398323</v>
      </c>
      <c r="X30" s="1">
        <v>0.773339344538261</v>
      </c>
      <c r="Y30" s="1">
        <v>5.09930597378636</v>
      </c>
      <c r="Z30" s="1">
        <v>0.683599065561913</v>
      </c>
      <c r="AA30" s="1">
        <v>1.85724238236106</v>
      </c>
      <c r="AB30" s="1">
        <v>0.0918328410148723</v>
      </c>
      <c r="AC30" s="1">
        <v>2.15307156496892</v>
      </c>
      <c r="AD30" s="1">
        <v>0.0852742170327872</v>
      </c>
      <c r="AE30" s="1">
        <v>0.228285902846799</v>
      </c>
      <c r="AF30" s="1">
        <v>2.01547937471286</v>
      </c>
    </row>
    <row r="31">
      <c r="A31" s="2">
        <v>39814.0</v>
      </c>
      <c r="B31" s="1">
        <v>39.864566260578</v>
      </c>
      <c r="C31" s="1">
        <v>6.45830778578436</v>
      </c>
      <c r="D31" s="1">
        <v>3.15003210498031</v>
      </c>
      <c r="E31" s="1">
        <v>0.902811245055187</v>
      </c>
      <c r="F31" s="1">
        <v>2.40546443574886</v>
      </c>
      <c r="G31" s="1">
        <v>25.9314126004414</v>
      </c>
      <c r="H31" s="1">
        <v>3.80999962793811</v>
      </c>
      <c r="I31" s="1">
        <v>1.20885333733865</v>
      </c>
      <c r="J31" s="1">
        <v>0.289465386320847</v>
      </c>
      <c r="K31" s="1">
        <v>0.206248151544321</v>
      </c>
      <c r="L31" s="1">
        <v>0.603714211983509</v>
      </c>
      <c r="M31" s="1">
        <v>2.37174815136425</v>
      </c>
      <c r="N31" s="1">
        <v>2.58085636276935</v>
      </c>
      <c r="O31" s="1">
        <v>0.847111435503241</v>
      </c>
      <c r="P31" s="1">
        <v>0.510411742013139</v>
      </c>
      <c r="Q31" s="1">
        <v>1.04292529029561</v>
      </c>
      <c r="R31" s="1">
        <v>1.38537371633097</v>
      </c>
      <c r="S31" s="1">
        <v>0.127036713476017</v>
      </c>
      <c r="T31" s="1">
        <v>0.197058320305484</v>
      </c>
      <c r="U31" s="1">
        <v>8.83054647749482</v>
      </c>
      <c r="V31" s="1">
        <v>0.398414546049386</v>
      </c>
      <c r="W31" s="1">
        <v>0.689048592526543</v>
      </c>
      <c r="X31" s="1">
        <v>0.832600537187116</v>
      </c>
      <c r="Y31" s="1">
        <v>5.21951456648154</v>
      </c>
      <c r="Z31" s="1">
        <v>0.617234208112189</v>
      </c>
      <c r="AA31" s="1">
        <v>1.64282105025245</v>
      </c>
      <c r="AB31" s="1">
        <v>0.103371486364576</v>
      </c>
      <c r="AC31" s="1">
        <v>2.50387238696864</v>
      </c>
      <c r="AD31" s="1">
        <v>0.126999575528308</v>
      </c>
      <c r="AE31" s="1">
        <v>0.225215859255372</v>
      </c>
      <c r="AF31" s="1">
        <v>2.25533130787075</v>
      </c>
    </row>
    <row r="32">
      <c r="A32" s="2">
        <v>40179.0</v>
      </c>
      <c r="B32" s="1">
        <v>38.2701152914514</v>
      </c>
      <c r="C32" s="1">
        <v>6.19765678837581</v>
      </c>
      <c r="D32" s="1">
        <v>2.94750955018514</v>
      </c>
      <c r="E32" s="1">
        <v>0.871806163518575</v>
      </c>
      <c r="F32" s="1">
        <v>2.37834107467209</v>
      </c>
      <c r="G32" s="1">
        <v>24.7640475901848</v>
      </c>
      <c r="H32" s="1">
        <v>3.48812956054585</v>
      </c>
      <c r="I32" s="1">
        <v>1.15325165046777</v>
      </c>
      <c r="J32" s="1">
        <v>0.269822609921411</v>
      </c>
      <c r="K32" s="1">
        <v>0.206793401316504</v>
      </c>
      <c r="L32" s="1">
        <v>0.495620910207351</v>
      </c>
      <c r="M32" s="1">
        <v>2.24890858472346</v>
      </c>
      <c r="N32" s="1">
        <v>2.52593312225193</v>
      </c>
      <c r="O32" s="1">
        <v>0.839372709227616</v>
      </c>
      <c r="P32" s="1">
        <v>0.520247516453483</v>
      </c>
      <c r="Q32" s="1">
        <v>0.935975539257669</v>
      </c>
      <c r="R32" s="1">
        <v>1.33854600554749</v>
      </c>
      <c r="S32" s="1">
        <v>0.124834069276533</v>
      </c>
      <c r="T32" s="1">
        <v>0.184114431992099</v>
      </c>
      <c r="U32" s="1">
        <v>8.41209150218817</v>
      </c>
      <c r="V32" s="1">
        <v>0.285002296584542</v>
      </c>
      <c r="W32" s="1">
        <v>0.909066790849425</v>
      </c>
      <c r="X32" s="1">
        <v>0.826336889373487</v>
      </c>
      <c r="Y32" s="1">
        <v>5.7177131812187</v>
      </c>
      <c r="Z32" s="1">
        <v>0.622283472004678</v>
      </c>
      <c r="AA32" s="1">
        <v>1.92577879957479</v>
      </c>
      <c r="AB32" s="1">
        <v>0.113019911356371</v>
      </c>
      <c r="AC32" s="1">
        <v>2.55050434245033</v>
      </c>
      <c r="AD32" s="1">
        <v>0.227039106002937</v>
      </c>
      <c r="AE32" s="1">
        <v>0.279087549829586</v>
      </c>
      <c r="AF32" s="1">
        <v>1.59069773167205</v>
      </c>
    </row>
    <row r="33">
      <c r="A33" s="2">
        <v>40544.0</v>
      </c>
      <c r="B33" s="1">
        <v>40.0066990608701</v>
      </c>
      <c r="C33" s="1">
        <v>6.2306996134201</v>
      </c>
      <c r="D33" s="1">
        <v>2.90777863598195</v>
      </c>
      <c r="E33" s="1">
        <v>0.926321751433171</v>
      </c>
      <c r="F33" s="1">
        <v>2.39659922600497</v>
      </c>
      <c r="G33" s="1">
        <v>25.6163463695942</v>
      </c>
      <c r="H33" s="1">
        <v>3.79508143173662</v>
      </c>
      <c r="I33" s="1">
        <v>1.17579132661573</v>
      </c>
      <c r="J33" s="1">
        <v>0.267019808386573</v>
      </c>
      <c r="K33" s="1">
        <v>0.21060460856473</v>
      </c>
      <c r="L33" s="1">
        <v>0.533993238017419</v>
      </c>
      <c r="M33" s="1">
        <v>2.33914973035098</v>
      </c>
      <c r="N33" s="1">
        <v>2.63952082092299</v>
      </c>
      <c r="O33" s="1">
        <v>0.808764763067436</v>
      </c>
      <c r="P33" s="1">
        <v>0.592376592148648</v>
      </c>
      <c r="Q33" s="1">
        <v>0.862152709960091</v>
      </c>
      <c r="R33" s="1">
        <v>1.2981177965911</v>
      </c>
      <c r="S33" s="1">
        <v>0.13278916375936</v>
      </c>
      <c r="T33" s="1">
        <v>0.267985633941978</v>
      </c>
      <c r="U33" s="1">
        <v>8.69429912387795</v>
      </c>
      <c r="V33" s="1">
        <v>0.268481186689189</v>
      </c>
      <c r="W33" s="1">
        <v>0.920404212129387</v>
      </c>
      <c r="X33" s="1">
        <v>0.809814222834028</v>
      </c>
      <c r="Y33" s="1">
        <v>6.07026267691545</v>
      </c>
      <c r="Z33" s="1">
        <v>0.527024819315639</v>
      </c>
      <c r="AA33" s="1">
        <v>2.14082342650323</v>
      </c>
      <c r="AB33" s="1">
        <v>0.106799671204601</v>
      </c>
      <c r="AC33" s="1">
        <v>2.75967541265998</v>
      </c>
      <c r="AD33" s="1">
        <v>0.239648743347799</v>
      </c>
      <c r="AE33" s="1">
        <v>0.296290603884198</v>
      </c>
      <c r="AF33" s="1">
        <v>2.08939040094036</v>
      </c>
    </row>
    <row r="34">
      <c r="A34" s="2">
        <v>40909.0</v>
      </c>
      <c r="B34" s="1">
        <v>41.2792167761168</v>
      </c>
      <c r="C34" s="1">
        <v>6.37354153401644</v>
      </c>
      <c r="D34" s="1">
        <v>2.87155145028602</v>
      </c>
      <c r="E34" s="1">
        <v>0.999645544939294</v>
      </c>
      <c r="F34" s="1">
        <v>2.50234453879113</v>
      </c>
      <c r="G34" s="1">
        <v>27.0684219147899</v>
      </c>
      <c r="H34" s="1">
        <v>3.7857832290915</v>
      </c>
      <c r="I34" s="1">
        <v>1.22036220820971</v>
      </c>
      <c r="J34" s="1">
        <v>0.290250621373112</v>
      </c>
      <c r="K34" s="1">
        <v>0.219391165294935</v>
      </c>
      <c r="L34" s="1">
        <v>0.552274899587658</v>
      </c>
      <c r="M34" s="1">
        <v>2.47746457595547</v>
      </c>
      <c r="N34" s="1">
        <v>2.86079783039664</v>
      </c>
      <c r="O34" s="1">
        <v>0.865388817959243</v>
      </c>
      <c r="P34" s="1">
        <v>0.549946802605142</v>
      </c>
      <c r="Q34" s="1">
        <v>0.791920216867545</v>
      </c>
      <c r="R34" s="1">
        <v>1.20952500230108</v>
      </c>
      <c r="S34" s="1">
        <v>0.14684640913013</v>
      </c>
      <c r="T34" s="1">
        <v>0.283833890458772</v>
      </c>
      <c r="U34" s="1">
        <v>9.85252065200945</v>
      </c>
      <c r="V34" s="1">
        <v>0.254669584923563</v>
      </c>
      <c r="W34" s="1">
        <v>0.864368635182414</v>
      </c>
      <c r="X34" s="1">
        <v>0.843077373443594</v>
      </c>
      <c r="Y34" s="1">
        <v>5.8035798910798</v>
      </c>
      <c r="Z34" s="1">
        <v>0.466310013118507</v>
      </c>
      <c r="AA34" s="1">
        <v>2.27528737263334</v>
      </c>
      <c r="AB34" s="1">
        <v>0.114741987019433</v>
      </c>
      <c r="AC34" s="1">
        <v>2.46005471937284</v>
      </c>
      <c r="AD34" s="1">
        <v>0.243859872864445</v>
      </c>
      <c r="AE34" s="1">
        <v>0.243325926071235</v>
      </c>
      <c r="AF34" s="1">
        <v>2.03367343623061</v>
      </c>
    </row>
    <row r="35">
      <c r="A35" s="2">
        <v>41275.0</v>
      </c>
      <c r="B35" s="1">
        <v>42.8562285902841</v>
      </c>
      <c r="C35" s="1">
        <v>6.71435502866873</v>
      </c>
      <c r="D35" s="1">
        <v>3.07813169764686</v>
      </c>
      <c r="E35" s="1">
        <v>1.05339982574793</v>
      </c>
      <c r="F35" s="1">
        <v>2.58282350527393</v>
      </c>
      <c r="G35" s="1">
        <v>28.2194821071402</v>
      </c>
      <c r="H35" s="1">
        <v>3.92883555795354</v>
      </c>
      <c r="I35" s="1">
        <v>1.23515274795896</v>
      </c>
      <c r="J35" s="1">
        <v>0.310621814330149</v>
      </c>
      <c r="K35" s="1">
        <v>0.246371197230376</v>
      </c>
      <c r="L35" s="1">
        <v>0.530207299774902</v>
      </c>
      <c r="M35" s="1">
        <v>2.58122407520883</v>
      </c>
      <c r="N35" s="1">
        <v>2.92108408786786</v>
      </c>
      <c r="O35" s="1">
        <v>0.874741788392174</v>
      </c>
      <c r="P35" s="1">
        <v>0.534331517041921</v>
      </c>
      <c r="Q35" s="1">
        <v>1.0495225387391</v>
      </c>
      <c r="R35" s="1">
        <v>1.20231694136732</v>
      </c>
      <c r="S35" s="1">
        <v>0.14876356597332</v>
      </c>
      <c r="T35" s="1">
        <v>0.258637678502808</v>
      </c>
      <c r="U35" s="1">
        <v>10.2788332596298</v>
      </c>
      <c r="V35" s="1">
        <v>0.247447444746234</v>
      </c>
      <c r="W35" s="1">
        <v>0.939759551225438</v>
      </c>
      <c r="X35" s="1">
        <v>0.931631041197384</v>
      </c>
      <c r="Y35" s="1">
        <v>6.36574238972535</v>
      </c>
      <c r="Z35" s="1">
        <v>0.47414623459641</v>
      </c>
      <c r="AA35" s="1">
        <v>2.8321603202579</v>
      </c>
      <c r="AB35" s="1">
        <v>0.119452344367908</v>
      </c>
      <c r="AC35" s="1">
        <v>2.43112800339494</v>
      </c>
      <c r="AD35" s="1">
        <v>0.264007221989727</v>
      </c>
      <c r="AE35" s="1">
        <v>0.24484826511846</v>
      </c>
      <c r="AF35" s="1">
        <v>1.55664906474987</v>
      </c>
    </row>
    <row r="36">
      <c r="A36" s="2">
        <v>41640.0</v>
      </c>
      <c r="B36" s="1">
        <v>44.9934368480996</v>
      </c>
      <c r="C36" s="1">
        <v>6.89700996444676</v>
      </c>
      <c r="D36" s="1">
        <v>2.96520895206414</v>
      </c>
      <c r="E36" s="1">
        <v>1.06879641846102</v>
      </c>
      <c r="F36" s="1">
        <v>2.86300459392159</v>
      </c>
      <c r="G36" s="1">
        <v>28.1591030924479</v>
      </c>
      <c r="H36" s="1">
        <v>3.84417236953944</v>
      </c>
      <c r="I36" s="1">
        <v>1.24012165317015</v>
      </c>
      <c r="J36" s="1">
        <v>0.320104671098529</v>
      </c>
      <c r="K36" s="1">
        <v>0.242176620882502</v>
      </c>
      <c r="L36" s="1">
        <v>0.582097075405689</v>
      </c>
      <c r="M36" s="1">
        <v>2.59061192726714</v>
      </c>
      <c r="N36" s="1">
        <v>2.8301507867398</v>
      </c>
      <c r="O36" s="1">
        <v>1.05082482272118</v>
      </c>
      <c r="P36" s="1">
        <v>0.587270415234709</v>
      </c>
      <c r="Q36" s="1">
        <v>1.10818676371841</v>
      </c>
      <c r="R36" s="1">
        <v>1.24330871595293</v>
      </c>
      <c r="S36" s="1">
        <v>0.143194370412969</v>
      </c>
      <c r="T36" s="1">
        <v>0.118256398430384</v>
      </c>
      <c r="U36" s="1">
        <v>10.114980867808</v>
      </c>
      <c r="V36" s="1">
        <v>0.222169319310221</v>
      </c>
      <c r="W36" s="1">
        <v>0.96582858869896</v>
      </c>
      <c r="X36" s="1">
        <v>0.955647726056811</v>
      </c>
      <c r="Y36" s="1">
        <v>7.78734782852031</v>
      </c>
      <c r="Z36" s="1">
        <v>0.407052737399189</v>
      </c>
      <c r="AA36" s="1">
        <v>4.38183638943482</v>
      </c>
      <c r="AB36" s="1">
        <v>0.130930925447883</v>
      </c>
      <c r="AC36" s="1">
        <v>2.33643400185255</v>
      </c>
      <c r="AD36" s="1">
        <v>0.257348282003854</v>
      </c>
      <c r="AE36" s="1">
        <v>0.273745492382007</v>
      </c>
      <c r="AF36" s="1">
        <v>2.14997596268465</v>
      </c>
    </row>
    <row r="37">
      <c r="A37" s="2">
        <v>42005.0</v>
      </c>
      <c r="B37" s="1">
        <v>46.2994597171992</v>
      </c>
      <c r="C37" s="1">
        <v>7.35298935358501</v>
      </c>
      <c r="D37" s="1">
        <v>3.12401984721486</v>
      </c>
      <c r="E37" s="1">
        <v>1.18151225086912</v>
      </c>
      <c r="F37" s="1">
        <v>3.04745725550101</v>
      </c>
      <c r="G37" s="1">
        <v>30.2670437736309</v>
      </c>
      <c r="H37" s="1">
        <v>4.14883274236227</v>
      </c>
      <c r="I37" s="1">
        <v>1.2958420233838</v>
      </c>
      <c r="J37" s="1">
        <v>0.315815979583976</v>
      </c>
      <c r="K37" s="1">
        <v>0.248241975211193</v>
      </c>
      <c r="L37" s="1">
        <v>0.699247965998027</v>
      </c>
      <c r="M37" s="1">
        <v>2.81177801652627</v>
      </c>
      <c r="N37" s="1">
        <v>3.01126995320716</v>
      </c>
      <c r="O37" s="1">
        <v>1.03199458067129</v>
      </c>
      <c r="P37" s="1">
        <v>0.60696002432824</v>
      </c>
      <c r="Q37" s="1">
        <v>1.18827175217237</v>
      </c>
      <c r="R37" s="1">
        <v>1.26861980129899</v>
      </c>
      <c r="S37" s="1">
        <v>0.155443719344218</v>
      </c>
      <c r="T37" s="1">
        <v>0.116786882266581</v>
      </c>
      <c r="U37" s="1">
        <v>11.1386578428514</v>
      </c>
      <c r="V37" s="1">
        <v>0.224033407129116</v>
      </c>
      <c r="W37" s="1">
        <v>1.03646004801647</v>
      </c>
      <c r="X37" s="1">
        <v>0.968787059279514</v>
      </c>
      <c r="Y37" s="1">
        <v>6.57567820936392</v>
      </c>
      <c r="Z37" s="1">
        <v>0.42997486132832</v>
      </c>
      <c r="AA37" s="1">
        <v>3.17954966347367</v>
      </c>
      <c r="AB37" s="1">
        <v>0.167459006308137</v>
      </c>
      <c r="AC37" s="1">
        <v>2.26872934535424</v>
      </c>
      <c r="AD37" s="1">
        <v>0.252276919639441</v>
      </c>
      <c r="AE37" s="1">
        <v>0.27768841326011</v>
      </c>
      <c r="AF37" s="1">
        <v>2.10374838061928</v>
      </c>
    </row>
    <row r="38">
      <c r="A38" s="2">
        <v>42370.0</v>
      </c>
      <c r="B38" s="1">
        <v>47.3080114519466</v>
      </c>
      <c r="C38" s="1">
        <v>7.36883280793289</v>
      </c>
      <c r="D38" s="1">
        <v>2.99181024476541</v>
      </c>
      <c r="E38" s="1">
        <v>1.19360599253469</v>
      </c>
      <c r="F38" s="1">
        <v>3.18341657063277</v>
      </c>
      <c r="G38" s="1">
        <v>29.6802113012333</v>
      </c>
      <c r="H38" s="1">
        <v>3.92444713661508</v>
      </c>
      <c r="I38" s="1">
        <v>1.21602087729615</v>
      </c>
      <c r="J38" s="1">
        <v>0.296098868320141</v>
      </c>
      <c r="K38" s="1">
        <v>0.218933360996843</v>
      </c>
      <c r="L38" s="1">
        <v>0.671937510611495</v>
      </c>
      <c r="M38" s="1">
        <v>2.68856816762699</v>
      </c>
      <c r="N38" s="1">
        <v>2.98492355030355</v>
      </c>
      <c r="O38" s="1">
        <v>0.951683539387096</v>
      </c>
      <c r="P38" s="1">
        <v>0.519061450410838</v>
      </c>
      <c r="Q38" s="1">
        <v>0.941570220296285</v>
      </c>
      <c r="R38" s="1">
        <v>1.1974865541497</v>
      </c>
      <c r="S38" s="1">
        <v>0.153105851697821</v>
      </c>
      <c r="T38" s="1">
        <v>0.247938068844693</v>
      </c>
      <c r="U38" s="1">
        <v>11.266580224456</v>
      </c>
      <c r="V38" s="1">
        <v>0.211871406378167</v>
      </c>
      <c r="W38" s="1">
        <v>1.23490641412986</v>
      </c>
      <c r="X38" s="1">
        <v>0.95507809971264</v>
      </c>
      <c r="Y38" s="1">
        <v>6.19405187561651</v>
      </c>
      <c r="Z38" s="1">
        <v>0.391855393708049</v>
      </c>
      <c r="AA38" s="1">
        <v>3.12394199300037</v>
      </c>
      <c r="AB38" s="1">
        <v>0.166264579647046</v>
      </c>
      <c r="AC38" s="1">
        <v>2.09309369159273</v>
      </c>
      <c r="AD38" s="1">
        <v>0.163723652117353</v>
      </c>
      <c r="AE38" s="1">
        <v>0.255172565550951</v>
      </c>
      <c r="AF38" s="1">
        <v>4.06491546716384</v>
      </c>
    </row>
    <row r="39">
      <c r="A39" s="2">
        <v>42736.0</v>
      </c>
      <c r="B39" s="1">
        <v>46.2478183091997</v>
      </c>
      <c r="C39" s="1">
        <v>7.31175566978709</v>
      </c>
      <c r="D39" s="1">
        <v>3.00814018909452</v>
      </c>
      <c r="E39" s="1">
        <v>1.22819249163544</v>
      </c>
      <c r="F39" s="1">
        <v>3.07542298905713</v>
      </c>
      <c r="G39" s="1">
        <v>30.6474449825931</v>
      </c>
      <c r="H39" s="1">
        <v>3.86901752104739</v>
      </c>
      <c r="I39" s="1">
        <v>1.26249289024356</v>
      </c>
      <c r="J39" s="1">
        <v>0.283502036250579</v>
      </c>
      <c r="K39" s="1">
        <v>0.236690946765625</v>
      </c>
      <c r="L39" s="1">
        <v>0.613888970691831</v>
      </c>
      <c r="M39" s="1">
        <v>2.72766388635881</v>
      </c>
      <c r="N39" s="1">
        <v>3.10753620955683</v>
      </c>
      <c r="O39" s="1">
        <v>0.904487881276515</v>
      </c>
      <c r="P39" s="1">
        <v>0.559556246712744</v>
      </c>
      <c r="Q39" s="1">
        <v>1.02289401557416</v>
      </c>
      <c r="R39" s="1">
        <v>1.38200371378809</v>
      </c>
      <c r="S39" s="1">
        <v>0.160530040000907</v>
      </c>
      <c r="T39" s="1">
        <v>0.228060647910213</v>
      </c>
      <c r="U39" s="1">
        <v>11.7874932566281</v>
      </c>
      <c r="V39" s="1">
        <v>0.244754694540347</v>
      </c>
      <c r="W39" s="1">
        <v>1.25082988232968</v>
      </c>
      <c r="X39" s="1">
        <v>1.00604214291774</v>
      </c>
      <c r="Y39" s="1">
        <v>4.87773305724704</v>
      </c>
      <c r="Z39" s="1">
        <v>0.417780435374059</v>
      </c>
      <c r="AA39" s="1">
        <v>1.72437885965963</v>
      </c>
      <c r="AB39" s="1">
        <v>0.139620772355604</v>
      </c>
      <c r="AC39" s="1">
        <v>2.16212979849254</v>
      </c>
      <c r="AD39" s="1">
        <v>0.152416996357582</v>
      </c>
      <c r="AE39" s="1">
        <v>0.281406195007616</v>
      </c>
      <c r="AF39" s="1">
        <v>3.41088459957246</v>
      </c>
    </row>
    <row r="40">
      <c r="A40" s="2">
        <v>43101.0</v>
      </c>
      <c r="B40" s="1">
        <v>43.5896246770766</v>
      </c>
      <c r="C40" s="1">
        <v>6.59364789079859</v>
      </c>
      <c r="D40" s="1">
        <v>2.70729817548758</v>
      </c>
      <c r="E40" s="1">
        <v>1.15428006658827</v>
      </c>
      <c r="F40" s="1">
        <v>2.73206964872273</v>
      </c>
      <c r="G40" s="1">
        <v>28.0923843273443</v>
      </c>
      <c r="H40" s="1">
        <v>3.47423580480618</v>
      </c>
      <c r="I40" s="1">
        <v>1.19688968791896</v>
      </c>
      <c r="J40" s="1">
        <v>0.227936774479841</v>
      </c>
      <c r="K40" s="1">
        <v>0.20861679836099</v>
      </c>
      <c r="L40" s="1">
        <v>0.495446996286636</v>
      </c>
      <c r="M40" s="1">
        <v>2.52516873941891</v>
      </c>
      <c r="N40" s="1">
        <v>2.8790509265424</v>
      </c>
      <c r="O40" s="1">
        <v>0.747251265599453</v>
      </c>
      <c r="P40" s="1">
        <v>0.475161680868284</v>
      </c>
      <c r="Q40" s="1">
        <v>0.903323480578039</v>
      </c>
      <c r="R40" s="1">
        <v>1.3346844571651</v>
      </c>
      <c r="S40" s="1">
        <v>0.148335040723779</v>
      </c>
      <c r="T40" s="1">
        <v>0.16396597846632</v>
      </c>
      <c r="U40" s="1">
        <v>10.95250485343</v>
      </c>
      <c r="V40" s="1">
        <v>0.191596240696081</v>
      </c>
      <c r="W40" s="1">
        <v>1.19282271152916</v>
      </c>
      <c r="X40" s="1">
        <v>0.975392890474161</v>
      </c>
      <c r="Y40" s="1">
        <v>4.58464514392888</v>
      </c>
      <c r="Z40" s="1">
        <v>0.371508277626083</v>
      </c>
      <c r="AA40" s="1">
        <v>1.55874515298174</v>
      </c>
      <c r="AB40" s="1">
        <v>0.11163938935535</v>
      </c>
      <c r="AC40" s="1">
        <v>2.19357112489835</v>
      </c>
      <c r="AD40" s="1">
        <v>0.123576983572242</v>
      </c>
      <c r="AE40" s="1">
        <v>0.225604215495101</v>
      </c>
      <c r="AF40" s="1">
        <v>4.31894731500475</v>
      </c>
    </row>
    <row r="41">
      <c r="A41" s="2">
        <v>43466.0</v>
      </c>
      <c r="B41" s="1">
        <v>43.4633946794305</v>
      </c>
      <c r="C41" s="1">
        <v>6.41411495124781</v>
      </c>
      <c r="D41" s="1">
        <v>2.67367666421877</v>
      </c>
      <c r="E41" s="1">
        <v>1.18597006067803</v>
      </c>
      <c r="F41" s="1">
        <v>2.55446822635101</v>
      </c>
      <c r="G41" s="1">
        <v>27.9022394993136</v>
      </c>
      <c r="H41" s="1">
        <v>3.43473747747339</v>
      </c>
      <c r="I41" s="1">
        <v>1.08072261252812</v>
      </c>
      <c r="J41" s="1">
        <v>0.199623818934709</v>
      </c>
      <c r="K41" s="1">
        <v>0.188516779160338</v>
      </c>
      <c r="L41" s="1">
        <v>0.523823622511627</v>
      </c>
      <c r="M41" s="1">
        <v>2.52916043668613</v>
      </c>
      <c r="N41" s="1">
        <v>2.89709491029367</v>
      </c>
      <c r="O41" s="1">
        <v>0.819035881362264</v>
      </c>
      <c r="P41" s="1">
        <v>0.382790615139843</v>
      </c>
      <c r="Q41" s="1">
        <v>0.850467910254129</v>
      </c>
      <c r="R41" s="1">
        <v>1.40331429583695</v>
      </c>
      <c r="S41" s="1">
        <v>0.149128393828054</v>
      </c>
      <c r="T41" s="1">
        <v>0.179717353020512</v>
      </c>
      <c r="U41" s="1">
        <v>10.918835478277</v>
      </c>
      <c r="V41" s="1">
        <v>0.200787355136752</v>
      </c>
      <c r="W41" s="1">
        <v>1.16034732847089</v>
      </c>
      <c r="X41" s="1">
        <v>0.98413523039915</v>
      </c>
      <c r="Y41" s="1">
        <v>4.10162526502528</v>
      </c>
      <c r="Z41" s="1">
        <v>0.346857576055794</v>
      </c>
      <c r="AA41" s="1">
        <v>1.31656877890772</v>
      </c>
      <c r="AB41" s="1">
        <v>0.0832317430766983</v>
      </c>
      <c r="AC41" s="1">
        <v>2.00919306807633</v>
      </c>
      <c r="AD41" s="1">
        <v>0.11179326997791</v>
      </c>
      <c r="AE41" s="1">
        <v>0.233980828930816</v>
      </c>
      <c r="AF41" s="1">
        <v>5.04541496384379</v>
      </c>
    </row>
    <row r="42">
      <c r="A42" s="2">
        <v>43831.0</v>
      </c>
      <c r="B42" s="1">
        <v>47.3533215588776</v>
      </c>
      <c r="C42" s="1">
        <v>6.54626437196523</v>
      </c>
      <c r="D42" s="1">
        <v>2.66397257850066</v>
      </c>
      <c r="E42" s="1">
        <v>1.24157156776526</v>
      </c>
      <c r="F42" s="1">
        <v>2.64072022569929</v>
      </c>
      <c r="G42" s="1">
        <v>32.8186791121317</v>
      </c>
      <c r="H42" s="1">
        <v>3.66754927336669</v>
      </c>
      <c r="I42" s="1">
        <v>1.1778968432375</v>
      </c>
      <c r="J42" s="1">
        <v>0.204468297067695</v>
      </c>
      <c r="K42" s="1">
        <v>0.185666679813651</v>
      </c>
      <c r="L42" s="1">
        <v>0.528711020209212</v>
      </c>
      <c r="M42" s="1">
        <v>3.07362728651143</v>
      </c>
      <c r="N42" s="1">
        <v>3.11798900577642</v>
      </c>
      <c r="O42" s="1">
        <v>0.886428561861281</v>
      </c>
      <c r="P42" s="1">
        <v>0.542350361349046</v>
      </c>
      <c r="Q42" s="1">
        <v>0.774726269854473</v>
      </c>
      <c r="R42" s="1">
        <v>2.87138258742378</v>
      </c>
      <c r="S42" s="1">
        <v>0.164511840247989</v>
      </c>
      <c r="T42" s="1">
        <v>0.194505025243243</v>
      </c>
      <c r="U42" s="1">
        <v>12.1348711968218</v>
      </c>
      <c r="V42" s="1">
        <v>1.05708998125293</v>
      </c>
      <c r="W42" s="1">
        <v>1.27667732775159</v>
      </c>
      <c r="X42" s="1">
        <v>0.960227554342953</v>
      </c>
      <c r="Y42" s="1">
        <v>5.20940486312732</v>
      </c>
      <c r="Z42" s="1">
        <v>0.373655288504759</v>
      </c>
      <c r="AA42" s="1">
        <v>1.97312160221922</v>
      </c>
      <c r="AB42" s="1">
        <v>0.545357640575407</v>
      </c>
      <c r="AC42" s="1">
        <v>1.97152635944742</v>
      </c>
      <c r="AD42" s="1">
        <v>0.129670767253813</v>
      </c>
      <c r="AE42" s="1">
        <v>0.216073205126695</v>
      </c>
      <c r="AF42" s="1">
        <v>2.7789732116533</v>
      </c>
    </row>
    <row r="43">
      <c r="A43" s="2">
        <v>44197.0</v>
      </c>
      <c r="B43" s="1">
        <v>42.8088834701039</v>
      </c>
      <c r="C43" s="1">
        <v>6.17320859174794</v>
      </c>
      <c r="D43" s="1">
        <v>2.57392576370915</v>
      </c>
      <c r="E43" s="1">
        <v>1.1720817444179</v>
      </c>
      <c r="F43" s="1">
        <v>2.42720108362088</v>
      </c>
      <c r="G43" s="1">
        <v>29.0518180303589</v>
      </c>
      <c r="H43" s="1">
        <v>3.26038215473319</v>
      </c>
      <c r="I43" s="1">
        <v>1.05786444097302</v>
      </c>
      <c r="J43" s="1">
        <v>0.22031598942864</v>
      </c>
      <c r="K43" s="1">
        <v>0.190357275099747</v>
      </c>
      <c r="L43" s="1">
        <v>0.566265110149987</v>
      </c>
      <c r="M43" s="1">
        <v>3.09652885869523</v>
      </c>
      <c r="N43" s="1">
        <v>2.65383913948818</v>
      </c>
      <c r="O43" s="1">
        <v>0.771715565554806</v>
      </c>
      <c r="P43" s="1">
        <v>0.560541625190203</v>
      </c>
      <c r="Q43" s="1">
        <v>1.34486929388104</v>
      </c>
      <c r="R43" s="1">
        <v>2.22169023943166</v>
      </c>
      <c r="S43" s="1">
        <v>0.139681696598426</v>
      </c>
      <c r="T43" s="1">
        <v>0.169334069339624</v>
      </c>
      <c r="U43" s="1">
        <v>10.2521426594551</v>
      </c>
      <c r="V43" s="1">
        <v>0.436668644067172</v>
      </c>
      <c r="W43" s="1">
        <v>1.11474048143197</v>
      </c>
      <c r="X43" s="1">
        <v>0.994880786840875</v>
      </c>
      <c r="Y43" s="1">
        <v>5.56297672378984</v>
      </c>
      <c r="Z43" s="1">
        <v>0.368961810016842</v>
      </c>
      <c r="AA43" s="1">
        <v>2.40534187090059</v>
      </c>
      <c r="AB43" s="1">
        <v>0.338172090671297</v>
      </c>
      <c r="AC43" s="1">
        <v>2.03610551468767</v>
      </c>
      <c r="AD43" s="1">
        <v>0.122638628673338</v>
      </c>
      <c r="AE43" s="1">
        <v>0.291756808840099</v>
      </c>
      <c r="AF43" s="1">
        <v>2.02088012420722</v>
      </c>
    </row>
    <row r="44">
      <c r="A44" s="2">
        <v>44562.0</v>
      </c>
      <c r="B44" s="1">
        <v>42.2564486897025</v>
      </c>
      <c r="C44" s="1">
        <v>6.22660698845558</v>
      </c>
      <c r="D44" s="1">
        <v>2.57300612826636</v>
      </c>
      <c r="E44" s="1">
        <v>1.17393684663349</v>
      </c>
      <c r="F44" s="1">
        <v>2.47966401355572</v>
      </c>
      <c r="G44" s="1">
        <v>28.1643100000146</v>
      </c>
      <c r="H44" s="1">
        <v>3.2523612326731</v>
      </c>
      <c r="I44" s="1">
        <v>1.04926585923016</v>
      </c>
      <c r="J44" s="1">
        <v>0.246089651636702</v>
      </c>
      <c r="K44" s="1">
        <v>0.196900832202738</v>
      </c>
      <c r="L44" s="1">
        <v>0.67050418159962</v>
      </c>
      <c r="M44" s="1">
        <v>2.75574031283965</v>
      </c>
      <c r="N44" s="1">
        <v>2.56434756446758</v>
      </c>
      <c r="O44" s="1">
        <v>0.788813432235231</v>
      </c>
      <c r="P44" s="1">
        <v>0.593181930983876</v>
      </c>
      <c r="Q44" s="1">
        <v>1.01269805167452</v>
      </c>
      <c r="R44" s="1">
        <v>2.5343599394945</v>
      </c>
      <c r="S44" s="1">
        <v>0.13637622210721</v>
      </c>
      <c r="T44" s="1">
        <v>0.17308577718543</v>
      </c>
      <c r="U44" s="1">
        <v>10.0249198460687</v>
      </c>
      <c r="V44" s="1">
        <v>0.176286212613072</v>
      </c>
      <c r="W44" s="1">
        <v>1.04987231924594</v>
      </c>
      <c r="X44" s="1">
        <v>0.939506633756532</v>
      </c>
      <c r="Y44" s="1">
        <v>5.61647856715444</v>
      </c>
      <c r="Z44" s="1">
        <v>0.417449810498628</v>
      </c>
      <c r="AA44" s="1">
        <v>2.5871983539642</v>
      </c>
      <c r="AB44" s="1">
        <v>0.164597377843138</v>
      </c>
      <c r="AC44" s="1">
        <v>1.98274719594041</v>
      </c>
      <c r="AD44" s="1">
        <v>0.155796022110739</v>
      </c>
      <c r="AE44" s="1">
        <v>0.308689806797321</v>
      </c>
      <c r="AF44" s="1">
        <v>2.24905313407792</v>
      </c>
    </row>
    <row r="45">
      <c r="A45" s="2">
        <v>44927.0</v>
      </c>
      <c r="B45" s="1">
        <v>41.86654045227</v>
      </c>
      <c r="C45" s="1">
        <v>6.56488195353367</v>
      </c>
      <c r="D45" s="1">
        <v>2.75379546737265</v>
      </c>
      <c r="E45" s="1">
        <v>1.24669297615779</v>
      </c>
      <c r="F45" s="1">
        <v>2.56439351000322</v>
      </c>
      <c r="G45" s="1">
        <v>28.1918159869333</v>
      </c>
      <c r="H45" s="1">
        <v>3.45927897594365</v>
      </c>
      <c r="I45" s="1">
        <v>1.12745658453769</v>
      </c>
      <c r="J45" s="1">
        <v>0.267382988187198</v>
      </c>
      <c r="K45" s="1">
        <v>0.200339244226641</v>
      </c>
      <c r="L45" s="1">
        <v>0.793024305904271</v>
      </c>
      <c r="M45" s="1">
        <v>2.73847209063528</v>
      </c>
      <c r="N45" s="1">
        <v>2.5255728386879</v>
      </c>
      <c r="O45" s="1">
        <v>1.02546652903556</v>
      </c>
      <c r="P45" s="1">
        <v>0.680249048691894</v>
      </c>
      <c r="Q45" s="1">
        <v>0.938284251889905</v>
      </c>
      <c r="R45" s="1">
        <v>2.4222227589445</v>
      </c>
      <c r="S45" s="1">
        <v>0.133667070881879</v>
      </c>
      <c r="T45" s="1">
        <v>0.225013499900488</v>
      </c>
      <c r="U45" s="1">
        <v>9.79877955508495</v>
      </c>
      <c r="V45" s="1">
        <v>0.211971363356368</v>
      </c>
      <c r="W45" s="1">
        <v>0.705148935609698</v>
      </c>
      <c r="X45" s="1">
        <v>0.939485945415393</v>
      </c>
      <c r="Y45" s="1">
        <v>4.93150058947682</v>
      </c>
      <c r="Z45" s="1">
        <v>0.435872141886336</v>
      </c>
      <c r="AA45" s="1">
        <v>2.00719834940272</v>
      </c>
      <c r="AB45" s="1">
        <v>0.137636612512571</v>
      </c>
      <c r="AC45" s="1">
        <v>1.88968890540065</v>
      </c>
      <c r="AD45" s="1">
        <v>0.145212126990021</v>
      </c>
      <c r="AE45" s="1">
        <v>0.315892453284517</v>
      </c>
      <c r="AF45" s="1">
        <v>2.17834192232627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3.5"/>
    <col customWidth="1" min="3" max="3" width="25.25"/>
  </cols>
  <sheetData>
    <row r="1">
      <c r="A1" s="4" t="s">
        <v>32</v>
      </c>
      <c r="B1" s="4" t="s">
        <v>33</v>
      </c>
      <c r="C1" s="4" t="s">
        <v>34</v>
      </c>
    </row>
    <row r="2" ht="17.25" customHeight="1">
      <c r="A2" s="5">
        <f>IFERROR(__xludf.DUMMYFUNCTION("ARRAYFORMULA(
  SPLIT(
    FLATTEN(
      raw_data!A2:A2018 &amp; ""|"" &amp; raw_data!B1:ZZ1 &amp; ""|"" &amp; raw_data!B2:ZZ2018
    ),
    ""|""
  )
)
"),29221.0)</f>
        <v>29221</v>
      </c>
      <c r="B2" s="6" t="str">
        <f>IFERROR(__xludf.DUMMYFUNCTION("""COMPUTED_VALUE"""),"gpc_pib")</f>
        <v>gpc_pib</v>
      </c>
      <c r="C2" s="6">
        <f>IFERROR(__xludf.DUMMYFUNCTION("""COMPUTED_VALUE"""),29.0371464921598)</f>
        <v>29.03714649</v>
      </c>
    </row>
    <row r="3">
      <c r="A3" s="5">
        <f>IFERROR(__xludf.DUMMYFUNCTION("""COMPUTED_VALUE"""),29221.0)</f>
        <v>29221</v>
      </c>
      <c r="B3" s="6" t="str">
        <f>IFERROR(__xludf.DUMMYFUNCTION("""COMPUTED_VALUE"""),"gpc_funcionamiento_estado_pib")</f>
        <v>gpc_funcionamiento_estado_pib</v>
      </c>
      <c r="C3" s="6">
        <f>IFERROR(__xludf.DUMMYFUNCTION("""COMPUTED_VALUE"""),5.36965402960544)</f>
        <v>5.36965403</v>
      </c>
    </row>
    <row r="4">
      <c r="A4" s="5">
        <f>IFERROR(__xludf.DUMMYFUNCTION("""COMPUTED_VALUE"""),29221.0)</f>
        <v>29221</v>
      </c>
      <c r="B4" s="6" t="str">
        <f>IFERROR(__xludf.DUMMYFUNCTION("""COMPUTED_VALUE"""),"gpc_administracion_general_pib")</f>
        <v>gpc_administracion_general_pib</v>
      </c>
      <c r="C4" s="6">
        <f>IFERROR(__xludf.DUMMYFUNCTION("""COMPUTED_VALUE"""),1.84961529673946)</f>
        <v>1.849615297</v>
      </c>
    </row>
    <row r="5">
      <c r="A5" s="5">
        <f>IFERROR(__xludf.DUMMYFUNCTION("""COMPUTED_VALUE"""),29221.0)</f>
        <v>29221</v>
      </c>
      <c r="B5" s="6" t="str">
        <f>IFERROR(__xludf.DUMMYFUNCTION("""COMPUTED_VALUE"""),"gpc_justicia_pib")</f>
        <v>gpc_justicia_pib</v>
      </c>
      <c r="C5" s="6">
        <f>IFERROR(__xludf.DUMMYFUNCTION("""COMPUTED_VALUE"""),0.32884533811118)</f>
        <v>0.3288453381</v>
      </c>
    </row>
    <row r="6">
      <c r="A6" s="5">
        <f>IFERROR(__xludf.DUMMYFUNCTION("""COMPUTED_VALUE"""),29221.0)</f>
        <v>29221</v>
      </c>
      <c r="B6" s="6" t="str">
        <f>IFERROR(__xludf.DUMMYFUNCTION("""COMPUTED_VALUE"""),"gpc_defensa_seguridad_pib")</f>
        <v>gpc_defensa_seguridad_pib</v>
      </c>
      <c r="C6" s="6">
        <f>IFERROR(__xludf.DUMMYFUNCTION("""COMPUTED_VALUE"""),3.19119339475479)</f>
        <v>3.191193395</v>
      </c>
    </row>
    <row r="7">
      <c r="A7" s="5">
        <f>IFERROR(__xludf.DUMMYFUNCTION("""COMPUTED_VALUE"""),29221.0)</f>
        <v>29221</v>
      </c>
      <c r="B7" s="6" t="str">
        <f>IFERROR(__xludf.DUMMYFUNCTION("""COMPUTED_VALUE"""),"gpc_servicios_sociales_pib")</f>
        <v>gpc_servicios_sociales_pib</v>
      </c>
      <c r="C7" s="6">
        <f>IFERROR(__xludf.DUMMYFUNCTION("""COMPUTED_VALUE"""),14.5054736342083)</f>
        <v>14.50547363</v>
      </c>
    </row>
    <row r="8">
      <c r="A8" s="5">
        <f>IFERROR(__xludf.DUMMYFUNCTION("""COMPUTED_VALUE"""),29221.0)</f>
        <v>29221</v>
      </c>
      <c r="B8" s="6" t="str">
        <f>IFERROR(__xludf.DUMMYFUNCTION("""COMPUTED_VALUE"""),"gpc_educacion_basica_pib")</f>
        <v>gpc_educacion_basica_pib</v>
      </c>
      <c r="C8" s="6">
        <f>IFERROR(__xludf.DUMMYFUNCTION("""COMPUTED_VALUE"""),2.02497873277004)</f>
        <v>2.024978733</v>
      </c>
    </row>
    <row r="9">
      <c r="A9" s="5">
        <f>IFERROR(__xludf.DUMMYFUNCTION("""COMPUTED_VALUE"""),29221.0)</f>
        <v>29221</v>
      </c>
      <c r="B9" s="6" t="str">
        <f>IFERROR(__xludf.DUMMYFUNCTION("""COMPUTED_VALUE"""),"gpc_educacion_universitaria_pib")</f>
        <v>gpc_educacion_universitaria_pib</v>
      </c>
      <c r="C9" s="6">
        <f>IFERROR(__xludf.DUMMYFUNCTION("""COMPUTED_VALUE"""),0.453309991488944)</f>
        <v>0.4533099915</v>
      </c>
    </row>
    <row r="10">
      <c r="A10" s="5">
        <f>IFERROR(__xludf.DUMMYFUNCTION("""COMPUTED_VALUE"""),29221.0)</f>
        <v>29221</v>
      </c>
      <c r="B10" s="6" t="str">
        <f>IFERROR(__xludf.DUMMYFUNCTION("""COMPUTED_VALUE"""),"gpc_ciencia_tecnica_pib")</f>
        <v>gpc_ciencia_tecnica_pib</v>
      </c>
      <c r="C10" s="6">
        <f>IFERROR(__xludf.DUMMYFUNCTION("""COMPUTED_VALUE"""),0.251231805850851)</f>
        <v>0.2512318059</v>
      </c>
    </row>
    <row r="11">
      <c r="A11" s="5">
        <f>IFERROR(__xludf.DUMMYFUNCTION("""COMPUTED_VALUE"""),29221.0)</f>
        <v>29221</v>
      </c>
      <c r="B11" s="6" t="str">
        <f>IFERROR(__xludf.DUMMYFUNCTION("""COMPUTED_VALUE"""),"gpc_cultura_pib")</f>
        <v>gpc_cultura_pib</v>
      </c>
      <c r="C11" s="6">
        <f>IFERROR(__xludf.DUMMYFUNCTION("""COMPUTED_VALUE"""),0.0704388240703323)</f>
        <v>0.07043882407</v>
      </c>
    </row>
    <row r="12">
      <c r="A12" s="5">
        <f>IFERROR(__xludf.DUMMYFUNCTION("""COMPUTED_VALUE"""),29221.0)</f>
        <v>29221</v>
      </c>
      <c r="B12" s="6" t="str">
        <f>IFERROR(__xludf.DUMMYFUNCTION("""COMPUTED_VALUE"""),"gpc_educacion_cultura_sin_discriminar_pib")</f>
        <v>gpc_educacion_cultura_sin_discriminar_pib</v>
      </c>
      <c r="C12" s="6">
        <f>IFERROR(__xludf.DUMMYFUNCTION("""COMPUTED_VALUE"""),0.187836864187552)</f>
        <v>0.1878368642</v>
      </c>
    </row>
    <row r="13">
      <c r="A13" s="5">
        <f>IFERROR(__xludf.DUMMYFUNCTION("""COMPUTED_VALUE"""),29221.0)</f>
        <v>29221</v>
      </c>
      <c r="B13" s="6" t="str">
        <f>IFERROR(__xludf.DUMMYFUNCTION("""COMPUTED_VALUE"""),"gpc_atencion_salud_pib")</f>
        <v>gpc_atencion_salud_pib</v>
      </c>
      <c r="C13" s="6">
        <f>IFERROR(__xludf.DUMMYFUNCTION("""COMPUTED_VALUE"""),1.16087184147473)</f>
        <v>1.160871841</v>
      </c>
    </row>
    <row r="14">
      <c r="A14" s="5">
        <f>IFERROR(__xludf.DUMMYFUNCTION("""COMPUTED_VALUE"""),29221.0)</f>
        <v>29221</v>
      </c>
      <c r="B14" s="6" t="str">
        <f>IFERROR(__xludf.DUMMYFUNCTION("""COMPUTED_VALUE"""),"gpc_obras_sociales_salud_pib")</f>
        <v>gpc_obras_sociales_salud_pib</v>
      </c>
      <c r="C14" s="6">
        <f>IFERROR(__xludf.DUMMYFUNCTION("""COMPUTED_VALUE"""),1.6021218796724)</f>
        <v>1.60212188</v>
      </c>
    </row>
    <row r="15">
      <c r="A15" s="5">
        <f>IFERROR(__xludf.DUMMYFUNCTION("""COMPUTED_VALUE"""),29221.0)</f>
        <v>29221</v>
      </c>
      <c r="B15" s="6" t="str">
        <f>IFERROR(__xludf.DUMMYFUNCTION("""COMPUTED_VALUE"""),"gpc_inssjyp_salud_pib")</f>
        <v>gpc_inssjyp_salud_pib</v>
      </c>
      <c r="C15" s="6">
        <f>IFERROR(__xludf.DUMMYFUNCTION("""COMPUTED_VALUE"""),0.414884673774257)</f>
        <v>0.4148846738</v>
      </c>
    </row>
    <row r="16">
      <c r="A16" s="5">
        <f>IFERROR(__xludf.DUMMYFUNCTION("""COMPUTED_VALUE"""),29221.0)</f>
        <v>29221</v>
      </c>
      <c r="B16" s="6" t="str">
        <f>IFERROR(__xludf.DUMMYFUNCTION("""COMPUTED_VALUE"""),"gpc_agua_alcantarillado_pib")</f>
        <v>gpc_agua_alcantarillado_pib</v>
      </c>
      <c r="C16" s="6">
        <f>IFERROR(__xludf.DUMMYFUNCTION("""COMPUTED_VALUE"""),0.239474735227702)</f>
        <v>0.2394747352</v>
      </c>
    </row>
    <row r="17">
      <c r="A17" s="5">
        <f>IFERROR(__xludf.DUMMYFUNCTION("""COMPUTED_VALUE"""),29221.0)</f>
        <v>29221</v>
      </c>
      <c r="B17" s="6" t="str">
        <f>IFERROR(__xludf.DUMMYFUNCTION("""COMPUTED_VALUE"""),"gpc_vivienda_urbanismo_pib")</f>
        <v>gpc_vivienda_urbanismo_pib</v>
      </c>
      <c r="C17" s="6">
        <f>IFERROR(__xludf.DUMMYFUNCTION("""COMPUTED_VALUE"""),0.781870947180688)</f>
        <v>0.7818709472</v>
      </c>
    </row>
    <row r="18">
      <c r="A18" s="5">
        <f>IFERROR(__xludf.DUMMYFUNCTION("""COMPUTED_VALUE"""),29221.0)</f>
        <v>29221</v>
      </c>
      <c r="B18" s="6" t="str">
        <f>IFERROR(__xludf.DUMMYFUNCTION("""COMPUTED_VALUE"""),"gpc_promocion_asistencia_social_pib")</f>
        <v>gpc_promocion_asistencia_social_pib</v>
      </c>
      <c r="C18" s="6">
        <f>IFERROR(__xludf.DUMMYFUNCTION("""COMPUTED_VALUE"""),0.469522961111524)</f>
        <v>0.4695229611</v>
      </c>
    </row>
    <row r="19">
      <c r="A19" s="5">
        <f>IFERROR(__xludf.DUMMYFUNCTION("""COMPUTED_VALUE"""),29221.0)</f>
        <v>29221</v>
      </c>
      <c r="B19" s="6" t="str">
        <f>IFERROR(__xludf.DUMMYFUNCTION("""COMPUTED_VALUE"""),"gpc_obras_sociales_prestaciones_pib")</f>
        <v>gpc_obras_sociales_prestaciones_pib</v>
      </c>
      <c r="C19" s="6">
        <f>IFERROR(__xludf.DUMMYFUNCTION("""COMPUTED_VALUE"""),0.235112786443145)</f>
        <v>0.2351127864</v>
      </c>
    </row>
    <row r="20">
      <c r="A20" s="5">
        <f>IFERROR(__xludf.DUMMYFUNCTION("""COMPUTED_VALUE"""),29221.0)</f>
        <v>29221</v>
      </c>
      <c r="B20" s="6" t="str">
        <f>IFERROR(__xludf.DUMMYFUNCTION("""COMPUTED_VALUE"""),"gpc_inssjyp_prestaciones_pib")</f>
        <v>gpc_inssjyp_prestaciones_pib</v>
      </c>
      <c r="C20" s="6">
        <f>IFERROR(__xludf.DUMMYFUNCTION("""COMPUTED_VALUE"""),0.0312278786711806)</f>
        <v>0.03122787867</v>
      </c>
    </row>
    <row r="21">
      <c r="A21" s="5">
        <f>IFERROR(__xludf.DUMMYFUNCTION("""COMPUTED_VALUE"""),29221.0)</f>
        <v>29221</v>
      </c>
      <c r="B21" s="6" t="str">
        <f>IFERROR(__xludf.DUMMYFUNCTION("""COMPUTED_VALUE"""),"gpc_prevision_social_pib")</f>
        <v>gpc_prevision_social_pib</v>
      </c>
      <c r="C21" s="6">
        <f>IFERROR(__xludf.DUMMYFUNCTION("""COMPUTED_VALUE"""),5.17820684125517)</f>
        <v>5.178206841</v>
      </c>
    </row>
    <row r="22">
      <c r="A22" s="5">
        <f>IFERROR(__xludf.DUMMYFUNCTION("""COMPUTED_VALUE"""),29221.0)</f>
        <v>29221</v>
      </c>
      <c r="B22" s="6" t="str">
        <f>IFERROR(__xludf.DUMMYFUNCTION("""COMPUTED_VALUE"""),"gpc_programas_empleo_pib")</f>
        <v>gpc_programas_empleo_pib</v>
      </c>
      <c r="C22" s="6">
        <f>IFERROR(__xludf.DUMMYFUNCTION("""COMPUTED_VALUE"""),0.0258275688257885)</f>
        <v>0.02582756883</v>
      </c>
    </row>
    <row r="23">
      <c r="A23" s="5">
        <f>IFERROR(__xludf.DUMMYFUNCTION("""COMPUTED_VALUE"""),29221.0)</f>
        <v>29221</v>
      </c>
      <c r="B23" s="6" t="str">
        <f>IFERROR(__xludf.DUMMYFUNCTION("""COMPUTED_VALUE"""),"gpc_asignaciones_familiares_pib")</f>
        <v>gpc_asignaciones_familiares_pib</v>
      </c>
      <c r="C23" s="6">
        <f>IFERROR(__xludf.DUMMYFUNCTION("""COMPUTED_VALUE"""),0.770671174153505)</f>
        <v>0.7706711742</v>
      </c>
    </row>
    <row r="24">
      <c r="A24" s="5">
        <f>IFERROR(__xludf.DUMMYFUNCTION("""COMPUTED_VALUE"""),29221.0)</f>
        <v>29221</v>
      </c>
      <c r="B24" s="6" t="str">
        <f>IFERROR(__xludf.DUMMYFUNCTION("""COMPUTED_VALUE"""),"gpc_otros_servicios_urbanos_pib")</f>
        <v>gpc_otros_servicios_urbanos_pib</v>
      </c>
      <c r="C24" s="6">
        <f>IFERROR(__xludf.DUMMYFUNCTION("""COMPUTED_VALUE"""),0.607884128050547)</f>
        <v>0.6078841281</v>
      </c>
    </row>
    <row r="25">
      <c r="A25" s="5">
        <f>IFERROR(__xludf.DUMMYFUNCTION("""COMPUTED_VALUE"""),29221.0)</f>
        <v>29221</v>
      </c>
      <c r="B25" s="6" t="str">
        <f>IFERROR(__xludf.DUMMYFUNCTION("""COMPUTED_VALUE"""),"gpc_servicios_economicos_pib")</f>
        <v>gpc_servicios_economicos_pib</v>
      </c>
      <c r="C25" s="6">
        <f>IFERROR(__xludf.DUMMYFUNCTION("""COMPUTED_VALUE"""),6.85618513871731)</f>
        <v>6.856185139</v>
      </c>
    </row>
    <row r="26">
      <c r="A26" s="5">
        <f>IFERROR(__xludf.DUMMYFUNCTION("""COMPUTED_VALUE"""),29221.0)</f>
        <v>29221</v>
      </c>
      <c r="B26" s="6" t="str">
        <f>IFERROR(__xludf.DUMMYFUNCTION("""COMPUTED_VALUE"""),"gpc_produccion_primaria_pib")</f>
        <v>gpc_produccion_primaria_pib</v>
      </c>
      <c r="C26" s="6">
        <f>IFERROR(__xludf.DUMMYFUNCTION("""COMPUTED_VALUE"""),0.515765636744978)</f>
        <v>0.5157656367</v>
      </c>
    </row>
    <row r="27">
      <c r="A27" s="5">
        <f>IFERROR(__xludf.DUMMYFUNCTION("""COMPUTED_VALUE"""),29221.0)</f>
        <v>29221</v>
      </c>
      <c r="B27" s="6" t="str">
        <f>IFERROR(__xludf.DUMMYFUNCTION("""COMPUTED_VALUE"""),"gpc_energia_combustible_pib")</f>
        <v>gpc_energia_combustible_pib</v>
      </c>
      <c r="C27" s="6">
        <f>IFERROR(__xludf.DUMMYFUNCTION("""COMPUTED_VALUE"""),2.42010967264515)</f>
        <v>2.420109673</v>
      </c>
    </row>
    <row r="28">
      <c r="A28" s="5">
        <f>IFERROR(__xludf.DUMMYFUNCTION("""COMPUTED_VALUE"""),29221.0)</f>
        <v>29221</v>
      </c>
      <c r="B28" s="6" t="str">
        <f>IFERROR(__xludf.DUMMYFUNCTION("""COMPUTED_VALUE"""),"gpc_industria_pib")</f>
        <v>gpc_industria_pib</v>
      </c>
      <c r="C28" s="6">
        <f>IFERROR(__xludf.DUMMYFUNCTION("""COMPUTED_VALUE"""),0.448835519552453)</f>
        <v>0.4488355196</v>
      </c>
    </row>
    <row r="29">
      <c r="A29" s="5">
        <f>IFERROR(__xludf.DUMMYFUNCTION("""COMPUTED_VALUE"""),29221.0)</f>
        <v>29221</v>
      </c>
      <c r="B29" s="6" t="str">
        <f>IFERROR(__xludf.DUMMYFUNCTION("""COMPUTED_VALUE"""),"gpc_transporte_pib")</f>
        <v>gpc_transporte_pib</v>
      </c>
      <c r="C29" s="6">
        <f>IFERROR(__xludf.DUMMYFUNCTION("""COMPUTED_VALUE"""),2.30496406894664)</f>
        <v>2.304964069</v>
      </c>
    </row>
    <row r="30">
      <c r="A30" s="5">
        <f>IFERROR(__xludf.DUMMYFUNCTION("""COMPUTED_VALUE"""),29221.0)</f>
        <v>29221</v>
      </c>
      <c r="B30" s="6" t="str">
        <f>IFERROR(__xludf.DUMMYFUNCTION("""COMPUTED_VALUE"""),"gpc_comunicaciones_pib")</f>
        <v>gpc_comunicaciones_pib</v>
      </c>
      <c r="C30" s="6">
        <f>IFERROR(__xludf.DUMMYFUNCTION("""COMPUTED_VALUE"""),0.523981143424143)</f>
        <v>0.5239811434</v>
      </c>
    </row>
    <row r="31">
      <c r="A31" s="5">
        <f>IFERROR(__xludf.DUMMYFUNCTION("""COMPUTED_VALUE"""),29221.0)</f>
        <v>29221</v>
      </c>
      <c r="B31" s="6" t="str">
        <f>IFERROR(__xludf.DUMMYFUNCTION("""COMPUTED_VALUE"""),"gpc_otros_servicios_economicos_pib")</f>
        <v>gpc_otros_servicios_economicos_pib</v>
      </c>
      <c r="C31" s="6">
        <f>IFERROR(__xludf.DUMMYFUNCTION("""COMPUTED_VALUE"""),0.642529097403939)</f>
        <v>0.6425290974</v>
      </c>
    </row>
    <row r="32">
      <c r="A32" s="5">
        <f>IFERROR(__xludf.DUMMYFUNCTION("""COMPUTED_VALUE"""),29221.0)</f>
        <v>29221</v>
      </c>
      <c r="B32" s="6" t="str">
        <f>IFERROR(__xludf.DUMMYFUNCTION("""COMPUTED_VALUE"""),"gpc_servicios_deuda_publica_pib")</f>
        <v>gpc_servicios_deuda_publica_pib</v>
      </c>
      <c r="C32" s="6">
        <f>IFERROR(__xludf.DUMMYFUNCTION("""COMPUTED_VALUE"""),2.30583368962874)</f>
        <v>2.30583369</v>
      </c>
    </row>
    <row r="33">
      <c r="A33" s="5">
        <f>IFERROR(__xludf.DUMMYFUNCTION("""COMPUTED_VALUE"""),29221.0)</f>
        <v>29221</v>
      </c>
      <c r="B33" s="6">
        <f>IFERROR(__xludf.DUMMYFUNCTION("""COMPUTED_VALUE"""),53.4626256050621)</f>
        <v>53.46262561</v>
      </c>
      <c r="C33" s="6"/>
    </row>
    <row r="34">
      <c r="A34" s="5">
        <f>IFERROR(__xludf.DUMMYFUNCTION("""COMPUTED_VALUE"""),29221.0)</f>
        <v>29221</v>
      </c>
      <c r="B34" s="6"/>
      <c r="C34" s="6"/>
    </row>
    <row r="35">
      <c r="A35" s="5">
        <f>IFERROR(__xludf.DUMMYFUNCTION("""COMPUTED_VALUE"""),29587.0)</f>
        <v>29587</v>
      </c>
      <c r="B35" s="6" t="str">
        <f>IFERROR(__xludf.DUMMYFUNCTION("""COMPUTED_VALUE"""),"gpc_pib")</f>
        <v>gpc_pib</v>
      </c>
      <c r="C35" s="6">
        <f>IFERROR(__xludf.DUMMYFUNCTION("""COMPUTED_VALUE"""),31.3425496780339)</f>
        <v>31.34254968</v>
      </c>
    </row>
    <row r="36">
      <c r="A36" s="5">
        <f>IFERROR(__xludf.DUMMYFUNCTION("""COMPUTED_VALUE"""),29587.0)</f>
        <v>29587</v>
      </c>
      <c r="B36" s="6" t="str">
        <f>IFERROR(__xludf.DUMMYFUNCTION("""COMPUTED_VALUE"""),"gpc_funcionamiento_estado_pib")</f>
        <v>gpc_funcionamiento_estado_pib</v>
      </c>
      <c r="C36" s="6">
        <f>IFERROR(__xludf.DUMMYFUNCTION("""COMPUTED_VALUE"""),5.24268585196555)</f>
        <v>5.242685852</v>
      </c>
    </row>
    <row r="37">
      <c r="A37" s="5">
        <f>IFERROR(__xludf.DUMMYFUNCTION("""COMPUTED_VALUE"""),29587.0)</f>
        <v>29587</v>
      </c>
      <c r="B37" s="6" t="str">
        <f>IFERROR(__xludf.DUMMYFUNCTION("""COMPUTED_VALUE"""),"gpc_administracion_general_pib")</f>
        <v>gpc_administracion_general_pib</v>
      </c>
      <c r="C37" s="6">
        <f>IFERROR(__xludf.DUMMYFUNCTION("""COMPUTED_VALUE"""),1.84944885061433)</f>
        <v>1.849448851</v>
      </c>
    </row>
    <row r="38">
      <c r="A38" s="5">
        <f>IFERROR(__xludf.DUMMYFUNCTION("""COMPUTED_VALUE"""),29587.0)</f>
        <v>29587</v>
      </c>
      <c r="B38" s="6" t="str">
        <f>IFERROR(__xludf.DUMMYFUNCTION("""COMPUTED_VALUE"""),"gpc_justicia_pib")</f>
        <v>gpc_justicia_pib</v>
      </c>
      <c r="C38" s="6">
        <f>IFERROR(__xludf.DUMMYFUNCTION("""COMPUTED_VALUE"""),0.28600446492568)</f>
        <v>0.2860044649</v>
      </c>
    </row>
    <row r="39">
      <c r="A39" s="5">
        <f>IFERROR(__xludf.DUMMYFUNCTION("""COMPUTED_VALUE"""),29587.0)</f>
        <v>29587</v>
      </c>
      <c r="B39" s="6" t="str">
        <f>IFERROR(__xludf.DUMMYFUNCTION("""COMPUTED_VALUE"""),"gpc_defensa_seguridad_pib")</f>
        <v>gpc_defensa_seguridad_pib</v>
      </c>
      <c r="C39" s="6">
        <f>IFERROR(__xludf.DUMMYFUNCTION("""COMPUTED_VALUE"""),3.10723253642554)</f>
        <v>3.107232536</v>
      </c>
    </row>
    <row r="40">
      <c r="A40" s="5">
        <f>IFERROR(__xludf.DUMMYFUNCTION("""COMPUTED_VALUE"""),29587.0)</f>
        <v>29587</v>
      </c>
      <c r="B40" s="6" t="str">
        <f>IFERROR(__xludf.DUMMYFUNCTION("""COMPUTED_VALUE"""),"gpc_servicios_sociales_pib")</f>
        <v>gpc_servicios_sociales_pib</v>
      </c>
      <c r="C40" s="6">
        <f>IFERROR(__xludf.DUMMYFUNCTION("""COMPUTED_VALUE"""),14.8897715208822)</f>
        <v>14.88977152</v>
      </c>
    </row>
    <row r="41">
      <c r="A41" s="5">
        <f>IFERROR(__xludf.DUMMYFUNCTION("""COMPUTED_VALUE"""),29587.0)</f>
        <v>29587</v>
      </c>
      <c r="B41" s="6" t="str">
        <f>IFERROR(__xludf.DUMMYFUNCTION("""COMPUTED_VALUE"""),"gpc_educacion_basica_pib")</f>
        <v>gpc_educacion_basica_pib</v>
      </c>
      <c r="C41" s="6">
        <f>IFERROR(__xludf.DUMMYFUNCTION("""COMPUTED_VALUE"""),1.84122222589511)</f>
        <v>1.841222226</v>
      </c>
    </row>
    <row r="42">
      <c r="A42" s="5">
        <f>IFERROR(__xludf.DUMMYFUNCTION("""COMPUTED_VALUE"""),29587.0)</f>
        <v>29587</v>
      </c>
      <c r="B42" s="6" t="str">
        <f>IFERROR(__xludf.DUMMYFUNCTION("""COMPUTED_VALUE"""),"gpc_educacion_universitaria_pib")</f>
        <v>gpc_educacion_universitaria_pib</v>
      </c>
      <c r="C42" s="6">
        <f>IFERROR(__xludf.DUMMYFUNCTION("""COMPUTED_VALUE"""),0.475915366539897)</f>
        <v>0.4759153665</v>
      </c>
    </row>
    <row r="43">
      <c r="A43" s="5">
        <f>IFERROR(__xludf.DUMMYFUNCTION("""COMPUTED_VALUE"""),29587.0)</f>
        <v>29587</v>
      </c>
      <c r="B43" s="6" t="str">
        <f>IFERROR(__xludf.DUMMYFUNCTION("""COMPUTED_VALUE"""),"gpc_ciencia_tecnica_pib")</f>
        <v>gpc_ciencia_tecnica_pib</v>
      </c>
      <c r="C43" s="6">
        <f>IFERROR(__xludf.DUMMYFUNCTION("""COMPUTED_VALUE"""),0.268635772723715)</f>
        <v>0.2686357727</v>
      </c>
    </row>
    <row r="44">
      <c r="A44" s="5">
        <f>IFERROR(__xludf.DUMMYFUNCTION("""COMPUTED_VALUE"""),29587.0)</f>
        <v>29587</v>
      </c>
      <c r="B44" s="6" t="str">
        <f>IFERROR(__xludf.DUMMYFUNCTION("""COMPUTED_VALUE"""),"gpc_cultura_pib")</f>
        <v>gpc_cultura_pib</v>
      </c>
      <c r="C44" s="6">
        <f>IFERROR(__xludf.DUMMYFUNCTION("""COMPUTED_VALUE"""),0.0752643328751789)</f>
        <v>0.07526433288</v>
      </c>
    </row>
    <row r="45">
      <c r="A45" s="5">
        <f>IFERROR(__xludf.DUMMYFUNCTION("""COMPUTED_VALUE"""),29587.0)</f>
        <v>29587</v>
      </c>
      <c r="B45" s="6" t="str">
        <f>IFERROR(__xludf.DUMMYFUNCTION("""COMPUTED_VALUE"""),"gpc_educacion_cultura_sin_discriminar_pib")</f>
        <v>gpc_educacion_cultura_sin_discriminar_pib</v>
      </c>
      <c r="C45" s="6">
        <f>IFERROR(__xludf.DUMMYFUNCTION("""COMPUTED_VALUE"""),0.260530383029465)</f>
        <v>0.260530383</v>
      </c>
    </row>
    <row r="46">
      <c r="A46" s="5">
        <f>IFERROR(__xludf.DUMMYFUNCTION("""COMPUTED_VALUE"""),29587.0)</f>
        <v>29587</v>
      </c>
      <c r="B46" s="6" t="str">
        <f>IFERROR(__xludf.DUMMYFUNCTION("""COMPUTED_VALUE"""),"gpc_atencion_salud_pib")</f>
        <v>gpc_atencion_salud_pib</v>
      </c>
      <c r="C46" s="6">
        <f>IFERROR(__xludf.DUMMYFUNCTION("""COMPUTED_VALUE"""),1.26647910107366)</f>
        <v>1.266479101</v>
      </c>
    </row>
    <row r="47">
      <c r="A47" s="5">
        <f>IFERROR(__xludf.DUMMYFUNCTION("""COMPUTED_VALUE"""),29587.0)</f>
        <v>29587</v>
      </c>
      <c r="B47" s="6" t="str">
        <f>IFERROR(__xludf.DUMMYFUNCTION("""COMPUTED_VALUE"""),"gpc_obras_sociales_salud_pib")</f>
        <v>gpc_obras_sociales_salud_pib</v>
      </c>
      <c r="C47" s="6">
        <f>IFERROR(__xludf.DUMMYFUNCTION("""COMPUTED_VALUE"""),2.19780758941842)</f>
        <v>2.197807589</v>
      </c>
    </row>
    <row r="48">
      <c r="A48" s="5">
        <f>IFERROR(__xludf.DUMMYFUNCTION("""COMPUTED_VALUE"""),29587.0)</f>
        <v>29587</v>
      </c>
      <c r="B48" s="6" t="str">
        <f>IFERROR(__xludf.DUMMYFUNCTION("""COMPUTED_VALUE"""),"gpc_inssjyp_salud_pib")</f>
        <v>gpc_inssjyp_salud_pib</v>
      </c>
      <c r="C48" s="6">
        <f>IFERROR(__xludf.DUMMYFUNCTION("""COMPUTED_VALUE"""),0.506123690765242)</f>
        <v>0.5061236908</v>
      </c>
    </row>
    <row r="49">
      <c r="A49" s="5">
        <f>IFERROR(__xludf.DUMMYFUNCTION("""COMPUTED_VALUE"""),29587.0)</f>
        <v>29587</v>
      </c>
      <c r="B49" s="6" t="str">
        <f>IFERROR(__xludf.DUMMYFUNCTION("""COMPUTED_VALUE"""),"gpc_agua_alcantarillado_pib")</f>
        <v>gpc_agua_alcantarillado_pib</v>
      </c>
      <c r="C49" s="6">
        <f>IFERROR(__xludf.DUMMYFUNCTION("""COMPUTED_VALUE"""),0.199911124006597)</f>
        <v>0.199911124</v>
      </c>
    </row>
    <row r="50">
      <c r="A50" s="5">
        <f>IFERROR(__xludf.DUMMYFUNCTION("""COMPUTED_VALUE"""),29587.0)</f>
        <v>29587</v>
      </c>
      <c r="B50" s="6" t="str">
        <f>IFERROR(__xludf.DUMMYFUNCTION("""COMPUTED_VALUE"""),"gpc_vivienda_urbanismo_pib")</f>
        <v>gpc_vivienda_urbanismo_pib</v>
      </c>
      <c r="C50" s="6">
        <f>IFERROR(__xludf.DUMMYFUNCTION("""COMPUTED_VALUE"""),0.450428084437609)</f>
        <v>0.4504280844</v>
      </c>
    </row>
    <row r="51">
      <c r="A51" s="5">
        <f>IFERROR(__xludf.DUMMYFUNCTION("""COMPUTED_VALUE"""),29587.0)</f>
        <v>29587</v>
      </c>
      <c r="B51" s="6" t="str">
        <f>IFERROR(__xludf.DUMMYFUNCTION("""COMPUTED_VALUE"""),"gpc_promocion_asistencia_social_pib")</f>
        <v>gpc_promocion_asistencia_social_pib</v>
      </c>
      <c r="C51" s="6">
        <f>IFERROR(__xludf.DUMMYFUNCTION("""COMPUTED_VALUE"""),0.512867873100666)</f>
        <v>0.5128678731</v>
      </c>
    </row>
    <row r="52">
      <c r="A52" s="5">
        <f>IFERROR(__xludf.DUMMYFUNCTION("""COMPUTED_VALUE"""),29587.0)</f>
        <v>29587</v>
      </c>
      <c r="B52" s="6" t="str">
        <f>IFERROR(__xludf.DUMMYFUNCTION("""COMPUTED_VALUE"""),"gpc_obras_sociales_prestaciones_pib")</f>
        <v>gpc_obras_sociales_prestaciones_pib</v>
      </c>
      <c r="C52" s="6">
        <f>IFERROR(__xludf.DUMMYFUNCTION("""COMPUTED_VALUE"""),0.331709345182097)</f>
        <v>0.3317093452</v>
      </c>
    </row>
    <row r="53">
      <c r="A53" s="5">
        <f>IFERROR(__xludf.DUMMYFUNCTION("""COMPUTED_VALUE"""),29587.0)</f>
        <v>29587</v>
      </c>
      <c r="B53" s="6" t="str">
        <f>IFERROR(__xludf.DUMMYFUNCTION("""COMPUTED_VALUE"""),"gpc_inssjyp_prestaciones_pib")</f>
        <v>gpc_inssjyp_prestaciones_pib</v>
      </c>
      <c r="C53" s="6">
        <f>IFERROR(__xludf.DUMMYFUNCTION("""COMPUTED_VALUE"""),0.0380953315629752)</f>
        <v>0.03809533156</v>
      </c>
    </row>
    <row r="54">
      <c r="A54" s="5">
        <f>IFERROR(__xludf.DUMMYFUNCTION("""COMPUTED_VALUE"""),29587.0)</f>
        <v>29587</v>
      </c>
      <c r="B54" s="6" t="str">
        <f>IFERROR(__xludf.DUMMYFUNCTION("""COMPUTED_VALUE"""),"gpc_prevision_social_pib")</f>
        <v>gpc_prevision_social_pib</v>
      </c>
      <c r="C54" s="6">
        <f>IFERROR(__xludf.DUMMYFUNCTION("""COMPUTED_VALUE"""),5.31007237126589)</f>
        <v>5.310072371</v>
      </c>
    </row>
    <row r="55">
      <c r="A55" s="5">
        <f>IFERROR(__xludf.DUMMYFUNCTION("""COMPUTED_VALUE"""),29587.0)</f>
        <v>29587</v>
      </c>
      <c r="B55" s="6" t="str">
        <f>IFERROR(__xludf.DUMMYFUNCTION("""COMPUTED_VALUE"""),"gpc_programas_empleo_pib")</f>
        <v>gpc_programas_empleo_pib</v>
      </c>
      <c r="C55" s="6">
        <f>IFERROR(__xludf.DUMMYFUNCTION("""COMPUTED_VALUE"""),0.0208424306423572)</f>
        <v>0.02084243064</v>
      </c>
    </row>
    <row r="56">
      <c r="A56" s="5">
        <f>IFERROR(__xludf.DUMMYFUNCTION("""COMPUTED_VALUE"""),29587.0)</f>
        <v>29587</v>
      </c>
      <c r="B56" s="6" t="str">
        <f>IFERROR(__xludf.DUMMYFUNCTION("""COMPUTED_VALUE"""),"gpc_asignaciones_familiares_pib")</f>
        <v>gpc_asignaciones_familiares_pib</v>
      </c>
      <c r="C56" s="6">
        <f>IFERROR(__xludf.DUMMYFUNCTION("""COMPUTED_VALUE"""),0.507165812297359)</f>
        <v>0.5071658123</v>
      </c>
    </row>
    <row r="57">
      <c r="A57" s="5">
        <f>IFERROR(__xludf.DUMMYFUNCTION("""COMPUTED_VALUE"""),29587.0)</f>
        <v>29587</v>
      </c>
      <c r="B57" s="6" t="str">
        <f>IFERROR(__xludf.DUMMYFUNCTION("""COMPUTED_VALUE"""),"gpc_otros_servicios_urbanos_pib")</f>
        <v>gpc_otros_servicios_urbanos_pib</v>
      </c>
      <c r="C57" s="6">
        <f>IFERROR(__xludf.DUMMYFUNCTION("""COMPUTED_VALUE"""),0.62670068606596)</f>
        <v>0.6267006861</v>
      </c>
    </row>
    <row r="58">
      <c r="A58" s="5">
        <f>IFERROR(__xludf.DUMMYFUNCTION("""COMPUTED_VALUE"""),29587.0)</f>
        <v>29587</v>
      </c>
      <c r="B58" s="6" t="str">
        <f>IFERROR(__xludf.DUMMYFUNCTION("""COMPUTED_VALUE"""),"gpc_servicios_economicos_pib")</f>
        <v>gpc_servicios_economicos_pib</v>
      </c>
      <c r="C58" s="6">
        <f>IFERROR(__xludf.DUMMYFUNCTION("""COMPUTED_VALUE"""),6.48001846218456)</f>
        <v>6.480018462</v>
      </c>
    </row>
    <row r="59">
      <c r="A59" s="5">
        <f>IFERROR(__xludf.DUMMYFUNCTION("""COMPUTED_VALUE"""),29587.0)</f>
        <v>29587</v>
      </c>
      <c r="B59" s="6" t="str">
        <f>IFERROR(__xludf.DUMMYFUNCTION("""COMPUTED_VALUE"""),"gpc_produccion_primaria_pib")</f>
        <v>gpc_produccion_primaria_pib</v>
      </c>
      <c r="C59" s="6">
        <f>IFERROR(__xludf.DUMMYFUNCTION("""COMPUTED_VALUE"""),0.321040168457362)</f>
        <v>0.3210401685</v>
      </c>
    </row>
    <row r="60">
      <c r="A60" s="5">
        <f>IFERROR(__xludf.DUMMYFUNCTION("""COMPUTED_VALUE"""),29587.0)</f>
        <v>29587</v>
      </c>
      <c r="B60" s="6" t="str">
        <f>IFERROR(__xludf.DUMMYFUNCTION("""COMPUTED_VALUE"""),"gpc_energia_combustible_pib")</f>
        <v>gpc_energia_combustible_pib</v>
      </c>
      <c r="C60" s="6">
        <f>IFERROR(__xludf.DUMMYFUNCTION("""COMPUTED_VALUE"""),2.87076110964043)</f>
        <v>2.87076111</v>
      </c>
    </row>
    <row r="61">
      <c r="A61" s="5">
        <f>IFERROR(__xludf.DUMMYFUNCTION("""COMPUTED_VALUE"""),29587.0)</f>
        <v>29587</v>
      </c>
      <c r="B61" s="6" t="str">
        <f>IFERROR(__xludf.DUMMYFUNCTION("""COMPUTED_VALUE"""),"gpc_industria_pib")</f>
        <v>gpc_industria_pib</v>
      </c>
      <c r="C61" s="6">
        <f>IFERROR(__xludf.DUMMYFUNCTION("""COMPUTED_VALUE"""),0.35054167503386)</f>
        <v>0.350541675</v>
      </c>
    </row>
    <row r="62">
      <c r="A62" s="5">
        <f>IFERROR(__xludf.DUMMYFUNCTION("""COMPUTED_VALUE"""),29587.0)</f>
        <v>29587</v>
      </c>
      <c r="B62" s="6" t="str">
        <f>IFERROR(__xludf.DUMMYFUNCTION("""COMPUTED_VALUE"""),"gpc_transporte_pib")</f>
        <v>gpc_transporte_pib</v>
      </c>
      <c r="C62" s="6">
        <f>IFERROR(__xludf.DUMMYFUNCTION("""COMPUTED_VALUE"""),1.88279471532927)</f>
        <v>1.882794715</v>
      </c>
    </row>
    <row r="63">
      <c r="A63" s="5">
        <f>IFERROR(__xludf.DUMMYFUNCTION("""COMPUTED_VALUE"""),29587.0)</f>
        <v>29587</v>
      </c>
      <c r="B63" s="6" t="str">
        <f>IFERROR(__xludf.DUMMYFUNCTION("""COMPUTED_VALUE"""),"gpc_comunicaciones_pib")</f>
        <v>gpc_comunicaciones_pib</v>
      </c>
      <c r="C63" s="6">
        <f>IFERROR(__xludf.DUMMYFUNCTION("""COMPUTED_VALUE"""),0.409757684094867)</f>
        <v>0.4097576841</v>
      </c>
    </row>
    <row r="64">
      <c r="A64" s="5">
        <f>IFERROR(__xludf.DUMMYFUNCTION("""COMPUTED_VALUE"""),29587.0)</f>
        <v>29587</v>
      </c>
      <c r="B64" s="6" t="str">
        <f>IFERROR(__xludf.DUMMYFUNCTION("""COMPUTED_VALUE"""),"gpc_otros_servicios_economicos_pib")</f>
        <v>gpc_otros_servicios_economicos_pib</v>
      </c>
      <c r="C64" s="6">
        <f>IFERROR(__xludf.DUMMYFUNCTION("""COMPUTED_VALUE"""),0.64512310962876)</f>
        <v>0.6451231096</v>
      </c>
    </row>
    <row r="65">
      <c r="A65" s="5">
        <f>IFERROR(__xludf.DUMMYFUNCTION("""COMPUTED_VALUE"""),29587.0)</f>
        <v>29587</v>
      </c>
      <c r="B65" s="6" t="str">
        <f>IFERROR(__xludf.DUMMYFUNCTION("""COMPUTED_VALUE"""),"gpc_servicios_deuda_publica_pib")</f>
        <v>gpc_servicios_deuda_publica_pib</v>
      </c>
      <c r="C65" s="6">
        <f>IFERROR(__xludf.DUMMYFUNCTION("""COMPUTED_VALUE"""),4.73007384300163)</f>
        <v>4.730073843</v>
      </c>
    </row>
    <row r="66">
      <c r="A66" s="5">
        <f>IFERROR(__xludf.DUMMYFUNCTION("""COMPUTED_VALUE"""),29587.0)</f>
        <v>29587</v>
      </c>
      <c r="B66" s="6"/>
      <c r="C66" s="6"/>
    </row>
    <row r="67">
      <c r="A67" s="5">
        <f>IFERROR(__xludf.DUMMYFUNCTION("""COMPUTED_VALUE"""),29587.0)</f>
        <v>29587</v>
      </c>
      <c r="B67" s="6"/>
      <c r="C67" s="6"/>
    </row>
    <row r="68">
      <c r="A68" s="5">
        <f>IFERROR(__xludf.DUMMYFUNCTION("""COMPUTED_VALUE"""),29952.0)</f>
        <v>29952</v>
      </c>
      <c r="B68" s="6" t="str">
        <f>IFERROR(__xludf.DUMMYFUNCTION("""COMPUTED_VALUE"""),"gpc_pib")</f>
        <v>gpc_pib</v>
      </c>
      <c r="C68" s="6">
        <f>IFERROR(__xludf.DUMMYFUNCTION("""COMPUTED_VALUE"""),28.0466713752136)</f>
        <v>28.04667138</v>
      </c>
    </row>
    <row r="69">
      <c r="A69" s="5">
        <f>IFERROR(__xludf.DUMMYFUNCTION("""COMPUTED_VALUE"""),29952.0)</f>
        <v>29952</v>
      </c>
      <c r="B69" s="6" t="str">
        <f>IFERROR(__xludf.DUMMYFUNCTION("""COMPUTED_VALUE"""),"gpc_funcionamiento_estado_pib")</f>
        <v>gpc_funcionamiento_estado_pib</v>
      </c>
      <c r="C69" s="6">
        <f>IFERROR(__xludf.DUMMYFUNCTION("""COMPUTED_VALUE"""),4.35422125511031)</f>
        <v>4.354221255</v>
      </c>
    </row>
    <row r="70">
      <c r="A70" s="5">
        <f>IFERROR(__xludf.DUMMYFUNCTION("""COMPUTED_VALUE"""),29952.0)</f>
        <v>29952</v>
      </c>
      <c r="B70" s="6" t="str">
        <f>IFERROR(__xludf.DUMMYFUNCTION("""COMPUTED_VALUE"""),"gpc_administracion_general_pib")</f>
        <v>gpc_administracion_general_pib</v>
      </c>
      <c r="C70" s="6">
        <f>IFERROR(__xludf.DUMMYFUNCTION("""COMPUTED_VALUE"""),1.33318393199603)</f>
        <v>1.333183932</v>
      </c>
    </row>
    <row r="71">
      <c r="A71" s="5">
        <f>IFERROR(__xludf.DUMMYFUNCTION("""COMPUTED_VALUE"""),29952.0)</f>
        <v>29952</v>
      </c>
      <c r="B71" s="6" t="str">
        <f>IFERROR(__xludf.DUMMYFUNCTION("""COMPUTED_VALUE"""),"gpc_justicia_pib")</f>
        <v>gpc_justicia_pib</v>
      </c>
      <c r="C71" s="6">
        <f>IFERROR(__xludf.DUMMYFUNCTION("""COMPUTED_VALUE"""),0.221369572507648)</f>
        <v>0.2213695725</v>
      </c>
    </row>
    <row r="72">
      <c r="A72" s="5">
        <f>IFERROR(__xludf.DUMMYFUNCTION("""COMPUTED_VALUE"""),29952.0)</f>
        <v>29952</v>
      </c>
      <c r="B72" s="6" t="str">
        <f>IFERROR(__xludf.DUMMYFUNCTION("""COMPUTED_VALUE"""),"gpc_defensa_seguridad_pib")</f>
        <v>gpc_defensa_seguridad_pib</v>
      </c>
      <c r="C72" s="6">
        <f>IFERROR(__xludf.DUMMYFUNCTION("""COMPUTED_VALUE"""),2.79966775060664)</f>
        <v>2.799667751</v>
      </c>
    </row>
    <row r="73">
      <c r="A73" s="5">
        <f>IFERROR(__xludf.DUMMYFUNCTION("""COMPUTED_VALUE"""),29952.0)</f>
        <v>29952</v>
      </c>
      <c r="B73" s="6" t="str">
        <f>IFERROR(__xludf.DUMMYFUNCTION("""COMPUTED_VALUE"""),"gpc_servicios_sociales_pib")</f>
        <v>gpc_servicios_sociales_pib</v>
      </c>
      <c r="C73" s="6">
        <f>IFERROR(__xludf.DUMMYFUNCTION("""COMPUTED_VALUE"""),10.8864103587577)</f>
        <v>10.88641036</v>
      </c>
    </row>
    <row r="74">
      <c r="A74" s="5">
        <f>IFERROR(__xludf.DUMMYFUNCTION("""COMPUTED_VALUE"""),29952.0)</f>
        <v>29952</v>
      </c>
      <c r="B74" s="6" t="str">
        <f>IFERROR(__xludf.DUMMYFUNCTION("""COMPUTED_VALUE"""),"gpc_educacion_basica_pib")</f>
        <v>gpc_educacion_basica_pib</v>
      </c>
      <c r="C74" s="6">
        <f>IFERROR(__xludf.DUMMYFUNCTION("""COMPUTED_VALUE"""),1.33411566212678)</f>
        <v>1.334115662</v>
      </c>
    </row>
    <row r="75">
      <c r="A75" s="5">
        <f>IFERROR(__xludf.DUMMYFUNCTION("""COMPUTED_VALUE"""),29952.0)</f>
        <v>29952</v>
      </c>
      <c r="B75" s="6" t="str">
        <f>IFERROR(__xludf.DUMMYFUNCTION("""COMPUTED_VALUE"""),"gpc_educacion_universitaria_pib")</f>
        <v>gpc_educacion_universitaria_pib</v>
      </c>
      <c r="C75" s="6">
        <f>IFERROR(__xludf.DUMMYFUNCTION("""COMPUTED_VALUE"""),0.345840238311565)</f>
        <v>0.3458402383</v>
      </c>
    </row>
    <row r="76">
      <c r="A76" s="5">
        <f>IFERROR(__xludf.DUMMYFUNCTION("""COMPUTED_VALUE"""),29952.0)</f>
        <v>29952</v>
      </c>
      <c r="B76" s="6" t="str">
        <f>IFERROR(__xludf.DUMMYFUNCTION("""COMPUTED_VALUE"""),"gpc_ciencia_tecnica_pib")</f>
        <v>gpc_ciencia_tecnica_pib</v>
      </c>
      <c r="C76" s="6">
        <f>IFERROR(__xludf.DUMMYFUNCTION("""COMPUTED_VALUE"""),0.223356732045418)</f>
        <v>0.223356732</v>
      </c>
    </row>
    <row r="77">
      <c r="A77" s="5">
        <f>IFERROR(__xludf.DUMMYFUNCTION("""COMPUTED_VALUE"""),29952.0)</f>
        <v>29952</v>
      </c>
      <c r="B77" s="6" t="str">
        <f>IFERROR(__xludf.DUMMYFUNCTION("""COMPUTED_VALUE"""),"gpc_cultura_pib")</f>
        <v>gpc_cultura_pib</v>
      </c>
      <c r="C77" s="6">
        <f>IFERROR(__xludf.DUMMYFUNCTION("""COMPUTED_VALUE"""),0.0556404670575776)</f>
        <v>0.05564046706</v>
      </c>
    </row>
    <row r="78">
      <c r="A78" s="5">
        <f>IFERROR(__xludf.DUMMYFUNCTION("""COMPUTED_VALUE"""),29952.0)</f>
        <v>29952</v>
      </c>
      <c r="B78" s="6" t="str">
        <f>IFERROR(__xludf.DUMMYFUNCTION("""COMPUTED_VALUE"""),"gpc_educacion_cultura_sin_discriminar_pib")</f>
        <v>gpc_educacion_cultura_sin_discriminar_pib</v>
      </c>
      <c r="C78" s="6">
        <f>IFERROR(__xludf.DUMMYFUNCTION("""COMPUTED_VALUE"""),0.216202957709444)</f>
        <v>0.2162029577</v>
      </c>
    </row>
    <row r="79">
      <c r="A79" s="5">
        <f>IFERROR(__xludf.DUMMYFUNCTION("""COMPUTED_VALUE"""),29952.0)</f>
        <v>29952</v>
      </c>
      <c r="B79" s="6" t="str">
        <f>IFERROR(__xludf.DUMMYFUNCTION("""COMPUTED_VALUE"""),"gpc_atencion_salud_pib")</f>
        <v>gpc_atencion_salud_pib</v>
      </c>
      <c r="C79" s="6">
        <f>IFERROR(__xludf.DUMMYFUNCTION("""COMPUTED_VALUE"""),0.931264510403112)</f>
        <v>0.9312645104</v>
      </c>
    </row>
    <row r="80">
      <c r="A80" s="5">
        <f>IFERROR(__xludf.DUMMYFUNCTION("""COMPUTED_VALUE"""),29952.0)</f>
        <v>29952</v>
      </c>
      <c r="B80" s="6" t="str">
        <f>IFERROR(__xludf.DUMMYFUNCTION("""COMPUTED_VALUE"""),"gpc_obras_sociales_salud_pib")</f>
        <v>gpc_obras_sociales_salud_pib</v>
      </c>
      <c r="C80" s="6">
        <f>IFERROR(__xludf.DUMMYFUNCTION("""COMPUTED_VALUE"""),1.72913590005419)</f>
        <v>1.7291359</v>
      </c>
    </row>
    <row r="81">
      <c r="A81" s="5">
        <f>IFERROR(__xludf.DUMMYFUNCTION("""COMPUTED_VALUE"""),29952.0)</f>
        <v>29952</v>
      </c>
      <c r="B81" s="6" t="str">
        <f>IFERROR(__xludf.DUMMYFUNCTION("""COMPUTED_VALUE"""),"gpc_inssjyp_salud_pib")</f>
        <v>gpc_inssjyp_salud_pib</v>
      </c>
      <c r="C81" s="6">
        <f>IFERROR(__xludf.DUMMYFUNCTION("""COMPUTED_VALUE"""),0.425053425129137)</f>
        <v>0.4250534251</v>
      </c>
    </row>
    <row r="82">
      <c r="A82" s="5">
        <f>IFERROR(__xludf.DUMMYFUNCTION("""COMPUTED_VALUE"""),29952.0)</f>
        <v>29952</v>
      </c>
      <c r="B82" s="6" t="str">
        <f>IFERROR(__xludf.DUMMYFUNCTION("""COMPUTED_VALUE"""),"gpc_agua_alcantarillado_pib")</f>
        <v>gpc_agua_alcantarillado_pib</v>
      </c>
      <c r="C82" s="6">
        <f>IFERROR(__xludf.DUMMYFUNCTION("""COMPUTED_VALUE"""),0.154530503226678)</f>
        <v>0.1545305032</v>
      </c>
    </row>
    <row r="83">
      <c r="A83" s="5">
        <f>IFERROR(__xludf.DUMMYFUNCTION("""COMPUTED_VALUE"""),29952.0)</f>
        <v>29952</v>
      </c>
      <c r="B83" s="6" t="str">
        <f>IFERROR(__xludf.DUMMYFUNCTION("""COMPUTED_VALUE"""),"gpc_vivienda_urbanismo_pib")</f>
        <v>gpc_vivienda_urbanismo_pib</v>
      </c>
      <c r="C83" s="6">
        <f>IFERROR(__xludf.DUMMYFUNCTION("""COMPUTED_VALUE"""),0.457841557502353)</f>
        <v>0.4578415575</v>
      </c>
    </row>
    <row r="84">
      <c r="A84" s="5">
        <f>IFERROR(__xludf.DUMMYFUNCTION("""COMPUTED_VALUE"""),29952.0)</f>
        <v>29952</v>
      </c>
      <c r="B84" s="6" t="str">
        <f>IFERROR(__xludf.DUMMYFUNCTION("""COMPUTED_VALUE"""),"gpc_promocion_asistencia_social_pib")</f>
        <v>gpc_promocion_asistencia_social_pib</v>
      </c>
      <c r="C84" s="6">
        <f>IFERROR(__xludf.DUMMYFUNCTION("""COMPUTED_VALUE"""),0.31611954263485)</f>
        <v>0.3161195426</v>
      </c>
    </row>
    <row r="85">
      <c r="A85" s="5">
        <f>IFERROR(__xludf.DUMMYFUNCTION("""COMPUTED_VALUE"""),29952.0)</f>
        <v>29952</v>
      </c>
      <c r="B85" s="6" t="str">
        <f>IFERROR(__xludf.DUMMYFUNCTION("""COMPUTED_VALUE"""),"gpc_obras_sociales_prestaciones_pib")</f>
        <v>gpc_obras_sociales_prestaciones_pib</v>
      </c>
      <c r="C85" s="6">
        <f>IFERROR(__xludf.DUMMYFUNCTION("""COMPUTED_VALUE"""),0.262289313353473)</f>
        <v>0.2622893134</v>
      </c>
    </row>
    <row r="86">
      <c r="A86" s="5">
        <f>IFERROR(__xludf.DUMMYFUNCTION("""COMPUTED_VALUE"""),29952.0)</f>
        <v>29952</v>
      </c>
      <c r="B86" s="6" t="str">
        <f>IFERROR(__xludf.DUMMYFUNCTION("""COMPUTED_VALUE"""),"gpc_inssjyp_prestaciones_pib")</f>
        <v>gpc_inssjyp_prestaciones_pib</v>
      </c>
      <c r="C86" s="6">
        <f>IFERROR(__xludf.DUMMYFUNCTION("""COMPUTED_VALUE"""),0.0319932685581071)</f>
        <v>0.03199326856</v>
      </c>
    </row>
    <row r="87">
      <c r="A87" s="5">
        <f>IFERROR(__xludf.DUMMYFUNCTION("""COMPUTED_VALUE"""),29952.0)</f>
        <v>29952</v>
      </c>
      <c r="B87" s="6" t="str">
        <f>IFERROR(__xludf.DUMMYFUNCTION("""COMPUTED_VALUE"""),"gpc_prevision_social_pib")</f>
        <v>gpc_prevision_social_pib</v>
      </c>
      <c r="C87" s="6">
        <f>IFERROR(__xludf.DUMMYFUNCTION("""COMPUTED_VALUE"""),3.64663646776288)</f>
        <v>3.646636468</v>
      </c>
    </row>
    <row r="88">
      <c r="A88" s="5">
        <f>IFERROR(__xludf.DUMMYFUNCTION("""COMPUTED_VALUE"""),29952.0)</f>
        <v>29952</v>
      </c>
      <c r="B88" s="6" t="str">
        <f>IFERROR(__xludf.DUMMYFUNCTION("""COMPUTED_VALUE"""),"gpc_programas_empleo_pib")</f>
        <v>gpc_programas_empleo_pib</v>
      </c>
      <c r="C88" s="6">
        <f>IFERROR(__xludf.DUMMYFUNCTION("""COMPUTED_VALUE"""),0.0151024124870567)</f>
        <v>0.01510241249</v>
      </c>
    </row>
    <row r="89">
      <c r="A89" s="5">
        <f>IFERROR(__xludf.DUMMYFUNCTION("""COMPUTED_VALUE"""),29952.0)</f>
        <v>29952</v>
      </c>
      <c r="B89" s="6" t="str">
        <f>IFERROR(__xludf.DUMMYFUNCTION("""COMPUTED_VALUE"""),"gpc_asignaciones_familiares_pib")</f>
        <v>gpc_asignaciones_familiares_pib</v>
      </c>
      <c r="C89" s="6">
        <f>IFERROR(__xludf.DUMMYFUNCTION("""COMPUTED_VALUE"""),0.337817121421007)</f>
        <v>0.3378171214</v>
      </c>
    </row>
    <row r="90">
      <c r="A90" s="5">
        <f>IFERROR(__xludf.DUMMYFUNCTION("""COMPUTED_VALUE"""),29952.0)</f>
        <v>29952</v>
      </c>
      <c r="B90" s="6" t="str">
        <f>IFERROR(__xludf.DUMMYFUNCTION("""COMPUTED_VALUE"""),"gpc_otros_servicios_urbanos_pib")</f>
        <v>gpc_otros_servicios_urbanos_pib</v>
      </c>
      <c r="C90" s="6">
        <f>IFERROR(__xludf.DUMMYFUNCTION("""COMPUTED_VALUE"""),0.403470278974098)</f>
        <v>0.403470279</v>
      </c>
    </row>
    <row r="91">
      <c r="A91" s="5">
        <f>IFERROR(__xludf.DUMMYFUNCTION("""COMPUTED_VALUE"""),29952.0)</f>
        <v>29952</v>
      </c>
      <c r="B91" s="6" t="str">
        <f>IFERROR(__xludf.DUMMYFUNCTION("""COMPUTED_VALUE"""),"gpc_servicios_economicos_pib")</f>
        <v>gpc_servicios_economicos_pib</v>
      </c>
      <c r="C91" s="6">
        <f>IFERROR(__xludf.DUMMYFUNCTION("""COMPUTED_VALUE"""),6.69154986362533)</f>
        <v>6.691549864</v>
      </c>
    </row>
    <row r="92">
      <c r="A92" s="5">
        <f>IFERROR(__xludf.DUMMYFUNCTION("""COMPUTED_VALUE"""),29952.0)</f>
        <v>29952</v>
      </c>
      <c r="B92" s="6" t="str">
        <f>IFERROR(__xludf.DUMMYFUNCTION("""COMPUTED_VALUE"""),"gpc_produccion_primaria_pib")</f>
        <v>gpc_produccion_primaria_pib</v>
      </c>
      <c r="C92" s="6">
        <f>IFERROR(__xludf.DUMMYFUNCTION("""COMPUTED_VALUE"""),0.275215046359756)</f>
        <v>0.2752150464</v>
      </c>
    </row>
    <row r="93">
      <c r="A93" s="5">
        <f>IFERROR(__xludf.DUMMYFUNCTION("""COMPUTED_VALUE"""),29952.0)</f>
        <v>29952</v>
      </c>
      <c r="B93" s="6" t="str">
        <f>IFERROR(__xludf.DUMMYFUNCTION("""COMPUTED_VALUE"""),"gpc_energia_combustible_pib")</f>
        <v>gpc_energia_combustible_pib</v>
      </c>
      <c r="C93" s="6">
        <f>IFERROR(__xludf.DUMMYFUNCTION("""COMPUTED_VALUE"""),3.18328690697262)</f>
        <v>3.183286907</v>
      </c>
    </row>
    <row r="94">
      <c r="A94" s="5">
        <f>IFERROR(__xludf.DUMMYFUNCTION("""COMPUTED_VALUE"""),29952.0)</f>
        <v>29952</v>
      </c>
      <c r="B94" s="6" t="str">
        <f>IFERROR(__xludf.DUMMYFUNCTION("""COMPUTED_VALUE"""),"gpc_industria_pib")</f>
        <v>gpc_industria_pib</v>
      </c>
      <c r="C94" s="6">
        <f>IFERROR(__xludf.DUMMYFUNCTION("""COMPUTED_VALUE"""),0.418082646559603)</f>
        <v>0.4180826466</v>
      </c>
    </row>
    <row r="95">
      <c r="A95" s="5">
        <f>IFERROR(__xludf.DUMMYFUNCTION("""COMPUTED_VALUE"""),29952.0)</f>
        <v>29952</v>
      </c>
      <c r="B95" s="6" t="str">
        <f>IFERROR(__xludf.DUMMYFUNCTION("""COMPUTED_VALUE"""),"gpc_transporte_pib")</f>
        <v>gpc_transporte_pib</v>
      </c>
      <c r="C95" s="6">
        <f>IFERROR(__xludf.DUMMYFUNCTION("""COMPUTED_VALUE"""),1.7823116240563)</f>
        <v>1.782311624</v>
      </c>
    </row>
    <row r="96">
      <c r="A96" s="5">
        <f>IFERROR(__xludf.DUMMYFUNCTION("""COMPUTED_VALUE"""),29952.0)</f>
        <v>29952</v>
      </c>
      <c r="B96" s="6" t="str">
        <f>IFERROR(__xludf.DUMMYFUNCTION("""COMPUTED_VALUE"""),"gpc_comunicaciones_pib")</f>
        <v>gpc_comunicaciones_pib</v>
      </c>
      <c r="C96" s="6">
        <f>IFERROR(__xludf.DUMMYFUNCTION("""COMPUTED_VALUE"""),0.384514549936598)</f>
        <v>0.3845145499</v>
      </c>
    </row>
    <row r="97">
      <c r="A97" s="5">
        <f>IFERROR(__xludf.DUMMYFUNCTION("""COMPUTED_VALUE"""),29952.0)</f>
        <v>29952</v>
      </c>
      <c r="B97" s="6" t="str">
        <f>IFERROR(__xludf.DUMMYFUNCTION("""COMPUTED_VALUE"""),"gpc_otros_servicios_economicos_pib")</f>
        <v>gpc_otros_servicios_economicos_pib</v>
      </c>
      <c r="C97" s="6">
        <f>IFERROR(__xludf.DUMMYFUNCTION("""COMPUTED_VALUE"""),0.648139089740444)</f>
        <v>0.6481390897</v>
      </c>
    </row>
    <row r="98">
      <c r="A98" s="5">
        <f>IFERROR(__xludf.DUMMYFUNCTION("""COMPUTED_VALUE"""),29952.0)</f>
        <v>29952</v>
      </c>
      <c r="B98" s="6" t="str">
        <f>IFERROR(__xludf.DUMMYFUNCTION("""COMPUTED_VALUE"""),"gpc_servicios_deuda_publica_pib")</f>
        <v>gpc_servicios_deuda_publica_pib</v>
      </c>
      <c r="C98" s="6">
        <f>IFERROR(__xludf.DUMMYFUNCTION("""COMPUTED_VALUE"""),6.11448989772022)</f>
        <v>6.114489898</v>
      </c>
    </row>
    <row r="99">
      <c r="A99" s="5">
        <f>IFERROR(__xludf.DUMMYFUNCTION("""COMPUTED_VALUE"""),29952.0)</f>
        <v>29952</v>
      </c>
      <c r="B99" s="6"/>
      <c r="C99" s="6"/>
    </row>
    <row r="100">
      <c r="A100" s="5">
        <f>IFERROR(__xludf.DUMMYFUNCTION("""COMPUTED_VALUE"""),29952.0)</f>
        <v>29952</v>
      </c>
      <c r="B100" s="6"/>
      <c r="C100" s="6"/>
    </row>
    <row r="101">
      <c r="A101" s="5">
        <f>IFERROR(__xludf.DUMMYFUNCTION("""COMPUTED_VALUE"""),30317.0)</f>
        <v>30317</v>
      </c>
      <c r="B101" s="6" t="str">
        <f>IFERROR(__xludf.DUMMYFUNCTION("""COMPUTED_VALUE"""),"gpc_pib")</f>
        <v>gpc_pib</v>
      </c>
      <c r="C101" s="6">
        <f>IFERROR(__xludf.DUMMYFUNCTION("""COMPUTED_VALUE"""),25.9203560079243)</f>
        <v>25.92035601</v>
      </c>
    </row>
    <row r="102">
      <c r="A102" s="5">
        <f>IFERROR(__xludf.DUMMYFUNCTION("""COMPUTED_VALUE"""),30317.0)</f>
        <v>30317</v>
      </c>
      <c r="B102" s="6" t="str">
        <f>IFERROR(__xludf.DUMMYFUNCTION("""COMPUTED_VALUE"""),"gpc_funcionamiento_estado_pib")</f>
        <v>gpc_funcionamiento_estado_pib</v>
      </c>
      <c r="C102" s="6">
        <f>IFERROR(__xludf.DUMMYFUNCTION("""COMPUTED_VALUE"""),4.27225053811308)</f>
        <v>4.272250538</v>
      </c>
    </row>
    <row r="103">
      <c r="A103" s="5">
        <f>IFERROR(__xludf.DUMMYFUNCTION("""COMPUTED_VALUE"""),30317.0)</f>
        <v>30317</v>
      </c>
      <c r="B103" s="6" t="str">
        <f>IFERROR(__xludf.DUMMYFUNCTION("""COMPUTED_VALUE"""),"gpc_administracion_general_pib")</f>
        <v>gpc_administracion_general_pib</v>
      </c>
      <c r="C103" s="6">
        <f>IFERROR(__xludf.DUMMYFUNCTION("""COMPUTED_VALUE"""),1.43482921615206)</f>
        <v>1.434829216</v>
      </c>
    </row>
    <row r="104">
      <c r="A104" s="5">
        <f>IFERROR(__xludf.DUMMYFUNCTION("""COMPUTED_VALUE"""),30317.0)</f>
        <v>30317</v>
      </c>
      <c r="B104" s="6" t="str">
        <f>IFERROR(__xludf.DUMMYFUNCTION("""COMPUTED_VALUE"""),"gpc_justicia_pib")</f>
        <v>gpc_justicia_pib</v>
      </c>
      <c r="C104" s="6">
        <f>IFERROR(__xludf.DUMMYFUNCTION("""COMPUTED_VALUE"""),0.263484604419424)</f>
        <v>0.2634846044</v>
      </c>
    </row>
    <row r="105">
      <c r="A105" s="5">
        <f>IFERROR(__xludf.DUMMYFUNCTION("""COMPUTED_VALUE"""),30317.0)</f>
        <v>30317</v>
      </c>
      <c r="B105" s="6" t="str">
        <f>IFERROR(__xludf.DUMMYFUNCTION("""COMPUTED_VALUE"""),"gpc_defensa_seguridad_pib")</f>
        <v>gpc_defensa_seguridad_pib</v>
      </c>
      <c r="C105" s="6">
        <f>IFERROR(__xludf.DUMMYFUNCTION("""COMPUTED_VALUE"""),2.57393671754158)</f>
        <v>2.573936718</v>
      </c>
    </row>
    <row r="106">
      <c r="A106" s="5">
        <f>IFERROR(__xludf.DUMMYFUNCTION("""COMPUTED_VALUE"""),30317.0)</f>
        <v>30317</v>
      </c>
      <c r="B106" s="6" t="str">
        <f>IFERROR(__xludf.DUMMYFUNCTION("""COMPUTED_VALUE"""),"gpc_servicios_sociales_pib")</f>
        <v>gpc_servicios_sociales_pib</v>
      </c>
      <c r="C106" s="6">
        <f>IFERROR(__xludf.DUMMYFUNCTION("""COMPUTED_VALUE"""),11.419618136849)</f>
        <v>11.41961814</v>
      </c>
    </row>
    <row r="107">
      <c r="A107" s="5">
        <f>IFERROR(__xludf.DUMMYFUNCTION("""COMPUTED_VALUE"""),30317.0)</f>
        <v>30317</v>
      </c>
      <c r="B107" s="6" t="str">
        <f>IFERROR(__xludf.DUMMYFUNCTION("""COMPUTED_VALUE"""),"gpc_educacion_basica_pib")</f>
        <v>gpc_educacion_basica_pib</v>
      </c>
      <c r="C107" s="6">
        <f>IFERROR(__xludf.DUMMYFUNCTION("""COMPUTED_VALUE"""),1.58591575930754)</f>
        <v>1.585915759</v>
      </c>
    </row>
    <row r="108">
      <c r="A108" s="5">
        <f>IFERROR(__xludf.DUMMYFUNCTION("""COMPUTED_VALUE"""),30317.0)</f>
        <v>30317</v>
      </c>
      <c r="B108" s="6" t="str">
        <f>IFERROR(__xludf.DUMMYFUNCTION("""COMPUTED_VALUE"""),"gpc_educacion_universitaria_pib")</f>
        <v>gpc_educacion_universitaria_pib</v>
      </c>
      <c r="C108" s="6">
        <f>IFERROR(__xludf.DUMMYFUNCTION("""COMPUTED_VALUE"""),0.361014844150238)</f>
        <v>0.3610148442</v>
      </c>
    </row>
    <row r="109">
      <c r="A109" s="5">
        <f>IFERROR(__xludf.DUMMYFUNCTION("""COMPUTED_VALUE"""),30317.0)</f>
        <v>30317</v>
      </c>
      <c r="B109" s="6" t="str">
        <f>IFERROR(__xludf.DUMMYFUNCTION("""COMPUTED_VALUE"""),"gpc_ciencia_tecnica_pib")</f>
        <v>gpc_ciencia_tecnica_pib</v>
      </c>
      <c r="C109" s="6">
        <f>IFERROR(__xludf.DUMMYFUNCTION("""COMPUTED_VALUE"""),0.220879961958736)</f>
        <v>0.220879962</v>
      </c>
    </row>
    <row r="110">
      <c r="A110" s="5">
        <f>IFERROR(__xludf.DUMMYFUNCTION("""COMPUTED_VALUE"""),30317.0)</f>
        <v>30317</v>
      </c>
      <c r="B110" s="6" t="str">
        <f>IFERROR(__xludf.DUMMYFUNCTION("""COMPUTED_VALUE"""),"gpc_cultura_pib")</f>
        <v>gpc_cultura_pib</v>
      </c>
      <c r="C110" s="6">
        <f>IFERROR(__xludf.DUMMYFUNCTION("""COMPUTED_VALUE"""),0.0563742037122408)</f>
        <v>0.05637420371</v>
      </c>
    </row>
    <row r="111">
      <c r="A111" s="5">
        <f>IFERROR(__xludf.DUMMYFUNCTION("""COMPUTED_VALUE"""),30317.0)</f>
        <v>30317</v>
      </c>
      <c r="B111" s="6" t="str">
        <f>IFERROR(__xludf.DUMMYFUNCTION("""COMPUTED_VALUE"""),"gpc_educacion_cultura_sin_discriminar_pib")</f>
        <v>gpc_educacion_cultura_sin_discriminar_pib</v>
      </c>
      <c r="C111" s="6">
        <f>IFERROR(__xludf.DUMMYFUNCTION("""COMPUTED_VALUE"""),0.244288216086377)</f>
        <v>0.2442882161</v>
      </c>
    </row>
    <row r="112">
      <c r="A112" s="5">
        <f>IFERROR(__xludf.DUMMYFUNCTION("""COMPUTED_VALUE"""),30317.0)</f>
        <v>30317</v>
      </c>
      <c r="B112" s="6" t="str">
        <f>IFERROR(__xludf.DUMMYFUNCTION("""COMPUTED_VALUE"""),"gpc_atencion_salud_pib")</f>
        <v>gpc_atencion_salud_pib</v>
      </c>
      <c r="C112" s="6">
        <f>IFERROR(__xludf.DUMMYFUNCTION("""COMPUTED_VALUE"""),0.990248970510988)</f>
        <v>0.9902489705</v>
      </c>
    </row>
    <row r="113">
      <c r="A113" s="5">
        <f>IFERROR(__xludf.DUMMYFUNCTION("""COMPUTED_VALUE"""),30317.0)</f>
        <v>30317</v>
      </c>
      <c r="B113" s="6" t="str">
        <f>IFERROR(__xludf.DUMMYFUNCTION("""COMPUTED_VALUE"""),"gpc_obras_sociales_salud_pib")</f>
        <v>gpc_obras_sociales_salud_pib</v>
      </c>
      <c r="C113" s="6">
        <f>IFERROR(__xludf.DUMMYFUNCTION("""COMPUTED_VALUE"""),1.65288750610124)</f>
        <v>1.652887506</v>
      </c>
    </row>
    <row r="114">
      <c r="A114" s="5">
        <f>IFERROR(__xludf.DUMMYFUNCTION("""COMPUTED_VALUE"""),30317.0)</f>
        <v>30317</v>
      </c>
      <c r="B114" s="6" t="str">
        <f>IFERROR(__xludf.DUMMYFUNCTION("""COMPUTED_VALUE"""),"gpc_inssjyp_salud_pib")</f>
        <v>gpc_inssjyp_salud_pib</v>
      </c>
      <c r="C114" s="6">
        <f>IFERROR(__xludf.DUMMYFUNCTION("""COMPUTED_VALUE"""),0.481343362644732)</f>
        <v>0.4813433626</v>
      </c>
    </row>
    <row r="115">
      <c r="A115" s="5">
        <f>IFERROR(__xludf.DUMMYFUNCTION("""COMPUTED_VALUE"""),30317.0)</f>
        <v>30317</v>
      </c>
      <c r="B115" s="6" t="str">
        <f>IFERROR(__xludf.DUMMYFUNCTION("""COMPUTED_VALUE"""),"gpc_agua_alcantarillado_pib")</f>
        <v>gpc_agua_alcantarillado_pib</v>
      </c>
      <c r="C115" s="6">
        <f>IFERROR(__xludf.DUMMYFUNCTION("""COMPUTED_VALUE"""),0.148691785537325)</f>
        <v>0.1486917855</v>
      </c>
    </row>
    <row r="116">
      <c r="A116" s="5">
        <f>IFERROR(__xludf.DUMMYFUNCTION("""COMPUTED_VALUE"""),30317.0)</f>
        <v>30317</v>
      </c>
      <c r="B116" s="6" t="str">
        <f>IFERROR(__xludf.DUMMYFUNCTION("""COMPUTED_VALUE"""),"gpc_vivienda_urbanismo_pib")</f>
        <v>gpc_vivienda_urbanismo_pib</v>
      </c>
      <c r="C116" s="6">
        <f>IFERROR(__xludf.DUMMYFUNCTION("""COMPUTED_VALUE"""),0.670820625208015)</f>
        <v>0.6708206252</v>
      </c>
    </row>
    <row r="117">
      <c r="A117" s="5">
        <f>IFERROR(__xludf.DUMMYFUNCTION("""COMPUTED_VALUE"""),30317.0)</f>
        <v>30317</v>
      </c>
      <c r="B117" s="6" t="str">
        <f>IFERROR(__xludf.DUMMYFUNCTION("""COMPUTED_VALUE"""),"gpc_promocion_asistencia_social_pib")</f>
        <v>gpc_promocion_asistencia_social_pib</v>
      </c>
      <c r="C117" s="6">
        <f>IFERROR(__xludf.DUMMYFUNCTION("""COMPUTED_VALUE"""),0.35579950013311)</f>
        <v>0.3557995001</v>
      </c>
    </row>
    <row r="118">
      <c r="A118" s="5">
        <f>IFERROR(__xludf.DUMMYFUNCTION("""COMPUTED_VALUE"""),30317.0)</f>
        <v>30317</v>
      </c>
      <c r="B118" s="6" t="str">
        <f>IFERROR(__xludf.DUMMYFUNCTION("""COMPUTED_VALUE"""),"gpc_obras_sociales_prestaciones_pib")</f>
        <v>gpc_obras_sociales_prestaciones_pib</v>
      </c>
      <c r="C118" s="6">
        <f>IFERROR(__xludf.DUMMYFUNCTION("""COMPUTED_VALUE"""),0.246925083929171)</f>
        <v>0.2469250839</v>
      </c>
    </row>
    <row r="119">
      <c r="A119" s="5">
        <f>IFERROR(__xludf.DUMMYFUNCTION("""COMPUTED_VALUE"""),30317.0)</f>
        <v>30317</v>
      </c>
      <c r="B119" s="6" t="str">
        <f>IFERROR(__xludf.DUMMYFUNCTION("""COMPUTED_VALUE"""),"gpc_inssjyp_prestaciones_pib")</f>
        <v>gpc_inssjyp_prestaciones_pib</v>
      </c>
      <c r="C119" s="6">
        <f>IFERROR(__xludf.DUMMYFUNCTION("""COMPUTED_VALUE"""),0.0362301455754099)</f>
        <v>0.03623014558</v>
      </c>
    </row>
    <row r="120">
      <c r="A120" s="5">
        <f>IFERROR(__xludf.DUMMYFUNCTION("""COMPUTED_VALUE"""),30317.0)</f>
        <v>30317</v>
      </c>
      <c r="B120" s="6" t="str">
        <f>IFERROR(__xludf.DUMMYFUNCTION("""COMPUTED_VALUE"""),"gpc_prevision_social_pib")</f>
        <v>gpc_prevision_social_pib</v>
      </c>
      <c r="C120" s="6">
        <f>IFERROR(__xludf.DUMMYFUNCTION("""COMPUTED_VALUE"""),3.45745583284585)</f>
        <v>3.457455833</v>
      </c>
    </row>
    <row r="121">
      <c r="A121" s="5">
        <f>IFERROR(__xludf.DUMMYFUNCTION("""COMPUTED_VALUE"""),30317.0)</f>
        <v>30317</v>
      </c>
      <c r="B121" s="6" t="str">
        <f>IFERROR(__xludf.DUMMYFUNCTION("""COMPUTED_VALUE"""),"gpc_programas_empleo_pib")</f>
        <v>gpc_programas_empleo_pib</v>
      </c>
      <c r="C121" s="6">
        <f>IFERROR(__xludf.DUMMYFUNCTION("""COMPUTED_VALUE"""),0.0143365431854405)</f>
        <v>0.01433654319</v>
      </c>
    </row>
    <row r="122">
      <c r="A122" s="5">
        <f>IFERROR(__xludf.DUMMYFUNCTION("""COMPUTED_VALUE"""),30317.0)</f>
        <v>30317</v>
      </c>
      <c r="B122" s="6" t="str">
        <f>IFERROR(__xludf.DUMMYFUNCTION("""COMPUTED_VALUE"""),"gpc_asignaciones_familiares_pib")</f>
        <v>gpc_asignaciones_familiares_pib</v>
      </c>
      <c r="C122" s="6">
        <f>IFERROR(__xludf.DUMMYFUNCTION("""COMPUTED_VALUE"""),0.446943758741587)</f>
        <v>0.4469437587</v>
      </c>
    </row>
    <row r="123">
      <c r="A123" s="5">
        <f>IFERROR(__xludf.DUMMYFUNCTION("""COMPUTED_VALUE"""),30317.0)</f>
        <v>30317</v>
      </c>
      <c r="B123" s="6" t="str">
        <f>IFERROR(__xludf.DUMMYFUNCTION("""COMPUTED_VALUE"""),"gpc_otros_servicios_urbanos_pib")</f>
        <v>gpc_otros_servicios_urbanos_pib</v>
      </c>
      <c r="C123" s="6">
        <f>IFERROR(__xludf.DUMMYFUNCTION("""COMPUTED_VALUE"""),0.449462037220989)</f>
        <v>0.4494620372</v>
      </c>
    </row>
    <row r="124">
      <c r="A124" s="5">
        <f>IFERROR(__xludf.DUMMYFUNCTION("""COMPUTED_VALUE"""),30317.0)</f>
        <v>30317</v>
      </c>
      <c r="B124" s="6" t="str">
        <f>IFERROR(__xludf.DUMMYFUNCTION("""COMPUTED_VALUE"""),"gpc_servicios_economicos_pib")</f>
        <v>gpc_servicios_economicos_pib</v>
      </c>
      <c r="C124" s="6">
        <f>IFERROR(__xludf.DUMMYFUNCTION("""COMPUTED_VALUE"""),6.92055273582449)</f>
        <v>6.920552736</v>
      </c>
    </row>
    <row r="125">
      <c r="A125" s="5">
        <f>IFERROR(__xludf.DUMMYFUNCTION("""COMPUTED_VALUE"""),30317.0)</f>
        <v>30317</v>
      </c>
      <c r="B125" s="6" t="str">
        <f>IFERROR(__xludf.DUMMYFUNCTION("""COMPUTED_VALUE"""),"gpc_produccion_primaria_pib")</f>
        <v>gpc_produccion_primaria_pib</v>
      </c>
      <c r="C125" s="6">
        <f>IFERROR(__xludf.DUMMYFUNCTION("""COMPUTED_VALUE"""),0.295178031305443)</f>
        <v>0.2951780313</v>
      </c>
    </row>
    <row r="126">
      <c r="A126" s="5">
        <f>IFERROR(__xludf.DUMMYFUNCTION("""COMPUTED_VALUE"""),30317.0)</f>
        <v>30317</v>
      </c>
      <c r="B126" s="6" t="str">
        <f>IFERROR(__xludf.DUMMYFUNCTION("""COMPUTED_VALUE"""),"gpc_energia_combustible_pib")</f>
        <v>gpc_energia_combustible_pib</v>
      </c>
      <c r="C126" s="6">
        <f>IFERROR(__xludf.DUMMYFUNCTION("""COMPUTED_VALUE"""),2.91983953193836)</f>
        <v>2.919839532</v>
      </c>
    </row>
    <row r="127">
      <c r="A127" s="5">
        <f>IFERROR(__xludf.DUMMYFUNCTION("""COMPUTED_VALUE"""),30317.0)</f>
        <v>30317</v>
      </c>
      <c r="B127" s="6" t="str">
        <f>IFERROR(__xludf.DUMMYFUNCTION("""COMPUTED_VALUE"""),"gpc_industria_pib")</f>
        <v>gpc_industria_pib</v>
      </c>
      <c r="C127" s="6">
        <f>IFERROR(__xludf.DUMMYFUNCTION("""COMPUTED_VALUE"""),0.525173421805062)</f>
        <v>0.5251734218</v>
      </c>
    </row>
    <row r="128">
      <c r="A128" s="5">
        <f>IFERROR(__xludf.DUMMYFUNCTION("""COMPUTED_VALUE"""),30317.0)</f>
        <v>30317</v>
      </c>
      <c r="B128" s="6" t="str">
        <f>IFERROR(__xludf.DUMMYFUNCTION("""COMPUTED_VALUE"""),"gpc_transporte_pib")</f>
        <v>gpc_transporte_pib</v>
      </c>
      <c r="C128" s="6">
        <f>IFERROR(__xludf.DUMMYFUNCTION("""COMPUTED_VALUE"""),1.80148185362646)</f>
        <v>1.801481854</v>
      </c>
    </row>
    <row r="129">
      <c r="A129" s="5">
        <f>IFERROR(__xludf.DUMMYFUNCTION("""COMPUTED_VALUE"""),30317.0)</f>
        <v>30317</v>
      </c>
      <c r="B129" s="6" t="str">
        <f>IFERROR(__xludf.DUMMYFUNCTION("""COMPUTED_VALUE"""),"gpc_comunicaciones_pib")</f>
        <v>gpc_comunicaciones_pib</v>
      </c>
      <c r="C129" s="6">
        <f>IFERROR(__xludf.DUMMYFUNCTION("""COMPUTED_VALUE"""),0.435688081351262)</f>
        <v>0.4356880814</v>
      </c>
    </row>
    <row r="130">
      <c r="A130" s="5">
        <f>IFERROR(__xludf.DUMMYFUNCTION("""COMPUTED_VALUE"""),30317.0)</f>
        <v>30317</v>
      </c>
      <c r="B130" s="6" t="str">
        <f>IFERROR(__xludf.DUMMYFUNCTION("""COMPUTED_VALUE"""),"gpc_otros_servicios_economicos_pib")</f>
        <v>gpc_otros_servicios_economicos_pib</v>
      </c>
      <c r="C130" s="6">
        <f>IFERROR(__xludf.DUMMYFUNCTION("""COMPUTED_VALUE"""),0.943191815797895)</f>
        <v>0.9431918158</v>
      </c>
    </row>
    <row r="131">
      <c r="A131" s="5">
        <f>IFERROR(__xludf.DUMMYFUNCTION("""COMPUTED_VALUE"""),30317.0)</f>
        <v>30317</v>
      </c>
      <c r="B131" s="6" t="str">
        <f>IFERROR(__xludf.DUMMYFUNCTION("""COMPUTED_VALUE"""),"gpc_servicios_deuda_publica_pib")</f>
        <v>gpc_servicios_deuda_publica_pib</v>
      </c>
      <c r="C131" s="6">
        <f>IFERROR(__xludf.DUMMYFUNCTION("""COMPUTED_VALUE"""),3.30793459713781)</f>
        <v>3.307934597</v>
      </c>
    </row>
    <row r="132">
      <c r="A132" s="5">
        <f>IFERROR(__xludf.DUMMYFUNCTION("""COMPUTED_VALUE"""),30317.0)</f>
        <v>30317</v>
      </c>
      <c r="B132" s="6"/>
      <c r="C132" s="6"/>
    </row>
    <row r="133">
      <c r="A133" s="5">
        <f>IFERROR(__xludf.DUMMYFUNCTION("""COMPUTED_VALUE"""),30317.0)</f>
        <v>30317</v>
      </c>
      <c r="B133" s="6"/>
      <c r="C133" s="6"/>
    </row>
    <row r="134">
      <c r="A134" s="5">
        <f>IFERROR(__xludf.DUMMYFUNCTION("""COMPUTED_VALUE"""),30682.0)</f>
        <v>30682</v>
      </c>
      <c r="B134" s="6" t="str">
        <f>IFERROR(__xludf.DUMMYFUNCTION("""COMPUTED_VALUE"""),"gpc_pib")</f>
        <v>gpc_pib</v>
      </c>
      <c r="C134" s="6">
        <f>IFERROR(__xludf.DUMMYFUNCTION("""COMPUTED_VALUE"""),26.5816402009775)</f>
        <v>26.5816402</v>
      </c>
    </row>
    <row r="135">
      <c r="A135" s="5">
        <f>IFERROR(__xludf.DUMMYFUNCTION("""COMPUTED_VALUE"""),30682.0)</f>
        <v>30682</v>
      </c>
      <c r="B135" s="6" t="str">
        <f>IFERROR(__xludf.DUMMYFUNCTION("""COMPUTED_VALUE"""),"gpc_funcionamiento_estado_pib")</f>
        <v>gpc_funcionamiento_estado_pib</v>
      </c>
      <c r="C135" s="6">
        <f>IFERROR(__xludf.DUMMYFUNCTION("""COMPUTED_VALUE"""),3.85834530386381)</f>
        <v>3.858345304</v>
      </c>
    </row>
    <row r="136">
      <c r="A136" s="5">
        <f>IFERROR(__xludf.DUMMYFUNCTION("""COMPUTED_VALUE"""),30682.0)</f>
        <v>30682</v>
      </c>
      <c r="B136" s="6" t="str">
        <f>IFERROR(__xludf.DUMMYFUNCTION("""COMPUTED_VALUE"""),"gpc_administracion_general_pib")</f>
        <v>gpc_administracion_general_pib</v>
      </c>
      <c r="C136" s="6">
        <f>IFERROR(__xludf.DUMMYFUNCTION("""COMPUTED_VALUE"""),1.52145952434217)</f>
        <v>1.521459524</v>
      </c>
    </row>
    <row r="137">
      <c r="A137" s="5">
        <f>IFERROR(__xludf.DUMMYFUNCTION("""COMPUTED_VALUE"""),30682.0)</f>
        <v>30682</v>
      </c>
      <c r="B137" s="6" t="str">
        <f>IFERROR(__xludf.DUMMYFUNCTION("""COMPUTED_VALUE"""),"gpc_justicia_pib")</f>
        <v>gpc_justicia_pib</v>
      </c>
      <c r="C137" s="6">
        <f>IFERROR(__xludf.DUMMYFUNCTION("""COMPUTED_VALUE"""),0.314130522778952)</f>
        <v>0.3141305228</v>
      </c>
    </row>
    <row r="138">
      <c r="A138" s="5">
        <f>IFERROR(__xludf.DUMMYFUNCTION("""COMPUTED_VALUE"""),30682.0)</f>
        <v>30682</v>
      </c>
      <c r="B138" s="6" t="str">
        <f>IFERROR(__xludf.DUMMYFUNCTION("""COMPUTED_VALUE"""),"gpc_defensa_seguridad_pib")</f>
        <v>gpc_defensa_seguridad_pib</v>
      </c>
      <c r="C138" s="6">
        <f>IFERROR(__xludf.DUMMYFUNCTION("""COMPUTED_VALUE"""),2.02275525674268)</f>
        <v>2.022755257</v>
      </c>
    </row>
    <row r="139">
      <c r="A139" s="5">
        <f>IFERROR(__xludf.DUMMYFUNCTION("""COMPUTED_VALUE"""),30682.0)</f>
        <v>30682</v>
      </c>
      <c r="B139" s="6" t="str">
        <f>IFERROR(__xludf.DUMMYFUNCTION("""COMPUTED_VALUE"""),"gpc_servicios_sociales_pib")</f>
        <v>gpc_servicios_sociales_pib</v>
      </c>
      <c r="C139" s="6">
        <f>IFERROR(__xludf.DUMMYFUNCTION("""COMPUTED_VALUE"""),12.9662153901989)</f>
        <v>12.96621539</v>
      </c>
    </row>
    <row r="140">
      <c r="A140" s="5">
        <f>IFERROR(__xludf.DUMMYFUNCTION("""COMPUTED_VALUE"""),30682.0)</f>
        <v>30682</v>
      </c>
      <c r="B140" s="6" t="str">
        <f>IFERROR(__xludf.DUMMYFUNCTION("""COMPUTED_VALUE"""),"gpc_educacion_basica_pib")</f>
        <v>gpc_educacion_basica_pib</v>
      </c>
      <c r="C140" s="6">
        <f>IFERROR(__xludf.DUMMYFUNCTION("""COMPUTED_VALUE"""),2.09235210663943)</f>
        <v>2.092352107</v>
      </c>
    </row>
    <row r="141">
      <c r="A141" s="5">
        <f>IFERROR(__xludf.DUMMYFUNCTION("""COMPUTED_VALUE"""),30682.0)</f>
        <v>30682</v>
      </c>
      <c r="B141" s="6" t="str">
        <f>IFERROR(__xludf.DUMMYFUNCTION("""COMPUTED_VALUE"""),"gpc_educacion_universitaria_pib")</f>
        <v>gpc_educacion_universitaria_pib</v>
      </c>
      <c r="C141" s="6">
        <f>IFERROR(__xludf.DUMMYFUNCTION("""COMPUTED_VALUE"""),0.43511897186118)</f>
        <v>0.4351189719</v>
      </c>
    </row>
    <row r="142">
      <c r="A142" s="5">
        <f>IFERROR(__xludf.DUMMYFUNCTION("""COMPUTED_VALUE"""),30682.0)</f>
        <v>30682</v>
      </c>
      <c r="B142" s="6" t="str">
        <f>IFERROR(__xludf.DUMMYFUNCTION("""COMPUTED_VALUE"""),"gpc_ciencia_tecnica_pib")</f>
        <v>gpc_ciencia_tecnica_pib</v>
      </c>
      <c r="C142" s="6">
        <f>IFERROR(__xludf.DUMMYFUNCTION("""COMPUTED_VALUE"""),0.188317124265616)</f>
        <v>0.1883171243</v>
      </c>
    </row>
    <row r="143">
      <c r="A143" s="5">
        <f>IFERROR(__xludf.DUMMYFUNCTION("""COMPUTED_VALUE"""),30682.0)</f>
        <v>30682</v>
      </c>
      <c r="B143" s="6" t="str">
        <f>IFERROR(__xludf.DUMMYFUNCTION("""COMPUTED_VALUE"""),"gpc_cultura_pib")</f>
        <v>gpc_cultura_pib</v>
      </c>
      <c r="C143" s="6">
        <f>IFERROR(__xludf.DUMMYFUNCTION("""COMPUTED_VALUE"""),0.0814772155176039)</f>
        <v>0.08147721552</v>
      </c>
    </row>
    <row r="144">
      <c r="A144" s="5">
        <f>IFERROR(__xludf.DUMMYFUNCTION("""COMPUTED_VALUE"""),30682.0)</f>
        <v>30682</v>
      </c>
      <c r="B144" s="6" t="str">
        <f>IFERROR(__xludf.DUMMYFUNCTION("""COMPUTED_VALUE"""),"gpc_educacion_cultura_sin_discriminar_pib")</f>
        <v>gpc_educacion_cultura_sin_discriminar_pib</v>
      </c>
      <c r="C144" s="6">
        <f>IFERROR(__xludf.DUMMYFUNCTION("""COMPUTED_VALUE"""),0.279350453203213)</f>
        <v>0.2793504532</v>
      </c>
    </row>
    <row r="145">
      <c r="A145" s="5">
        <f>IFERROR(__xludf.DUMMYFUNCTION("""COMPUTED_VALUE"""),30682.0)</f>
        <v>30682</v>
      </c>
      <c r="B145" s="6" t="str">
        <f>IFERROR(__xludf.DUMMYFUNCTION("""COMPUTED_VALUE"""),"gpc_atencion_salud_pib")</f>
        <v>gpc_atencion_salud_pib</v>
      </c>
      <c r="C145" s="6">
        <f>IFERROR(__xludf.DUMMYFUNCTION("""COMPUTED_VALUE"""),1.20555957231099)</f>
        <v>1.205559572</v>
      </c>
    </row>
    <row r="146">
      <c r="A146" s="5">
        <f>IFERROR(__xludf.DUMMYFUNCTION("""COMPUTED_VALUE"""),30682.0)</f>
        <v>30682</v>
      </c>
      <c r="B146" s="6" t="str">
        <f>IFERROR(__xludf.DUMMYFUNCTION("""COMPUTED_VALUE"""),"gpc_obras_sociales_salud_pib")</f>
        <v>gpc_obras_sociales_salud_pib</v>
      </c>
      <c r="C146" s="6">
        <f>IFERROR(__xludf.DUMMYFUNCTION("""COMPUTED_VALUE"""),1.69108596641863)</f>
        <v>1.691085966</v>
      </c>
    </row>
    <row r="147">
      <c r="A147" s="5">
        <f>IFERROR(__xludf.DUMMYFUNCTION("""COMPUTED_VALUE"""),30682.0)</f>
        <v>30682</v>
      </c>
      <c r="B147" s="6" t="str">
        <f>IFERROR(__xludf.DUMMYFUNCTION("""COMPUTED_VALUE"""),"gpc_inssjyp_salud_pib")</f>
        <v>gpc_inssjyp_salud_pib</v>
      </c>
      <c r="C147" s="6">
        <f>IFERROR(__xludf.DUMMYFUNCTION("""COMPUTED_VALUE"""),0.520674325964139)</f>
        <v>0.520674326</v>
      </c>
    </row>
    <row r="148">
      <c r="A148" s="5">
        <f>IFERROR(__xludf.DUMMYFUNCTION("""COMPUTED_VALUE"""),30682.0)</f>
        <v>30682</v>
      </c>
      <c r="B148" s="6" t="str">
        <f>IFERROR(__xludf.DUMMYFUNCTION("""COMPUTED_VALUE"""),"gpc_agua_alcantarillado_pib")</f>
        <v>gpc_agua_alcantarillado_pib</v>
      </c>
      <c r="C148" s="6">
        <f>IFERROR(__xludf.DUMMYFUNCTION("""COMPUTED_VALUE"""),0.193250814905607)</f>
        <v>0.1932508149</v>
      </c>
    </row>
    <row r="149">
      <c r="A149" s="5">
        <f>IFERROR(__xludf.DUMMYFUNCTION("""COMPUTED_VALUE"""),30682.0)</f>
        <v>30682</v>
      </c>
      <c r="B149" s="6" t="str">
        <f>IFERROR(__xludf.DUMMYFUNCTION("""COMPUTED_VALUE"""),"gpc_vivienda_urbanismo_pib")</f>
        <v>gpc_vivienda_urbanismo_pib</v>
      </c>
      <c r="C149" s="6">
        <f>IFERROR(__xludf.DUMMYFUNCTION("""COMPUTED_VALUE"""),0.592803290406058)</f>
        <v>0.5928032904</v>
      </c>
    </row>
    <row r="150">
      <c r="A150" s="5">
        <f>IFERROR(__xludf.DUMMYFUNCTION("""COMPUTED_VALUE"""),30682.0)</f>
        <v>30682</v>
      </c>
      <c r="B150" s="6" t="str">
        <f>IFERROR(__xludf.DUMMYFUNCTION("""COMPUTED_VALUE"""),"gpc_promocion_asistencia_social_pib")</f>
        <v>gpc_promocion_asistencia_social_pib</v>
      </c>
      <c r="C150" s="6">
        <f>IFERROR(__xludf.DUMMYFUNCTION("""COMPUTED_VALUE"""),0.501225025298512)</f>
        <v>0.5012250253</v>
      </c>
    </row>
    <row r="151">
      <c r="A151" s="5">
        <f>IFERROR(__xludf.DUMMYFUNCTION("""COMPUTED_VALUE"""),30682.0)</f>
        <v>30682</v>
      </c>
      <c r="B151" s="6" t="str">
        <f>IFERROR(__xludf.DUMMYFUNCTION("""COMPUTED_VALUE"""),"gpc_obras_sociales_prestaciones_pib")</f>
        <v>gpc_obras_sociales_prestaciones_pib</v>
      </c>
      <c r="C151" s="6">
        <f>IFERROR(__xludf.DUMMYFUNCTION("""COMPUTED_VALUE"""),0.23964052643448)</f>
        <v>0.2396405264</v>
      </c>
    </row>
    <row r="152">
      <c r="A152" s="5">
        <f>IFERROR(__xludf.DUMMYFUNCTION("""COMPUTED_VALUE"""),30682.0)</f>
        <v>30682</v>
      </c>
      <c r="B152" s="6" t="str">
        <f>IFERROR(__xludf.DUMMYFUNCTION("""COMPUTED_VALUE"""),"gpc_inssjyp_prestaciones_pib")</f>
        <v>gpc_inssjyp_prestaciones_pib</v>
      </c>
      <c r="C152" s="6">
        <f>IFERROR(__xludf.DUMMYFUNCTION("""COMPUTED_VALUE"""),0.0391905406639674)</f>
        <v>0.03919054066</v>
      </c>
    </row>
    <row r="153">
      <c r="A153" s="5">
        <f>IFERROR(__xludf.DUMMYFUNCTION("""COMPUTED_VALUE"""),30682.0)</f>
        <v>30682</v>
      </c>
      <c r="B153" s="6" t="str">
        <f>IFERROR(__xludf.DUMMYFUNCTION("""COMPUTED_VALUE"""),"gpc_prevision_social_pib")</f>
        <v>gpc_prevision_social_pib</v>
      </c>
      <c r="C153" s="6">
        <f>IFERROR(__xludf.DUMMYFUNCTION("""COMPUTED_VALUE"""),4.04485488715592)</f>
        <v>4.044854887</v>
      </c>
    </row>
    <row r="154">
      <c r="A154" s="5">
        <f>IFERROR(__xludf.DUMMYFUNCTION("""COMPUTED_VALUE"""),30682.0)</f>
        <v>30682</v>
      </c>
      <c r="B154" s="6" t="str">
        <f>IFERROR(__xludf.DUMMYFUNCTION("""COMPUTED_VALUE"""),"gpc_programas_empleo_pib")</f>
        <v>gpc_programas_empleo_pib</v>
      </c>
      <c r="C154" s="6">
        <f>IFERROR(__xludf.DUMMYFUNCTION("""COMPUTED_VALUE"""),0.0184254903091952)</f>
        <v>0.01842549031</v>
      </c>
    </row>
    <row r="155">
      <c r="A155" s="5">
        <f>IFERROR(__xludf.DUMMYFUNCTION("""COMPUTED_VALUE"""),30682.0)</f>
        <v>30682</v>
      </c>
      <c r="B155" s="6" t="str">
        <f>IFERROR(__xludf.DUMMYFUNCTION("""COMPUTED_VALUE"""),"gpc_asignaciones_familiares_pib")</f>
        <v>gpc_asignaciones_familiares_pib</v>
      </c>
      <c r="C155" s="6">
        <f>IFERROR(__xludf.DUMMYFUNCTION("""COMPUTED_VALUE"""),0.385526904624868)</f>
        <v>0.3855269046</v>
      </c>
    </row>
    <row r="156">
      <c r="A156" s="5">
        <f>IFERROR(__xludf.DUMMYFUNCTION("""COMPUTED_VALUE"""),30682.0)</f>
        <v>30682</v>
      </c>
      <c r="B156" s="6" t="str">
        <f>IFERROR(__xludf.DUMMYFUNCTION("""COMPUTED_VALUE"""),"gpc_otros_servicios_urbanos_pib")</f>
        <v>gpc_otros_servicios_urbanos_pib</v>
      </c>
      <c r="C156" s="6">
        <f>IFERROR(__xludf.DUMMYFUNCTION("""COMPUTED_VALUE"""),0.457362174219518)</f>
        <v>0.4573621742</v>
      </c>
    </row>
    <row r="157">
      <c r="A157" s="5">
        <f>IFERROR(__xludf.DUMMYFUNCTION("""COMPUTED_VALUE"""),30682.0)</f>
        <v>30682</v>
      </c>
      <c r="B157" s="6" t="str">
        <f>IFERROR(__xludf.DUMMYFUNCTION("""COMPUTED_VALUE"""),"gpc_servicios_economicos_pib")</f>
        <v>gpc_servicios_economicos_pib</v>
      </c>
      <c r="C157" s="6">
        <f>IFERROR(__xludf.DUMMYFUNCTION("""COMPUTED_VALUE"""),6.68606219371701)</f>
        <v>6.686062194</v>
      </c>
    </row>
    <row r="158">
      <c r="A158" s="5">
        <f>IFERROR(__xludf.DUMMYFUNCTION("""COMPUTED_VALUE"""),30682.0)</f>
        <v>30682</v>
      </c>
      <c r="B158" s="6" t="str">
        <f>IFERROR(__xludf.DUMMYFUNCTION("""COMPUTED_VALUE"""),"gpc_produccion_primaria_pib")</f>
        <v>gpc_produccion_primaria_pib</v>
      </c>
      <c r="C158" s="6">
        <f>IFERROR(__xludf.DUMMYFUNCTION("""COMPUTED_VALUE"""),0.367261280068554)</f>
        <v>0.3672612801</v>
      </c>
    </row>
    <row r="159">
      <c r="A159" s="5">
        <f>IFERROR(__xludf.DUMMYFUNCTION("""COMPUTED_VALUE"""),30682.0)</f>
        <v>30682</v>
      </c>
      <c r="B159" s="6" t="str">
        <f>IFERROR(__xludf.DUMMYFUNCTION("""COMPUTED_VALUE"""),"gpc_energia_combustible_pib")</f>
        <v>gpc_energia_combustible_pib</v>
      </c>
      <c r="C159" s="6">
        <f>IFERROR(__xludf.DUMMYFUNCTION("""COMPUTED_VALUE"""),2.68090019269312)</f>
        <v>2.680900193</v>
      </c>
    </row>
    <row r="160">
      <c r="A160" s="5">
        <f>IFERROR(__xludf.DUMMYFUNCTION("""COMPUTED_VALUE"""),30682.0)</f>
        <v>30682</v>
      </c>
      <c r="B160" s="6" t="str">
        <f>IFERROR(__xludf.DUMMYFUNCTION("""COMPUTED_VALUE"""),"gpc_industria_pib")</f>
        <v>gpc_industria_pib</v>
      </c>
      <c r="C160" s="6">
        <f>IFERROR(__xludf.DUMMYFUNCTION("""COMPUTED_VALUE"""),0.364329069969511)</f>
        <v>0.36432907</v>
      </c>
    </row>
    <row r="161">
      <c r="A161" s="5">
        <f>IFERROR(__xludf.DUMMYFUNCTION("""COMPUTED_VALUE"""),30682.0)</f>
        <v>30682</v>
      </c>
      <c r="B161" s="6" t="str">
        <f>IFERROR(__xludf.DUMMYFUNCTION("""COMPUTED_VALUE"""),"gpc_transporte_pib")</f>
        <v>gpc_transporte_pib</v>
      </c>
      <c r="C161" s="6">
        <f>IFERROR(__xludf.DUMMYFUNCTION("""COMPUTED_VALUE"""),2.07173025635461)</f>
        <v>2.071730256</v>
      </c>
    </row>
    <row r="162">
      <c r="A162" s="5">
        <f>IFERROR(__xludf.DUMMYFUNCTION("""COMPUTED_VALUE"""),30682.0)</f>
        <v>30682</v>
      </c>
      <c r="B162" s="6" t="str">
        <f>IFERROR(__xludf.DUMMYFUNCTION("""COMPUTED_VALUE"""),"gpc_comunicaciones_pib")</f>
        <v>gpc_comunicaciones_pib</v>
      </c>
      <c r="C162" s="6">
        <f>IFERROR(__xludf.DUMMYFUNCTION("""COMPUTED_VALUE"""),0.309528100719785)</f>
        <v>0.3095281007</v>
      </c>
    </row>
    <row r="163">
      <c r="A163" s="5">
        <f>IFERROR(__xludf.DUMMYFUNCTION("""COMPUTED_VALUE"""),30682.0)</f>
        <v>30682</v>
      </c>
      <c r="B163" s="6" t="str">
        <f>IFERROR(__xludf.DUMMYFUNCTION("""COMPUTED_VALUE"""),"gpc_otros_servicios_economicos_pib")</f>
        <v>gpc_otros_servicios_economicos_pib</v>
      </c>
      <c r="C163" s="6">
        <f>IFERROR(__xludf.DUMMYFUNCTION("""COMPUTED_VALUE"""),0.892313293911421)</f>
        <v>0.8923132939</v>
      </c>
    </row>
    <row r="164">
      <c r="A164" s="5">
        <f>IFERROR(__xludf.DUMMYFUNCTION("""COMPUTED_VALUE"""),30682.0)</f>
        <v>30682</v>
      </c>
      <c r="B164" s="6" t="str">
        <f>IFERROR(__xludf.DUMMYFUNCTION("""COMPUTED_VALUE"""),"gpc_servicios_deuda_publica_pib")</f>
        <v>gpc_servicios_deuda_publica_pib</v>
      </c>
      <c r="C164" s="6">
        <f>IFERROR(__xludf.DUMMYFUNCTION("""COMPUTED_VALUE"""),3.07101731319775)</f>
        <v>3.071017313</v>
      </c>
    </row>
    <row r="165">
      <c r="A165" s="5">
        <f>IFERROR(__xludf.DUMMYFUNCTION("""COMPUTED_VALUE"""),30682.0)</f>
        <v>30682</v>
      </c>
      <c r="B165" s="6"/>
      <c r="C165" s="6"/>
    </row>
    <row r="166">
      <c r="A166" s="5">
        <f>IFERROR(__xludf.DUMMYFUNCTION("""COMPUTED_VALUE"""),30682.0)</f>
        <v>30682</v>
      </c>
      <c r="B166" s="6"/>
      <c r="C166" s="6"/>
    </row>
    <row r="167">
      <c r="A167" s="5">
        <f>IFERROR(__xludf.DUMMYFUNCTION("""COMPUTED_VALUE"""),31048.0)</f>
        <v>31048</v>
      </c>
      <c r="B167" s="6" t="str">
        <f>IFERROR(__xludf.DUMMYFUNCTION("""COMPUTED_VALUE"""),"gpc_pib")</f>
        <v>gpc_pib</v>
      </c>
      <c r="C167" s="6">
        <f>IFERROR(__xludf.DUMMYFUNCTION("""COMPUTED_VALUE"""),29.9539427981967)</f>
        <v>29.9539428</v>
      </c>
    </row>
    <row r="168">
      <c r="A168" s="5">
        <f>IFERROR(__xludf.DUMMYFUNCTION("""COMPUTED_VALUE"""),31048.0)</f>
        <v>31048</v>
      </c>
      <c r="B168" s="6" t="str">
        <f>IFERROR(__xludf.DUMMYFUNCTION("""COMPUTED_VALUE"""),"gpc_funcionamiento_estado_pib")</f>
        <v>gpc_funcionamiento_estado_pib</v>
      </c>
      <c r="C168" s="6">
        <f>IFERROR(__xludf.DUMMYFUNCTION("""COMPUTED_VALUE"""),4.31129011920676)</f>
        <v>4.311290119</v>
      </c>
    </row>
    <row r="169">
      <c r="A169" s="5">
        <f>IFERROR(__xludf.DUMMYFUNCTION("""COMPUTED_VALUE"""),31048.0)</f>
        <v>31048</v>
      </c>
      <c r="B169" s="6" t="str">
        <f>IFERROR(__xludf.DUMMYFUNCTION("""COMPUTED_VALUE"""),"gpc_administracion_general_pib")</f>
        <v>gpc_administracion_general_pib</v>
      </c>
      <c r="C169" s="6">
        <f>IFERROR(__xludf.DUMMYFUNCTION("""COMPUTED_VALUE"""),1.90517464782132)</f>
        <v>1.905174648</v>
      </c>
    </row>
    <row r="170">
      <c r="A170" s="5">
        <f>IFERROR(__xludf.DUMMYFUNCTION("""COMPUTED_VALUE"""),31048.0)</f>
        <v>31048</v>
      </c>
      <c r="B170" s="6" t="str">
        <f>IFERROR(__xludf.DUMMYFUNCTION("""COMPUTED_VALUE"""),"gpc_justicia_pib")</f>
        <v>gpc_justicia_pib</v>
      </c>
      <c r="C170" s="6">
        <f>IFERROR(__xludf.DUMMYFUNCTION("""COMPUTED_VALUE"""),0.353657551061509)</f>
        <v>0.3536575511</v>
      </c>
    </row>
    <row r="171">
      <c r="A171" s="5">
        <f>IFERROR(__xludf.DUMMYFUNCTION("""COMPUTED_VALUE"""),31048.0)</f>
        <v>31048</v>
      </c>
      <c r="B171" s="6" t="str">
        <f>IFERROR(__xludf.DUMMYFUNCTION("""COMPUTED_VALUE"""),"gpc_defensa_seguridad_pib")</f>
        <v>gpc_defensa_seguridad_pib</v>
      </c>
      <c r="C171" s="6">
        <f>IFERROR(__xludf.DUMMYFUNCTION("""COMPUTED_VALUE"""),2.05245792032393)</f>
        <v>2.05245792</v>
      </c>
    </row>
    <row r="172">
      <c r="A172" s="5">
        <f>IFERROR(__xludf.DUMMYFUNCTION("""COMPUTED_VALUE"""),31048.0)</f>
        <v>31048</v>
      </c>
      <c r="B172" s="6" t="str">
        <f>IFERROR(__xludf.DUMMYFUNCTION("""COMPUTED_VALUE"""),"gpc_servicios_sociales_pib")</f>
        <v>gpc_servicios_sociales_pib</v>
      </c>
      <c r="C172" s="6">
        <f>IFERROR(__xludf.DUMMYFUNCTION("""COMPUTED_VALUE"""),14.945165951527)</f>
        <v>14.94516595</v>
      </c>
    </row>
    <row r="173">
      <c r="A173" s="5">
        <f>IFERROR(__xludf.DUMMYFUNCTION("""COMPUTED_VALUE"""),31048.0)</f>
        <v>31048</v>
      </c>
      <c r="B173" s="6" t="str">
        <f>IFERROR(__xludf.DUMMYFUNCTION("""COMPUTED_VALUE"""),"gpc_educacion_basica_pib")</f>
        <v>gpc_educacion_basica_pib</v>
      </c>
      <c r="C173" s="6">
        <f>IFERROR(__xludf.DUMMYFUNCTION("""COMPUTED_VALUE"""),2.05230702385168)</f>
        <v>2.052307024</v>
      </c>
    </row>
    <row r="174">
      <c r="A174" s="5">
        <f>IFERROR(__xludf.DUMMYFUNCTION("""COMPUTED_VALUE"""),31048.0)</f>
        <v>31048</v>
      </c>
      <c r="B174" s="6" t="str">
        <f>IFERROR(__xludf.DUMMYFUNCTION("""COMPUTED_VALUE"""),"gpc_educacion_universitaria_pib")</f>
        <v>gpc_educacion_universitaria_pib</v>
      </c>
      <c r="C174" s="6">
        <f>IFERROR(__xludf.DUMMYFUNCTION("""COMPUTED_VALUE"""),0.452058715212229)</f>
        <v>0.4520587152</v>
      </c>
    </row>
    <row r="175">
      <c r="A175" s="5">
        <f>IFERROR(__xludf.DUMMYFUNCTION("""COMPUTED_VALUE"""),31048.0)</f>
        <v>31048</v>
      </c>
      <c r="B175" s="6" t="str">
        <f>IFERROR(__xludf.DUMMYFUNCTION("""COMPUTED_VALUE"""),"gpc_ciencia_tecnica_pib")</f>
        <v>gpc_ciencia_tecnica_pib</v>
      </c>
      <c r="C175" s="6">
        <f>IFERROR(__xludf.DUMMYFUNCTION("""COMPUTED_VALUE"""),0.244116144555823)</f>
        <v>0.2441161446</v>
      </c>
    </row>
    <row r="176">
      <c r="A176" s="5">
        <f>IFERROR(__xludf.DUMMYFUNCTION("""COMPUTED_VALUE"""),31048.0)</f>
        <v>31048</v>
      </c>
      <c r="B176" s="6" t="str">
        <f>IFERROR(__xludf.DUMMYFUNCTION("""COMPUTED_VALUE"""),"gpc_cultura_pib")</f>
        <v>gpc_cultura_pib</v>
      </c>
      <c r="C176" s="6">
        <f>IFERROR(__xludf.DUMMYFUNCTION("""COMPUTED_VALUE"""),0.087484765795333)</f>
        <v>0.0874847658</v>
      </c>
    </row>
    <row r="177">
      <c r="A177" s="5">
        <f>IFERROR(__xludf.DUMMYFUNCTION("""COMPUTED_VALUE"""),31048.0)</f>
        <v>31048</v>
      </c>
      <c r="B177" s="6" t="str">
        <f>IFERROR(__xludf.DUMMYFUNCTION("""COMPUTED_VALUE"""),"gpc_educacion_cultura_sin_discriminar_pib")</f>
        <v>gpc_educacion_cultura_sin_discriminar_pib</v>
      </c>
      <c r="C177" s="6">
        <f>IFERROR(__xludf.DUMMYFUNCTION("""COMPUTED_VALUE"""),0.29071860633526)</f>
        <v>0.2907186063</v>
      </c>
    </row>
    <row r="178">
      <c r="A178" s="5">
        <f>IFERROR(__xludf.DUMMYFUNCTION("""COMPUTED_VALUE"""),31048.0)</f>
        <v>31048</v>
      </c>
      <c r="B178" s="6" t="str">
        <f>IFERROR(__xludf.DUMMYFUNCTION("""COMPUTED_VALUE"""),"gpc_atencion_salud_pib")</f>
        <v>gpc_atencion_salud_pib</v>
      </c>
      <c r="C178" s="6">
        <f>IFERROR(__xludf.DUMMYFUNCTION("""COMPUTED_VALUE"""),1.24423651134349)</f>
        <v>1.244236511</v>
      </c>
    </row>
    <row r="179">
      <c r="A179" s="5">
        <f>IFERROR(__xludf.DUMMYFUNCTION("""COMPUTED_VALUE"""),31048.0)</f>
        <v>31048</v>
      </c>
      <c r="B179" s="6" t="str">
        <f>IFERROR(__xludf.DUMMYFUNCTION("""COMPUTED_VALUE"""),"gpc_obras_sociales_salud_pib")</f>
        <v>gpc_obras_sociales_salud_pib</v>
      </c>
      <c r="C179" s="6">
        <f>IFERROR(__xludf.DUMMYFUNCTION("""COMPUTED_VALUE"""),1.68971340453145)</f>
        <v>1.689713405</v>
      </c>
    </row>
    <row r="180">
      <c r="A180" s="5">
        <f>IFERROR(__xludf.DUMMYFUNCTION("""COMPUTED_VALUE"""),31048.0)</f>
        <v>31048</v>
      </c>
      <c r="B180" s="6" t="str">
        <f>IFERROR(__xludf.DUMMYFUNCTION("""COMPUTED_VALUE"""),"gpc_inssjyp_salud_pib")</f>
        <v>gpc_inssjyp_salud_pib</v>
      </c>
      <c r="C180" s="6">
        <f>IFERROR(__xludf.DUMMYFUNCTION("""COMPUTED_VALUE"""),0.557947553054473)</f>
        <v>0.5579475531</v>
      </c>
    </row>
    <row r="181">
      <c r="A181" s="5">
        <f>IFERROR(__xludf.DUMMYFUNCTION("""COMPUTED_VALUE"""),31048.0)</f>
        <v>31048</v>
      </c>
      <c r="B181" s="6" t="str">
        <f>IFERROR(__xludf.DUMMYFUNCTION("""COMPUTED_VALUE"""),"gpc_agua_alcantarillado_pib")</f>
        <v>gpc_agua_alcantarillado_pib</v>
      </c>
      <c r="C181" s="6">
        <f>IFERROR(__xludf.DUMMYFUNCTION("""COMPUTED_VALUE"""),0.176710920446439)</f>
        <v>0.1767109204</v>
      </c>
    </row>
    <row r="182">
      <c r="A182" s="5">
        <f>IFERROR(__xludf.DUMMYFUNCTION("""COMPUTED_VALUE"""),31048.0)</f>
        <v>31048</v>
      </c>
      <c r="B182" s="6" t="str">
        <f>IFERROR(__xludf.DUMMYFUNCTION("""COMPUTED_VALUE"""),"gpc_vivienda_urbanismo_pib")</f>
        <v>gpc_vivienda_urbanismo_pib</v>
      </c>
      <c r="C182" s="6">
        <f>IFERROR(__xludf.DUMMYFUNCTION("""COMPUTED_VALUE"""),0.587898972064111)</f>
        <v>0.5878989721</v>
      </c>
    </row>
    <row r="183">
      <c r="A183" s="5">
        <f>IFERROR(__xludf.DUMMYFUNCTION("""COMPUTED_VALUE"""),31048.0)</f>
        <v>31048</v>
      </c>
      <c r="B183" s="6" t="str">
        <f>IFERROR(__xludf.DUMMYFUNCTION("""COMPUTED_VALUE"""),"gpc_promocion_asistencia_social_pib")</f>
        <v>gpc_promocion_asistencia_social_pib</v>
      </c>
      <c r="C183" s="6">
        <f>IFERROR(__xludf.DUMMYFUNCTION("""COMPUTED_VALUE"""),0.686592888014836)</f>
        <v>0.686592888</v>
      </c>
    </row>
    <row r="184">
      <c r="A184" s="5">
        <f>IFERROR(__xludf.DUMMYFUNCTION("""COMPUTED_VALUE"""),31048.0)</f>
        <v>31048</v>
      </c>
      <c r="B184" s="6" t="str">
        <f>IFERROR(__xludf.DUMMYFUNCTION("""COMPUTED_VALUE"""),"gpc_obras_sociales_prestaciones_pib")</f>
        <v>gpc_obras_sociales_prestaciones_pib</v>
      </c>
      <c r="C184" s="6">
        <f>IFERROR(__xludf.DUMMYFUNCTION("""COMPUTED_VALUE"""),0.244372879282295)</f>
        <v>0.2443728793</v>
      </c>
    </row>
    <row r="185">
      <c r="A185" s="5">
        <f>IFERROR(__xludf.DUMMYFUNCTION("""COMPUTED_VALUE"""),31048.0)</f>
        <v>31048</v>
      </c>
      <c r="B185" s="6" t="str">
        <f>IFERROR(__xludf.DUMMYFUNCTION("""COMPUTED_VALUE"""),"gpc_inssjyp_prestaciones_pib")</f>
        <v>gpc_inssjyp_prestaciones_pib</v>
      </c>
      <c r="C185" s="6">
        <f>IFERROR(__xludf.DUMMYFUNCTION("""COMPUTED_VALUE"""),0.0419960523804442)</f>
        <v>0.04199605238</v>
      </c>
    </row>
    <row r="186">
      <c r="A186" s="5">
        <f>IFERROR(__xludf.DUMMYFUNCTION("""COMPUTED_VALUE"""),31048.0)</f>
        <v>31048</v>
      </c>
      <c r="B186" s="6" t="str">
        <f>IFERROR(__xludf.DUMMYFUNCTION("""COMPUTED_VALUE"""),"gpc_prevision_social_pib")</f>
        <v>gpc_prevision_social_pib</v>
      </c>
      <c r="C186" s="6">
        <f>IFERROR(__xludf.DUMMYFUNCTION("""COMPUTED_VALUE"""),5.51343967396334)</f>
        <v>5.513439674</v>
      </c>
    </row>
    <row r="187">
      <c r="A187" s="5">
        <f>IFERROR(__xludf.DUMMYFUNCTION("""COMPUTED_VALUE"""),31048.0)</f>
        <v>31048</v>
      </c>
      <c r="B187" s="6" t="str">
        <f>IFERROR(__xludf.DUMMYFUNCTION("""COMPUTED_VALUE"""),"gpc_programas_empleo_pib")</f>
        <v>gpc_programas_empleo_pib</v>
      </c>
      <c r="C187" s="6">
        <f>IFERROR(__xludf.DUMMYFUNCTION("""COMPUTED_VALUE"""),0.0223759112514986)</f>
        <v>0.02237591125</v>
      </c>
    </row>
    <row r="188">
      <c r="A188" s="5">
        <f>IFERROR(__xludf.DUMMYFUNCTION("""COMPUTED_VALUE"""),31048.0)</f>
        <v>31048</v>
      </c>
      <c r="B188" s="6" t="str">
        <f>IFERROR(__xludf.DUMMYFUNCTION("""COMPUTED_VALUE"""),"gpc_asignaciones_familiares_pib")</f>
        <v>gpc_asignaciones_familiares_pib</v>
      </c>
      <c r="C188" s="6">
        <f>IFERROR(__xludf.DUMMYFUNCTION("""COMPUTED_VALUE"""),0.439728716075503)</f>
        <v>0.4397287161</v>
      </c>
    </row>
    <row r="189">
      <c r="A189" s="5">
        <f>IFERROR(__xludf.DUMMYFUNCTION("""COMPUTED_VALUE"""),31048.0)</f>
        <v>31048</v>
      </c>
      <c r="B189" s="6" t="str">
        <f>IFERROR(__xludf.DUMMYFUNCTION("""COMPUTED_VALUE"""),"gpc_otros_servicios_urbanos_pib")</f>
        <v>gpc_otros_servicios_urbanos_pib</v>
      </c>
      <c r="C189" s="6">
        <f>IFERROR(__xludf.DUMMYFUNCTION("""COMPUTED_VALUE"""),0.613467213368809)</f>
        <v>0.6134672134</v>
      </c>
    </row>
    <row r="190">
      <c r="A190" s="5">
        <f>IFERROR(__xludf.DUMMYFUNCTION("""COMPUTED_VALUE"""),31048.0)</f>
        <v>31048</v>
      </c>
      <c r="B190" s="6" t="str">
        <f>IFERROR(__xludf.DUMMYFUNCTION("""COMPUTED_VALUE"""),"gpc_servicios_economicos_pib")</f>
        <v>gpc_servicios_economicos_pib</v>
      </c>
      <c r="C190" s="6">
        <f>IFERROR(__xludf.DUMMYFUNCTION("""COMPUTED_VALUE"""),7.01869546067143)</f>
        <v>7.018695461</v>
      </c>
    </row>
    <row r="191">
      <c r="A191" s="5">
        <f>IFERROR(__xludf.DUMMYFUNCTION("""COMPUTED_VALUE"""),31048.0)</f>
        <v>31048</v>
      </c>
      <c r="B191" s="6" t="str">
        <f>IFERROR(__xludf.DUMMYFUNCTION("""COMPUTED_VALUE"""),"gpc_produccion_primaria_pib")</f>
        <v>gpc_produccion_primaria_pib</v>
      </c>
      <c r="C191" s="6">
        <f>IFERROR(__xludf.DUMMYFUNCTION("""COMPUTED_VALUE"""),0.365961417797174)</f>
        <v>0.3659614178</v>
      </c>
    </row>
    <row r="192">
      <c r="A192" s="5">
        <f>IFERROR(__xludf.DUMMYFUNCTION("""COMPUTED_VALUE"""),31048.0)</f>
        <v>31048</v>
      </c>
      <c r="B192" s="6" t="str">
        <f>IFERROR(__xludf.DUMMYFUNCTION("""COMPUTED_VALUE"""),"gpc_energia_combustible_pib")</f>
        <v>gpc_energia_combustible_pib</v>
      </c>
      <c r="C192" s="6">
        <f>IFERROR(__xludf.DUMMYFUNCTION("""COMPUTED_VALUE"""),2.48784092613939)</f>
        <v>2.487840926</v>
      </c>
    </row>
    <row r="193">
      <c r="A193" s="5">
        <f>IFERROR(__xludf.DUMMYFUNCTION("""COMPUTED_VALUE"""),31048.0)</f>
        <v>31048</v>
      </c>
      <c r="B193" s="6" t="str">
        <f>IFERROR(__xludf.DUMMYFUNCTION("""COMPUTED_VALUE"""),"gpc_industria_pib")</f>
        <v>gpc_industria_pib</v>
      </c>
      <c r="C193" s="6">
        <f>IFERROR(__xludf.DUMMYFUNCTION("""COMPUTED_VALUE"""),0.388239650005205)</f>
        <v>0.38823965</v>
      </c>
    </row>
    <row r="194">
      <c r="A194" s="5">
        <f>IFERROR(__xludf.DUMMYFUNCTION("""COMPUTED_VALUE"""),31048.0)</f>
        <v>31048</v>
      </c>
      <c r="B194" s="6" t="str">
        <f>IFERROR(__xludf.DUMMYFUNCTION("""COMPUTED_VALUE"""),"gpc_transporte_pib")</f>
        <v>gpc_transporte_pib</v>
      </c>
      <c r="C194" s="6">
        <f>IFERROR(__xludf.DUMMYFUNCTION("""COMPUTED_VALUE"""),1.95487826572107)</f>
        <v>1.954878266</v>
      </c>
    </row>
    <row r="195">
      <c r="A195" s="5">
        <f>IFERROR(__xludf.DUMMYFUNCTION("""COMPUTED_VALUE"""),31048.0)</f>
        <v>31048</v>
      </c>
      <c r="B195" s="6" t="str">
        <f>IFERROR(__xludf.DUMMYFUNCTION("""COMPUTED_VALUE"""),"gpc_comunicaciones_pib")</f>
        <v>gpc_comunicaciones_pib</v>
      </c>
      <c r="C195" s="6">
        <f>IFERROR(__xludf.DUMMYFUNCTION("""COMPUTED_VALUE"""),0.254335858886947)</f>
        <v>0.2543358589</v>
      </c>
    </row>
    <row r="196">
      <c r="A196" s="5">
        <f>IFERROR(__xludf.DUMMYFUNCTION("""COMPUTED_VALUE"""),31048.0)</f>
        <v>31048</v>
      </c>
      <c r="B196" s="6" t="str">
        <f>IFERROR(__xludf.DUMMYFUNCTION("""COMPUTED_VALUE"""),"gpc_otros_servicios_economicos_pib")</f>
        <v>gpc_otros_servicios_economicos_pib</v>
      </c>
      <c r="C196" s="6">
        <f>IFERROR(__xludf.DUMMYFUNCTION("""COMPUTED_VALUE"""),1.56743934212163)</f>
        <v>1.567439342</v>
      </c>
    </row>
    <row r="197">
      <c r="A197" s="5">
        <f>IFERROR(__xludf.DUMMYFUNCTION("""COMPUTED_VALUE"""),31048.0)</f>
        <v>31048</v>
      </c>
      <c r="B197" s="6" t="str">
        <f>IFERROR(__xludf.DUMMYFUNCTION("""COMPUTED_VALUE"""),"gpc_servicios_deuda_publica_pib")</f>
        <v>gpc_servicios_deuda_publica_pib</v>
      </c>
      <c r="C197" s="6">
        <f>IFERROR(__xludf.DUMMYFUNCTION("""COMPUTED_VALUE"""),3.67879126679151)</f>
        <v>3.678791267</v>
      </c>
    </row>
    <row r="198">
      <c r="A198" s="5">
        <f>IFERROR(__xludf.DUMMYFUNCTION("""COMPUTED_VALUE"""),31048.0)</f>
        <v>31048</v>
      </c>
      <c r="B198" s="6"/>
      <c r="C198" s="6"/>
    </row>
    <row r="199">
      <c r="A199" s="5">
        <f>IFERROR(__xludf.DUMMYFUNCTION("""COMPUTED_VALUE"""),31048.0)</f>
        <v>31048</v>
      </c>
      <c r="B199" s="6"/>
      <c r="C199" s="6"/>
    </row>
    <row r="200">
      <c r="A200" s="5">
        <f>IFERROR(__xludf.DUMMYFUNCTION("""COMPUTED_VALUE"""),31413.0)</f>
        <v>31413</v>
      </c>
      <c r="B200" s="6" t="str">
        <f>IFERROR(__xludf.DUMMYFUNCTION("""COMPUTED_VALUE"""),"gpc_pib")</f>
        <v>gpc_pib</v>
      </c>
      <c r="C200" s="6">
        <f>IFERROR(__xludf.DUMMYFUNCTION("""COMPUTED_VALUE"""),32.1536192846632)</f>
        <v>32.15361928</v>
      </c>
    </row>
    <row r="201">
      <c r="A201" s="5">
        <f>IFERROR(__xludf.DUMMYFUNCTION("""COMPUTED_VALUE"""),31413.0)</f>
        <v>31413</v>
      </c>
      <c r="B201" s="6" t="str">
        <f>IFERROR(__xludf.DUMMYFUNCTION("""COMPUTED_VALUE"""),"gpc_funcionamiento_estado_pib")</f>
        <v>gpc_funcionamiento_estado_pib</v>
      </c>
      <c r="C201" s="6">
        <f>IFERROR(__xludf.DUMMYFUNCTION("""COMPUTED_VALUE"""),5.11007715523228)</f>
        <v>5.110077155</v>
      </c>
    </row>
    <row r="202">
      <c r="A202" s="5">
        <f>IFERROR(__xludf.DUMMYFUNCTION("""COMPUTED_VALUE"""),31413.0)</f>
        <v>31413</v>
      </c>
      <c r="B202" s="6" t="str">
        <f>IFERROR(__xludf.DUMMYFUNCTION("""COMPUTED_VALUE"""),"gpc_administracion_general_pib")</f>
        <v>gpc_administracion_general_pib</v>
      </c>
      <c r="C202" s="6">
        <f>IFERROR(__xludf.DUMMYFUNCTION("""COMPUTED_VALUE"""),2.22002362086046)</f>
        <v>2.220023621</v>
      </c>
    </row>
    <row r="203">
      <c r="A203" s="5">
        <f>IFERROR(__xludf.DUMMYFUNCTION("""COMPUTED_VALUE"""),31413.0)</f>
        <v>31413</v>
      </c>
      <c r="B203" s="6" t="str">
        <f>IFERROR(__xludf.DUMMYFUNCTION("""COMPUTED_VALUE"""),"gpc_justicia_pib")</f>
        <v>gpc_justicia_pib</v>
      </c>
      <c r="C203" s="6">
        <f>IFERROR(__xludf.DUMMYFUNCTION("""COMPUTED_VALUE"""),0.43517296778604)</f>
        <v>0.4351729678</v>
      </c>
    </row>
    <row r="204">
      <c r="A204" s="5">
        <f>IFERROR(__xludf.DUMMYFUNCTION("""COMPUTED_VALUE"""),31413.0)</f>
        <v>31413</v>
      </c>
      <c r="B204" s="6" t="str">
        <f>IFERROR(__xludf.DUMMYFUNCTION("""COMPUTED_VALUE"""),"gpc_defensa_seguridad_pib")</f>
        <v>gpc_defensa_seguridad_pib</v>
      </c>
      <c r="C204" s="6">
        <f>IFERROR(__xludf.DUMMYFUNCTION("""COMPUTED_VALUE"""),2.45488056658577)</f>
        <v>2.454880567</v>
      </c>
    </row>
    <row r="205">
      <c r="A205" s="5">
        <f>IFERROR(__xludf.DUMMYFUNCTION("""COMPUTED_VALUE"""),31413.0)</f>
        <v>31413</v>
      </c>
      <c r="B205" s="6" t="str">
        <f>IFERROR(__xludf.DUMMYFUNCTION("""COMPUTED_VALUE"""),"gpc_servicios_sociales_pib")</f>
        <v>gpc_servicios_sociales_pib</v>
      </c>
      <c r="C205" s="6">
        <f>IFERROR(__xludf.DUMMYFUNCTION("""COMPUTED_VALUE"""),17.2403679796291)</f>
        <v>17.24036798</v>
      </c>
    </row>
    <row r="206">
      <c r="A206" s="5">
        <f>IFERROR(__xludf.DUMMYFUNCTION("""COMPUTED_VALUE"""),31413.0)</f>
        <v>31413</v>
      </c>
      <c r="B206" s="6" t="str">
        <f>IFERROR(__xludf.DUMMYFUNCTION("""COMPUTED_VALUE"""),"gpc_educacion_basica_pib")</f>
        <v>gpc_educacion_basica_pib</v>
      </c>
      <c r="C206" s="6">
        <f>IFERROR(__xludf.DUMMYFUNCTION("""COMPUTED_VALUE"""),2.54323305810903)</f>
        <v>2.543233058</v>
      </c>
    </row>
    <row r="207">
      <c r="A207" s="5">
        <f>IFERROR(__xludf.DUMMYFUNCTION("""COMPUTED_VALUE"""),31413.0)</f>
        <v>31413</v>
      </c>
      <c r="B207" s="6" t="str">
        <f>IFERROR(__xludf.DUMMYFUNCTION("""COMPUTED_VALUE"""),"gpc_educacion_universitaria_pib")</f>
        <v>gpc_educacion_universitaria_pib</v>
      </c>
      <c r="C207" s="6">
        <f>IFERROR(__xludf.DUMMYFUNCTION("""COMPUTED_VALUE"""),0.504947337501551)</f>
        <v>0.5049473375</v>
      </c>
    </row>
    <row r="208">
      <c r="A208" s="5">
        <f>IFERROR(__xludf.DUMMYFUNCTION("""COMPUTED_VALUE"""),31413.0)</f>
        <v>31413</v>
      </c>
      <c r="B208" s="6" t="str">
        <f>IFERROR(__xludf.DUMMYFUNCTION("""COMPUTED_VALUE"""),"gpc_ciencia_tecnica_pib")</f>
        <v>gpc_ciencia_tecnica_pib</v>
      </c>
      <c r="C208" s="6">
        <f>IFERROR(__xludf.DUMMYFUNCTION("""COMPUTED_VALUE"""),0.285517458537226)</f>
        <v>0.2855174585</v>
      </c>
    </row>
    <row r="209">
      <c r="A209" s="5">
        <f>IFERROR(__xludf.DUMMYFUNCTION("""COMPUTED_VALUE"""),31413.0)</f>
        <v>31413</v>
      </c>
      <c r="B209" s="6" t="str">
        <f>IFERROR(__xludf.DUMMYFUNCTION("""COMPUTED_VALUE"""),"gpc_cultura_pib")</f>
        <v>gpc_cultura_pib</v>
      </c>
      <c r="C209" s="6">
        <f>IFERROR(__xludf.DUMMYFUNCTION("""COMPUTED_VALUE"""),0.0881238866170701)</f>
        <v>0.08812388662</v>
      </c>
    </row>
    <row r="210">
      <c r="A210" s="5">
        <f>IFERROR(__xludf.DUMMYFUNCTION("""COMPUTED_VALUE"""),31413.0)</f>
        <v>31413</v>
      </c>
      <c r="B210" s="6" t="str">
        <f>IFERROR(__xludf.DUMMYFUNCTION("""COMPUTED_VALUE"""),"gpc_educacion_cultura_sin_discriminar_pib")</f>
        <v>gpc_educacion_cultura_sin_discriminar_pib</v>
      </c>
      <c r="C210" s="6">
        <f>IFERROR(__xludf.DUMMYFUNCTION("""COMPUTED_VALUE"""),0.297614822436667)</f>
        <v>0.2976148224</v>
      </c>
    </row>
    <row r="211">
      <c r="A211" s="5">
        <f>IFERROR(__xludf.DUMMYFUNCTION("""COMPUTED_VALUE"""),31413.0)</f>
        <v>31413</v>
      </c>
      <c r="B211" s="6" t="str">
        <f>IFERROR(__xludf.DUMMYFUNCTION("""COMPUTED_VALUE"""),"gpc_atencion_salud_pib")</f>
        <v>gpc_atencion_salud_pib</v>
      </c>
      <c r="C211" s="6">
        <f>IFERROR(__xludf.DUMMYFUNCTION("""COMPUTED_VALUE"""),1.52156870760225)</f>
        <v>1.521568708</v>
      </c>
    </row>
    <row r="212">
      <c r="A212" s="5">
        <f>IFERROR(__xludf.DUMMYFUNCTION("""COMPUTED_VALUE"""),31413.0)</f>
        <v>31413</v>
      </c>
      <c r="B212" s="6" t="str">
        <f>IFERROR(__xludf.DUMMYFUNCTION("""COMPUTED_VALUE"""),"gpc_obras_sociales_salud_pib")</f>
        <v>gpc_obras_sociales_salud_pib</v>
      </c>
      <c r="C212" s="6">
        <f>IFERROR(__xludf.DUMMYFUNCTION("""COMPUTED_VALUE"""),1.89702595480005)</f>
        <v>1.897025955</v>
      </c>
    </row>
    <row r="213">
      <c r="A213" s="5">
        <f>IFERROR(__xludf.DUMMYFUNCTION("""COMPUTED_VALUE"""),31413.0)</f>
        <v>31413</v>
      </c>
      <c r="B213" s="6" t="str">
        <f>IFERROR(__xludf.DUMMYFUNCTION("""COMPUTED_VALUE"""),"gpc_inssjyp_salud_pib")</f>
        <v>gpc_inssjyp_salud_pib</v>
      </c>
      <c r="C213" s="6">
        <f>IFERROR(__xludf.DUMMYFUNCTION("""COMPUTED_VALUE"""),0.617225209608872)</f>
        <v>0.6172252096</v>
      </c>
    </row>
    <row r="214">
      <c r="A214" s="5">
        <f>IFERROR(__xludf.DUMMYFUNCTION("""COMPUTED_VALUE"""),31413.0)</f>
        <v>31413</v>
      </c>
      <c r="B214" s="6" t="str">
        <f>IFERROR(__xludf.DUMMYFUNCTION("""COMPUTED_VALUE"""),"gpc_agua_alcantarillado_pib")</f>
        <v>gpc_agua_alcantarillado_pib</v>
      </c>
      <c r="C214" s="6">
        <f>IFERROR(__xludf.DUMMYFUNCTION("""COMPUTED_VALUE"""),0.184753591590178)</f>
        <v>0.1847535916</v>
      </c>
    </row>
    <row r="215">
      <c r="A215" s="5">
        <f>IFERROR(__xludf.DUMMYFUNCTION("""COMPUTED_VALUE"""),31413.0)</f>
        <v>31413</v>
      </c>
      <c r="B215" s="6" t="str">
        <f>IFERROR(__xludf.DUMMYFUNCTION("""COMPUTED_VALUE"""),"gpc_vivienda_urbanismo_pib")</f>
        <v>gpc_vivienda_urbanismo_pib</v>
      </c>
      <c r="C215" s="6">
        <f>IFERROR(__xludf.DUMMYFUNCTION("""COMPUTED_VALUE"""),0.743545293331529)</f>
        <v>0.7435452933</v>
      </c>
    </row>
    <row r="216">
      <c r="A216" s="5">
        <f>IFERROR(__xludf.DUMMYFUNCTION("""COMPUTED_VALUE"""),31413.0)</f>
        <v>31413</v>
      </c>
      <c r="B216" s="6" t="str">
        <f>IFERROR(__xludf.DUMMYFUNCTION("""COMPUTED_VALUE"""),"gpc_promocion_asistencia_social_pib")</f>
        <v>gpc_promocion_asistencia_social_pib</v>
      </c>
      <c r="C216" s="6">
        <f>IFERROR(__xludf.DUMMYFUNCTION("""COMPUTED_VALUE"""),0.720939800056777)</f>
        <v>0.7209398001</v>
      </c>
    </row>
    <row r="217">
      <c r="A217" s="5">
        <f>IFERROR(__xludf.DUMMYFUNCTION("""COMPUTED_VALUE"""),31413.0)</f>
        <v>31413</v>
      </c>
      <c r="B217" s="6" t="str">
        <f>IFERROR(__xludf.DUMMYFUNCTION("""COMPUTED_VALUE"""),"gpc_obras_sociales_prestaciones_pib")</f>
        <v>gpc_obras_sociales_prestaciones_pib</v>
      </c>
      <c r="C217" s="6">
        <f>IFERROR(__xludf.DUMMYFUNCTION("""COMPUTED_VALUE"""),0.272532990385152)</f>
        <v>0.2725329904</v>
      </c>
    </row>
    <row r="218">
      <c r="A218" s="5">
        <f>IFERROR(__xludf.DUMMYFUNCTION("""COMPUTED_VALUE"""),31413.0)</f>
        <v>31413</v>
      </c>
      <c r="B218" s="6" t="str">
        <f>IFERROR(__xludf.DUMMYFUNCTION("""COMPUTED_VALUE"""),"gpc_inssjyp_prestaciones_pib")</f>
        <v>gpc_inssjyp_prestaciones_pib</v>
      </c>
      <c r="C218" s="6">
        <f>IFERROR(__xludf.DUMMYFUNCTION("""COMPUTED_VALUE"""),0.0464578114759366)</f>
        <v>0.04645781148</v>
      </c>
    </row>
    <row r="219">
      <c r="A219" s="5">
        <f>IFERROR(__xludf.DUMMYFUNCTION("""COMPUTED_VALUE"""),31413.0)</f>
        <v>31413</v>
      </c>
      <c r="B219" s="6" t="str">
        <f>IFERROR(__xludf.DUMMYFUNCTION("""COMPUTED_VALUE"""),"gpc_prevision_social_pib")</f>
        <v>gpc_prevision_social_pib</v>
      </c>
      <c r="C219" s="6">
        <f>IFERROR(__xludf.DUMMYFUNCTION("""COMPUTED_VALUE"""),6.07269079119632)</f>
        <v>6.072690791</v>
      </c>
    </row>
    <row r="220">
      <c r="A220" s="5">
        <f>IFERROR(__xludf.DUMMYFUNCTION("""COMPUTED_VALUE"""),31413.0)</f>
        <v>31413</v>
      </c>
      <c r="B220" s="6" t="str">
        <f>IFERROR(__xludf.DUMMYFUNCTION("""COMPUTED_VALUE"""),"gpc_programas_empleo_pib")</f>
        <v>gpc_programas_empleo_pib</v>
      </c>
      <c r="C220" s="6">
        <f>IFERROR(__xludf.DUMMYFUNCTION("""COMPUTED_VALUE"""),0.0204573308218198)</f>
        <v>0.02045733082</v>
      </c>
    </row>
    <row r="221">
      <c r="A221" s="5">
        <f>IFERROR(__xludf.DUMMYFUNCTION("""COMPUTED_VALUE"""),31413.0)</f>
        <v>31413</v>
      </c>
      <c r="B221" s="6" t="str">
        <f>IFERROR(__xludf.DUMMYFUNCTION("""COMPUTED_VALUE"""),"gpc_asignaciones_familiares_pib")</f>
        <v>gpc_asignaciones_familiares_pib</v>
      </c>
      <c r="C221" s="6">
        <f>IFERROR(__xludf.DUMMYFUNCTION("""COMPUTED_VALUE"""),0.689500565992154)</f>
        <v>0.689500566</v>
      </c>
    </row>
    <row r="222">
      <c r="A222" s="5">
        <f>IFERROR(__xludf.DUMMYFUNCTION("""COMPUTED_VALUE"""),31413.0)</f>
        <v>31413</v>
      </c>
      <c r="B222" s="6" t="str">
        <f>IFERROR(__xludf.DUMMYFUNCTION("""COMPUTED_VALUE"""),"gpc_otros_servicios_urbanos_pib")</f>
        <v>gpc_otros_servicios_urbanos_pib</v>
      </c>
      <c r="C222" s="6">
        <f>IFERROR(__xludf.DUMMYFUNCTION("""COMPUTED_VALUE"""),0.734233369566506)</f>
        <v>0.7342333696</v>
      </c>
    </row>
    <row r="223">
      <c r="A223" s="5">
        <f>IFERROR(__xludf.DUMMYFUNCTION("""COMPUTED_VALUE"""),31413.0)</f>
        <v>31413</v>
      </c>
      <c r="B223" s="6" t="str">
        <f>IFERROR(__xludf.DUMMYFUNCTION("""COMPUTED_VALUE"""),"gpc_servicios_economicos_pib")</f>
        <v>gpc_servicios_economicos_pib</v>
      </c>
      <c r="C223" s="6">
        <f>IFERROR(__xludf.DUMMYFUNCTION("""COMPUTED_VALUE"""),6.97111241415611)</f>
        <v>6.971112414</v>
      </c>
    </row>
    <row r="224">
      <c r="A224" s="5">
        <f>IFERROR(__xludf.DUMMYFUNCTION("""COMPUTED_VALUE"""),31413.0)</f>
        <v>31413</v>
      </c>
      <c r="B224" s="6" t="str">
        <f>IFERROR(__xludf.DUMMYFUNCTION("""COMPUTED_VALUE"""),"gpc_produccion_primaria_pib")</f>
        <v>gpc_produccion_primaria_pib</v>
      </c>
      <c r="C224" s="6">
        <f>IFERROR(__xludf.DUMMYFUNCTION("""COMPUTED_VALUE"""),0.451075680649824)</f>
        <v>0.4510756806</v>
      </c>
    </row>
    <row r="225">
      <c r="A225" s="5">
        <f>IFERROR(__xludf.DUMMYFUNCTION("""COMPUTED_VALUE"""),31413.0)</f>
        <v>31413</v>
      </c>
      <c r="B225" s="6" t="str">
        <f>IFERROR(__xludf.DUMMYFUNCTION("""COMPUTED_VALUE"""),"gpc_energia_combustible_pib")</f>
        <v>gpc_energia_combustible_pib</v>
      </c>
      <c r="C225" s="6">
        <f>IFERROR(__xludf.DUMMYFUNCTION("""COMPUTED_VALUE"""),2.32777720547556)</f>
        <v>2.327777205</v>
      </c>
    </row>
    <row r="226">
      <c r="A226" s="5">
        <f>IFERROR(__xludf.DUMMYFUNCTION("""COMPUTED_VALUE"""),31413.0)</f>
        <v>31413</v>
      </c>
      <c r="B226" s="6" t="str">
        <f>IFERROR(__xludf.DUMMYFUNCTION("""COMPUTED_VALUE"""),"gpc_industria_pib")</f>
        <v>gpc_industria_pib</v>
      </c>
      <c r="C226" s="6">
        <f>IFERROR(__xludf.DUMMYFUNCTION("""COMPUTED_VALUE"""),0.334905522829763)</f>
        <v>0.3349055228</v>
      </c>
    </row>
    <row r="227">
      <c r="A227" s="5">
        <f>IFERROR(__xludf.DUMMYFUNCTION("""COMPUTED_VALUE"""),31413.0)</f>
        <v>31413</v>
      </c>
      <c r="B227" s="6" t="str">
        <f>IFERROR(__xludf.DUMMYFUNCTION("""COMPUTED_VALUE"""),"gpc_transporte_pib")</f>
        <v>gpc_transporte_pib</v>
      </c>
      <c r="C227" s="6">
        <f>IFERROR(__xludf.DUMMYFUNCTION("""COMPUTED_VALUE"""),1.88080026357996)</f>
        <v>1.880800264</v>
      </c>
    </row>
    <row r="228">
      <c r="A228" s="5">
        <f>IFERROR(__xludf.DUMMYFUNCTION("""COMPUTED_VALUE"""),31413.0)</f>
        <v>31413</v>
      </c>
      <c r="B228" s="6" t="str">
        <f>IFERROR(__xludf.DUMMYFUNCTION("""COMPUTED_VALUE"""),"gpc_comunicaciones_pib")</f>
        <v>gpc_comunicaciones_pib</v>
      </c>
      <c r="C228" s="6">
        <f>IFERROR(__xludf.DUMMYFUNCTION("""COMPUTED_VALUE"""),0.395365315807652)</f>
        <v>0.3953653158</v>
      </c>
    </row>
    <row r="229">
      <c r="A229" s="5">
        <f>IFERROR(__xludf.DUMMYFUNCTION("""COMPUTED_VALUE"""),31413.0)</f>
        <v>31413</v>
      </c>
      <c r="B229" s="6" t="str">
        <f>IFERROR(__xludf.DUMMYFUNCTION("""COMPUTED_VALUE"""),"gpc_otros_servicios_economicos_pib")</f>
        <v>gpc_otros_servicios_economicos_pib</v>
      </c>
      <c r="C229" s="6">
        <f>IFERROR(__xludf.DUMMYFUNCTION("""COMPUTED_VALUE"""),1.58118842581335)</f>
        <v>1.581188426</v>
      </c>
    </row>
    <row r="230">
      <c r="A230" s="5">
        <f>IFERROR(__xludf.DUMMYFUNCTION("""COMPUTED_VALUE"""),31413.0)</f>
        <v>31413</v>
      </c>
      <c r="B230" s="6" t="str">
        <f>IFERROR(__xludf.DUMMYFUNCTION("""COMPUTED_VALUE"""),"gpc_servicios_deuda_publica_pib")</f>
        <v>gpc_servicios_deuda_publica_pib</v>
      </c>
      <c r="C230" s="6">
        <f>IFERROR(__xludf.DUMMYFUNCTION("""COMPUTED_VALUE"""),2.83206173564568)</f>
        <v>2.832061736</v>
      </c>
    </row>
    <row r="231">
      <c r="A231" s="5">
        <f>IFERROR(__xludf.DUMMYFUNCTION("""COMPUTED_VALUE"""),31413.0)</f>
        <v>31413</v>
      </c>
      <c r="B231" s="6"/>
      <c r="C231" s="6"/>
    </row>
    <row r="232">
      <c r="A232" s="5">
        <f>IFERROR(__xludf.DUMMYFUNCTION("""COMPUTED_VALUE"""),31413.0)</f>
        <v>31413</v>
      </c>
      <c r="B232" s="6"/>
      <c r="C232" s="6"/>
    </row>
    <row r="233">
      <c r="A233" s="5">
        <f>IFERROR(__xludf.DUMMYFUNCTION("""COMPUTED_VALUE"""),31778.0)</f>
        <v>31778</v>
      </c>
      <c r="B233" s="6" t="str">
        <f>IFERROR(__xludf.DUMMYFUNCTION("""COMPUTED_VALUE"""),"gpc_pib")</f>
        <v>gpc_pib</v>
      </c>
      <c r="C233" s="6">
        <f>IFERROR(__xludf.DUMMYFUNCTION("""COMPUTED_VALUE"""),34.6379523962947)</f>
        <v>34.6379524</v>
      </c>
    </row>
    <row r="234">
      <c r="A234" s="5">
        <f>IFERROR(__xludf.DUMMYFUNCTION("""COMPUTED_VALUE"""),31778.0)</f>
        <v>31778</v>
      </c>
      <c r="B234" s="6" t="str">
        <f>IFERROR(__xludf.DUMMYFUNCTION("""COMPUTED_VALUE"""),"gpc_funcionamiento_estado_pib")</f>
        <v>gpc_funcionamiento_estado_pib</v>
      </c>
      <c r="C234" s="6">
        <f>IFERROR(__xludf.DUMMYFUNCTION("""COMPUTED_VALUE"""),5.53782005259119)</f>
        <v>5.537820053</v>
      </c>
    </row>
    <row r="235">
      <c r="A235" s="5">
        <f>IFERROR(__xludf.DUMMYFUNCTION("""COMPUTED_VALUE"""),31778.0)</f>
        <v>31778</v>
      </c>
      <c r="B235" s="6" t="str">
        <f>IFERROR(__xludf.DUMMYFUNCTION("""COMPUTED_VALUE"""),"gpc_administracion_general_pib")</f>
        <v>gpc_administracion_general_pib</v>
      </c>
      <c r="C235" s="6">
        <f>IFERROR(__xludf.DUMMYFUNCTION("""COMPUTED_VALUE"""),2.48301036008911)</f>
        <v>2.48301036</v>
      </c>
    </row>
    <row r="236">
      <c r="A236" s="5">
        <f>IFERROR(__xludf.DUMMYFUNCTION("""COMPUTED_VALUE"""),31778.0)</f>
        <v>31778</v>
      </c>
      <c r="B236" s="6" t="str">
        <f>IFERROR(__xludf.DUMMYFUNCTION("""COMPUTED_VALUE"""),"gpc_justicia_pib")</f>
        <v>gpc_justicia_pib</v>
      </c>
      <c r="C236" s="6">
        <f>IFERROR(__xludf.DUMMYFUNCTION("""COMPUTED_VALUE"""),0.480368321961731)</f>
        <v>0.480368322</v>
      </c>
    </row>
    <row r="237">
      <c r="A237" s="5">
        <f>IFERROR(__xludf.DUMMYFUNCTION("""COMPUTED_VALUE"""),31778.0)</f>
        <v>31778</v>
      </c>
      <c r="B237" s="6" t="str">
        <f>IFERROR(__xludf.DUMMYFUNCTION("""COMPUTED_VALUE"""),"gpc_defensa_seguridad_pib")</f>
        <v>gpc_defensa_seguridad_pib</v>
      </c>
      <c r="C237" s="6">
        <f>IFERROR(__xludf.DUMMYFUNCTION("""COMPUTED_VALUE"""),2.57444137054034)</f>
        <v>2.574441371</v>
      </c>
    </row>
    <row r="238">
      <c r="A238" s="5">
        <f>IFERROR(__xludf.DUMMYFUNCTION("""COMPUTED_VALUE"""),31778.0)</f>
        <v>31778</v>
      </c>
      <c r="B238" s="6" t="str">
        <f>IFERROR(__xludf.DUMMYFUNCTION("""COMPUTED_VALUE"""),"gpc_servicios_sociales_pib")</f>
        <v>gpc_servicios_sociales_pib</v>
      </c>
      <c r="C238" s="6">
        <f>IFERROR(__xludf.DUMMYFUNCTION("""COMPUTED_VALUE"""),18.6758912975571)</f>
        <v>18.6758913</v>
      </c>
    </row>
    <row r="239">
      <c r="A239" s="5">
        <f>IFERROR(__xludf.DUMMYFUNCTION("""COMPUTED_VALUE"""),31778.0)</f>
        <v>31778</v>
      </c>
      <c r="B239" s="6" t="str">
        <f>IFERROR(__xludf.DUMMYFUNCTION("""COMPUTED_VALUE"""),"gpc_educacion_basica_pib")</f>
        <v>gpc_educacion_basica_pib</v>
      </c>
      <c r="C239" s="6">
        <f>IFERROR(__xludf.DUMMYFUNCTION("""COMPUTED_VALUE"""),2.69466617485523)</f>
        <v>2.694666175</v>
      </c>
    </row>
    <row r="240">
      <c r="A240" s="5">
        <f>IFERROR(__xludf.DUMMYFUNCTION("""COMPUTED_VALUE"""),31778.0)</f>
        <v>31778</v>
      </c>
      <c r="B240" s="6" t="str">
        <f>IFERROR(__xludf.DUMMYFUNCTION("""COMPUTED_VALUE"""),"gpc_educacion_universitaria_pib")</f>
        <v>gpc_educacion_universitaria_pib</v>
      </c>
      <c r="C240" s="6">
        <f>IFERROR(__xludf.DUMMYFUNCTION("""COMPUTED_VALUE"""),0.625493639537421)</f>
        <v>0.6254936395</v>
      </c>
    </row>
    <row r="241">
      <c r="A241" s="5">
        <f>IFERROR(__xludf.DUMMYFUNCTION("""COMPUTED_VALUE"""),31778.0)</f>
        <v>31778</v>
      </c>
      <c r="B241" s="6" t="str">
        <f>IFERROR(__xludf.DUMMYFUNCTION("""COMPUTED_VALUE"""),"gpc_ciencia_tecnica_pib")</f>
        <v>gpc_ciencia_tecnica_pib</v>
      </c>
      <c r="C241" s="6">
        <f>IFERROR(__xludf.DUMMYFUNCTION("""COMPUTED_VALUE"""),0.309424126097291)</f>
        <v>0.3094241261</v>
      </c>
    </row>
    <row r="242">
      <c r="A242" s="5">
        <f>IFERROR(__xludf.DUMMYFUNCTION("""COMPUTED_VALUE"""),31778.0)</f>
        <v>31778</v>
      </c>
      <c r="B242" s="6" t="str">
        <f>IFERROR(__xludf.DUMMYFUNCTION("""COMPUTED_VALUE"""),"gpc_cultura_pib")</f>
        <v>gpc_cultura_pib</v>
      </c>
      <c r="C242" s="6">
        <f>IFERROR(__xludf.DUMMYFUNCTION("""COMPUTED_VALUE"""),0.127175262948198)</f>
        <v>0.1271752629</v>
      </c>
    </row>
    <row r="243">
      <c r="A243" s="5">
        <f>IFERROR(__xludf.DUMMYFUNCTION("""COMPUTED_VALUE"""),31778.0)</f>
        <v>31778</v>
      </c>
      <c r="B243" s="6" t="str">
        <f>IFERROR(__xludf.DUMMYFUNCTION("""COMPUTED_VALUE"""),"gpc_educacion_cultura_sin_discriminar_pib")</f>
        <v>gpc_educacion_cultura_sin_discriminar_pib</v>
      </c>
      <c r="C243" s="6">
        <f>IFERROR(__xludf.DUMMYFUNCTION("""COMPUTED_VALUE"""),0.313698981938888)</f>
        <v>0.3136989819</v>
      </c>
    </row>
    <row r="244">
      <c r="A244" s="5">
        <f>IFERROR(__xludf.DUMMYFUNCTION("""COMPUTED_VALUE"""),31778.0)</f>
        <v>31778</v>
      </c>
      <c r="B244" s="6" t="str">
        <f>IFERROR(__xludf.DUMMYFUNCTION("""COMPUTED_VALUE"""),"gpc_atencion_salud_pib")</f>
        <v>gpc_atencion_salud_pib</v>
      </c>
      <c r="C244" s="6">
        <f>IFERROR(__xludf.DUMMYFUNCTION("""COMPUTED_VALUE"""),1.55870342962061)</f>
        <v>1.55870343</v>
      </c>
    </row>
    <row r="245">
      <c r="A245" s="5">
        <f>IFERROR(__xludf.DUMMYFUNCTION("""COMPUTED_VALUE"""),31778.0)</f>
        <v>31778</v>
      </c>
      <c r="B245" s="6" t="str">
        <f>IFERROR(__xludf.DUMMYFUNCTION("""COMPUTED_VALUE"""),"gpc_obras_sociales_salud_pib")</f>
        <v>gpc_obras_sociales_salud_pib</v>
      </c>
      <c r="C245" s="6">
        <f>IFERROR(__xludf.DUMMYFUNCTION("""COMPUTED_VALUE"""),2.05436040681311)</f>
        <v>2.054360407</v>
      </c>
    </row>
    <row r="246">
      <c r="A246" s="5">
        <f>IFERROR(__xludf.DUMMYFUNCTION("""COMPUTED_VALUE"""),31778.0)</f>
        <v>31778</v>
      </c>
      <c r="B246" s="6" t="str">
        <f>IFERROR(__xludf.DUMMYFUNCTION("""COMPUTED_VALUE"""),"gpc_inssjyp_salud_pib")</f>
        <v>gpc_inssjyp_salud_pib</v>
      </c>
      <c r="C246" s="6">
        <f>IFERROR(__xludf.DUMMYFUNCTION("""COMPUTED_VALUE"""),0.591364972709121)</f>
        <v>0.5913649727</v>
      </c>
    </row>
    <row r="247">
      <c r="A247" s="5">
        <f>IFERROR(__xludf.DUMMYFUNCTION("""COMPUTED_VALUE"""),31778.0)</f>
        <v>31778</v>
      </c>
      <c r="B247" s="6" t="str">
        <f>IFERROR(__xludf.DUMMYFUNCTION("""COMPUTED_VALUE"""),"gpc_agua_alcantarillado_pib")</f>
        <v>gpc_agua_alcantarillado_pib</v>
      </c>
      <c r="C247" s="6">
        <f>IFERROR(__xludf.DUMMYFUNCTION("""COMPUTED_VALUE"""),0.182900426761901)</f>
        <v>0.1829004268</v>
      </c>
    </row>
    <row r="248">
      <c r="A248" s="5">
        <f>IFERROR(__xludf.DUMMYFUNCTION("""COMPUTED_VALUE"""),31778.0)</f>
        <v>31778</v>
      </c>
      <c r="B248" s="6" t="str">
        <f>IFERROR(__xludf.DUMMYFUNCTION("""COMPUTED_VALUE"""),"gpc_vivienda_urbanismo_pib")</f>
        <v>gpc_vivienda_urbanismo_pib</v>
      </c>
      <c r="C248" s="6">
        <f>IFERROR(__xludf.DUMMYFUNCTION("""COMPUTED_VALUE"""),0.832701230030485)</f>
        <v>0.83270123</v>
      </c>
    </row>
    <row r="249">
      <c r="A249" s="5">
        <f>IFERROR(__xludf.DUMMYFUNCTION("""COMPUTED_VALUE"""),31778.0)</f>
        <v>31778</v>
      </c>
      <c r="B249" s="6" t="str">
        <f>IFERROR(__xludf.DUMMYFUNCTION("""COMPUTED_VALUE"""),"gpc_promocion_asistencia_social_pib")</f>
        <v>gpc_promocion_asistencia_social_pib</v>
      </c>
      <c r="C249" s="6">
        <f>IFERROR(__xludf.DUMMYFUNCTION("""COMPUTED_VALUE"""),0.795797484057505)</f>
        <v>0.7957974841</v>
      </c>
    </row>
    <row r="250">
      <c r="A250" s="5">
        <f>IFERROR(__xludf.DUMMYFUNCTION("""COMPUTED_VALUE"""),31778.0)</f>
        <v>31778</v>
      </c>
      <c r="B250" s="6" t="str">
        <f>IFERROR(__xludf.DUMMYFUNCTION("""COMPUTED_VALUE"""),"gpc_obras_sociales_prestaciones_pib")</f>
        <v>gpc_obras_sociales_prestaciones_pib</v>
      </c>
      <c r="C250" s="6">
        <f>IFERROR(__xludf.DUMMYFUNCTION("""COMPUTED_VALUE"""),0.277186080570514)</f>
        <v>0.2771860806</v>
      </c>
    </row>
    <row r="251">
      <c r="A251" s="5">
        <f>IFERROR(__xludf.DUMMYFUNCTION("""COMPUTED_VALUE"""),31778.0)</f>
        <v>31778</v>
      </c>
      <c r="B251" s="6" t="str">
        <f>IFERROR(__xludf.DUMMYFUNCTION("""COMPUTED_VALUE"""),"gpc_inssjyp_prestaciones_pib")</f>
        <v>gpc_inssjyp_prestaciones_pib</v>
      </c>
      <c r="C251" s="6">
        <f>IFERROR(__xludf.DUMMYFUNCTION("""COMPUTED_VALUE"""),0.0445113420318693)</f>
        <v>0.04451134203</v>
      </c>
    </row>
    <row r="252">
      <c r="A252" s="5">
        <f>IFERROR(__xludf.DUMMYFUNCTION("""COMPUTED_VALUE"""),31778.0)</f>
        <v>31778</v>
      </c>
      <c r="B252" s="6" t="str">
        <f>IFERROR(__xludf.DUMMYFUNCTION("""COMPUTED_VALUE"""),"gpc_prevision_social_pib")</f>
        <v>gpc_prevision_social_pib</v>
      </c>
      <c r="C252" s="6">
        <f>IFERROR(__xludf.DUMMYFUNCTION("""COMPUTED_VALUE"""),6.85324557697903)</f>
        <v>6.853245577</v>
      </c>
    </row>
    <row r="253">
      <c r="A253" s="5">
        <f>IFERROR(__xludf.DUMMYFUNCTION("""COMPUTED_VALUE"""),31778.0)</f>
        <v>31778</v>
      </c>
      <c r="B253" s="6" t="str">
        <f>IFERROR(__xludf.DUMMYFUNCTION("""COMPUTED_VALUE"""),"gpc_programas_empleo_pib")</f>
        <v>gpc_programas_empleo_pib</v>
      </c>
      <c r="C253" s="6">
        <f>IFERROR(__xludf.DUMMYFUNCTION("""COMPUTED_VALUE"""),0.0219165369814061)</f>
        <v>0.02191653698</v>
      </c>
    </row>
    <row r="254">
      <c r="A254" s="5">
        <f>IFERROR(__xludf.DUMMYFUNCTION("""COMPUTED_VALUE"""),31778.0)</f>
        <v>31778</v>
      </c>
      <c r="B254" s="6" t="str">
        <f>IFERROR(__xludf.DUMMYFUNCTION("""COMPUTED_VALUE"""),"gpc_asignaciones_familiares_pib")</f>
        <v>gpc_asignaciones_familiares_pib</v>
      </c>
      <c r="C254" s="6">
        <f>IFERROR(__xludf.DUMMYFUNCTION("""COMPUTED_VALUE"""),0.592636725338603)</f>
        <v>0.5926367253</v>
      </c>
    </row>
    <row r="255">
      <c r="A255" s="5">
        <f>IFERROR(__xludf.DUMMYFUNCTION("""COMPUTED_VALUE"""),31778.0)</f>
        <v>31778</v>
      </c>
      <c r="B255" s="6" t="str">
        <f>IFERROR(__xludf.DUMMYFUNCTION("""COMPUTED_VALUE"""),"gpc_otros_servicios_urbanos_pib")</f>
        <v>gpc_otros_servicios_urbanos_pib</v>
      </c>
      <c r="C255" s="6">
        <f>IFERROR(__xludf.DUMMYFUNCTION("""COMPUTED_VALUE"""),0.800108900285913)</f>
        <v>0.8001089003</v>
      </c>
    </row>
    <row r="256">
      <c r="A256" s="5">
        <f>IFERROR(__xludf.DUMMYFUNCTION("""COMPUTED_VALUE"""),31778.0)</f>
        <v>31778</v>
      </c>
      <c r="B256" s="6" t="str">
        <f>IFERROR(__xludf.DUMMYFUNCTION("""COMPUTED_VALUE"""),"gpc_servicios_economicos_pib")</f>
        <v>gpc_servicios_economicos_pib</v>
      </c>
      <c r="C256" s="6">
        <f>IFERROR(__xludf.DUMMYFUNCTION("""COMPUTED_VALUE"""),7.71209926892545)</f>
        <v>7.712099269</v>
      </c>
    </row>
    <row r="257">
      <c r="A257" s="5">
        <f>IFERROR(__xludf.DUMMYFUNCTION("""COMPUTED_VALUE"""),31778.0)</f>
        <v>31778</v>
      </c>
      <c r="B257" s="6" t="str">
        <f>IFERROR(__xludf.DUMMYFUNCTION("""COMPUTED_VALUE"""),"gpc_produccion_primaria_pib")</f>
        <v>gpc_produccion_primaria_pib</v>
      </c>
      <c r="C257" s="6">
        <f>IFERROR(__xludf.DUMMYFUNCTION("""COMPUTED_VALUE"""),0.418283651819708)</f>
        <v>0.4182836518</v>
      </c>
    </row>
    <row r="258">
      <c r="A258" s="5">
        <f>IFERROR(__xludf.DUMMYFUNCTION("""COMPUTED_VALUE"""),31778.0)</f>
        <v>31778</v>
      </c>
      <c r="B258" s="6" t="str">
        <f>IFERROR(__xludf.DUMMYFUNCTION("""COMPUTED_VALUE"""),"gpc_energia_combustible_pib")</f>
        <v>gpc_energia_combustible_pib</v>
      </c>
      <c r="C258" s="6">
        <f>IFERROR(__xludf.DUMMYFUNCTION("""COMPUTED_VALUE"""),2.89723110176887)</f>
        <v>2.897231102</v>
      </c>
    </row>
    <row r="259">
      <c r="A259" s="5">
        <f>IFERROR(__xludf.DUMMYFUNCTION("""COMPUTED_VALUE"""),31778.0)</f>
        <v>31778</v>
      </c>
      <c r="B259" s="6" t="str">
        <f>IFERROR(__xludf.DUMMYFUNCTION("""COMPUTED_VALUE"""),"gpc_industria_pib")</f>
        <v>gpc_industria_pib</v>
      </c>
      <c r="C259" s="6">
        <f>IFERROR(__xludf.DUMMYFUNCTION("""COMPUTED_VALUE"""),0.294643831096371)</f>
        <v>0.2946438311</v>
      </c>
    </row>
    <row r="260">
      <c r="A260" s="5">
        <f>IFERROR(__xludf.DUMMYFUNCTION("""COMPUTED_VALUE"""),31778.0)</f>
        <v>31778</v>
      </c>
      <c r="B260" s="6" t="str">
        <f>IFERROR(__xludf.DUMMYFUNCTION("""COMPUTED_VALUE"""),"gpc_transporte_pib")</f>
        <v>gpc_transporte_pib</v>
      </c>
      <c r="C260" s="6">
        <f>IFERROR(__xludf.DUMMYFUNCTION("""COMPUTED_VALUE"""),1.95232771933128)</f>
        <v>1.952327719</v>
      </c>
    </row>
    <row r="261">
      <c r="A261" s="5">
        <f>IFERROR(__xludf.DUMMYFUNCTION("""COMPUTED_VALUE"""),31778.0)</f>
        <v>31778</v>
      </c>
      <c r="B261" s="6" t="str">
        <f>IFERROR(__xludf.DUMMYFUNCTION("""COMPUTED_VALUE"""),"gpc_comunicaciones_pib")</f>
        <v>gpc_comunicaciones_pib</v>
      </c>
      <c r="C261" s="6">
        <f>IFERROR(__xludf.DUMMYFUNCTION("""COMPUTED_VALUE"""),0.585530330201504)</f>
        <v>0.5855303302</v>
      </c>
    </row>
    <row r="262">
      <c r="A262" s="5">
        <f>IFERROR(__xludf.DUMMYFUNCTION("""COMPUTED_VALUE"""),31778.0)</f>
        <v>31778</v>
      </c>
      <c r="B262" s="6" t="str">
        <f>IFERROR(__xludf.DUMMYFUNCTION("""COMPUTED_VALUE"""),"gpc_otros_servicios_economicos_pib")</f>
        <v>gpc_otros_servicios_economicos_pib</v>
      </c>
      <c r="C262" s="6">
        <f>IFERROR(__xludf.DUMMYFUNCTION("""COMPUTED_VALUE"""),1.56408263470771)</f>
        <v>1.564082635</v>
      </c>
    </row>
    <row r="263">
      <c r="A263" s="5">
        <f>IFERROR(__xludf.DUMMYFUNCTION("""COMPUTED_VALUE"""),31778.0)</f>
        <v>31778</v>
      </c>
      <c r="B263" s="6" t="str">
        <f>IFERROR(__xludf.DUMMYFUNCTION("""COMPUTED_VALUE"""),"gpc_servicios_deuda_publica_pib")</f>
        <v>gpc_servicios_deuda_publica_pib</v>
      </c>
      <c r="C263" s="6">
        <f>IFERROR(__xludf.DUMMYFUNCTION("""COMPUTED_VALUE"""),2.71214177722099)</f>
        <v>2.712141777</v>
      </c>
    </row>
    <row r="264">
      <c r="A264" s="5">
        <f>IFERROR(__xludf.DUMMYFUNCTION("""COMPUTED_VALUE"""),31778.0)</f>
        <v>31778</v>
      </c>
      <c r="B264" s="6"/>
      <c r="C264" s="6"/>
    </row>
    <row r="265">
      <c r="A265" s="5">
        <f>IFERROR(__xludf.DUMMYFUNCTION("""COMPUTED_VALUE"""),31778.0)</f>
        <v>31778</v>
      </c>
      <c r="B265" s="6"/>
      <c r="C265" s="6"/>
    </row>
    <row r="266">
      <c r="A266" s="5">
        <f>IFERROR(__xludf.DUMMYFUNCTION("""COMPUTED_VALUE"""),32143.0)</f>
        <v>32143</v>
      </c>
      <c r="B266" s="6" t="str">
        <f>IFERROR(__xludf.DUMMYFUNCTION("""COMPUTED_VALUE"""),"gpc_pib")</f>
        <v>gpc_pib</v>
      </c>
      <c r="C266" s="6">
        <f>IFERROR(__xludf.DUMMYFUNCTION("""COMPUTED_VALUE"""),32.1746660820903)</f>
        <v>32.17466608</v>
      </c>
    </row>
    <row r="267">
      <c r="A267" s="5">
        <f>IFERROR(__xludf.DUMMYFUNCTION("""COMPUTED_VALUE"""),32143.0)</f>
        <v>32143</v>
      </c>
      <c r="B267" s="6" t="str">
        <f>IFERROR(__xludf.DUMMYFUNCTION("""COMPUTED_VALUE"""),"gpc_funcionamiento_estado_pib")</f>
        <v>gpc_funcionamiento_estado_pib</v>
      </c>
      <c r="C267" s="6">
        <f>IFERROR(__xludf.DUMMYFUNCTION("""COMPUTED_VALUE"""),5.23756331336937)</f>
        <v>5.237563313</v>
      </c>
    </row>
    <row r="268">
      <c r="A268" s="5">
        <f>IFERROR(__xludf.DUMMYFUNCTION("""COMPUTED_VALUE"""),32143.0)</f>
        <v>32143</v>
      </c>
      <c r="B268" s="6" t="str">
        <f>IFERROR(__xludf.DUMMYFUNCTION("""COMPUTED_VALUE"""),"gpc_administracion_general_pib")</f>
        <v>gpc_administracion_general_pib</v>
      </c>
      <c r="C268" s="6">
        <f>IFERROR(__xludf.DUMMYFUNCTION("""COMPUTED_VALUE"""),2.3221556242567)</f>
        <v>2.322155624</v>
      </c>
    </row>
    <row r="269">
      <c r="A269" s="5">
        <f>IFERROR(__xludf.DUMMYFUNCTION("""COMPUTED_VALUE"""),32143.0)</f>
        <v>32143</v>
      </c>
      <c r="B269" s="6" t="str">
        <f>IFERROR(__xludf.DUMMYFUNCTION("""COMPUTED_VALUE"""),"gpc_justicia_pib")</f>
        <v>gpc_justicia_pib</v>
      </c>
      <c r="C269" s="6">
        <f>IFERROR(__xludf.DUMMYFUNCTION("""COMPUTED_VALUE"""),0.476312589297899)</f>
        <v>0.4763125893</v>
      </c>
    </row>
    <row r="270">
      <c r="A270" s="5">
        <f>IFERROR(__xludf.DUMMYFUNCTION("""COMPUTED_VALUE"""),32143.0)</f>
        <v>32143</v>
      </c>
      <c r="B270" s="6" t="str">
        <f>IFERROR(__xludf.DUMMYFUNCTION("""COMPUTED_VALUE"""),"gpc_defensa_seguridad_pib")</f>
        <v>gpc_defensa_seguridad_pib</v>
      </c>
      <c r="C270" s="6">
        <f>IFERROR(__xludf.DUMMYFUNCTION("""COMPUTED_VALUE"""),2.43909509981477)</f>
        <v>2.4390951</v>
      </c>
    </row>
    <row r="271">
      <c r="A271" s="5">
        <f>IFERROR(__xludf.DUMMYFUNCTION("""COMPUTED_VALUE"""),32143.0)</f>
        <v>32143</v>
      </c>
      <c r="B271" s="6" t="str">
        <f>IFERROR(__xludf.DUMMYFUNCTION("""COMPUTED_VALUE"""),"gpc_servicios_sociales_pib")</f>
        <v>gpc_servicios_sociales_pib</v>
      </c>
      <c r="C271" s="6">
        <f>IFERROR(__xludf.DUMMYFUNCTION("""COMPUTED_VALUE"""),16.6784254816552)</f>
        <v>16.67842548</v>
      </c>
    </row>
    <row r="272">
      <c r="A272" s="5">
        <f>IFERROR(__xludf.DUMMYFUNCTION("""COMPUTED_VALUE"""),32143.0)</f>
        <v>32143</v>
      </c>
      <c r="B272" s="6" t="str">
        <f>IFERROR(__xludf.DUMMYFUNCTION("""COMPUTED_VALUE"""),"gpc_educacion_basica_pib")</f>
        <v>gpc_educacion_basica_pib</v>
      </c>
      <c r="C272" s="6">
        <f>IFERROR(__xludf.DUMMYFUNCTION("""COMPUTED_VALUE"""),2.4360647248594)</f>
        <v>2.436064725</v>
      </c>
    </row>
    <row r="273">
      <c r="A273" s="5">
        <f>IFERROR(__xludf.DUMMYFUNCTION("""COMPUTED_VALUE"""),32143.0)</f>
        <v>32143</v>
      </c>
      <c r="B273" s="6" t="str">
        <f>IFERROR(__xludf.DUMMYFUNCTION("""COMPUTED_VALUE"""),"gpc_educacion_universitaria_pib")</f>
        <v>gpc_educacion_universitaria_pib</v>
      </c>
      <c r="C273" s="6">
        <f>IFERROR(__xludf.DUMMYFUNCTION("""COMPUTED_VALUE"""),0.608139009726065)</f>
        <v>0.6081390097</v>
      </c>
    </row>
    <row r="274">
      <c r="A274" s="5">
        <f>IFERROR(__xludf.DUMMYFUNCTION("""COMPUTED_VALUE"""),32143.0)</f>
        <v>32143</v>
      </c>
      <c r="B274" s="6" t="str">
        <f>IFERROR(__xludf.DUMMYFUNCTION("""COMPUTED_VALUE"""),"gpc_ciencia_tecnica_pib")</f>
        <v>gpc_ciencia_tecnica_pib</v>
      </c>
      <c r="C274" s="6">
        <f>IFERROR(__xludf.DUMMYFUNCTION("""COMPUTED_VALUE"""),0.292567100677602)</f>
        <v>0.2925671007</v>
      </c>
    </row>
    <row r="275">
      <c r="A275" s="5">
        <f>IFERROR(__xludf.DUMMYFUNCTION("""COMPUTED_VALUE"""),32143.0)</f>
        <v>32143</v>
      </c>
      <c r="B275" s="6" t="str">
        <f>IFERROR(__xludf.DUMMYFUNCTION("""COMPUTED_VALUE"""),"gpc_cultura_pib")</f>
        <v>gpc_cultura_pib</v>
      </c>
      <c r="C275" s="6">
        <f>IFERROR(__xludf.DUMMYFUNCTION("""COMPUTED_VALUE"""),0.127744907124534)</f>
        <v>0.1277449071</v>
      </c>
    </row>
    <row r="276">
      <c r="A276" s="5">
        <f>IFERROR(__xludf.DUMMYFUNCTION("""COMPUTED_VALUE"""),32143.0)</f>
        <v>32143</v>
      </c>
      <c r="B276" s="6" t="str">
        <f>IFERROR(__xludf.DUMMYFUNCTION("""COMPUTED_VALUE"""),"gpc_educacion_cultura_sin_discriminar_pib")</f>
        <v>gpc_educacion_cultura_sin_discriminar_pib</v>
      </c>
      <c r="C276" s="6">
        <f>IFERROR(__xludf.DUMMYFUNCTION("""COMPUTED_VALUE"""),0.291988359141792)</f>
        <v>0.2919883591</v>
      </c>
    </row>
    <row r="277">
      <c r="A277" s="5">
        <f>IFERROR(__xludf.DUMMYFUNCTION("""COMPUTED_VALUE"""),32143.0)</f>
        <v>32143</v>
      </c>
      <c r="B277" s="6" t="str">
        <f>IFERROR(__xludf.DUMMYFUNCTION("""COMPUTED_VALUE"""),"gpc_atencion_salud_pib")</f>
        <v>gpc_atencion_salud_pib</v>
      </c>
      <c r="C277" s="6">
        <f>IFERROR(__xludf.DUMMYFUNCTION("""COMPUTED_VALUE"""),1.41797169663124)</f>
        <v>1.417971697</v>
      </c>
    </row>
    <row r="278">
      <c r="A278" s="5">
        <f>IFERROR(__xludf.DUMMYFUNCTION("""COMPUTED_VALUE"""),32143.0)</f>
        <v>32143</v>
      </c>
      <c r="B278" s="6" t="str">
        <f>IFERROR(__xludf.DUMMYFUNCTION("""COMPUTED_VALUE"""),"gpc_obras_sociales_salud_pib")</f>
        <v>gpc_obras_sociales_salud_pib</v>
      </c>
      <c r="C278" s="6">
        <f>IFERROR(__xludf.DUMMYFUNCTION("""COMPUTED_VALUE"""),2.06112745235813)</f>
        <v>2.061127452</v>
      </c>
    </row>
    <row r="279">
      <c r="A279" s="5">
        <f>IFERROR(__xludf.DUMMYFUNCTION("""COMPUTED_VALUE"""),32143.0)</f>
        <v>32143</v>
      </c>
      <c r="B279" s="6" t="str">
        <f>IFERROR(__xludf.DUMMYFUNCTION("""COMPUTED_VALUE"""),"gpc_inssjyp_salud_pib")</f>
        <v>gpc_inssjyp_salud_pib</v>
      </c>
      <c r="C279" s="6">
        <f>IFERROR(__xludf.DUMMYFUNCTION("""COMPUTED_VALUE"""),0.585527906441526)</f>
        <v>0.5855279064</v>
      </c>
    </row>
    <row r="280">
      <c r="A280" s="5">
        <f>IFERROR(__xludf.DUMMYFUNCTION("""COMPUTED_VALUE"""),32143.0)</f>
        <v>32143</v>
      </c>
      <c r="B280" s="6" t="str">
        <f>IFERROR(__xludf.DUMMYFUNCTION("""COMPUTED_VALUE"""),"gpc_agua_alcantarillado_pib")</f>
        <v>gpc_agua_alcantarillado_pib</v>
      </c>
      <c r="C280" s="6">
        <f>IFERROR(__xludf.DUMMYFUNCTION("""COMPUTED_VALUE"""),0.177317312845936)</f>
        <v>0.1773173128</v>
      </c>
    </row>
    <row r="281">
      <c r="A281" s="5">
        <f>IFERROR(__xludf.DUMMYFUNCTION("""COMPUTED_VALUE"""),32143.0)</f>
        <v>32143</v>
      </c>
      <c r="B281" s="6" t="str">
        <f>IFERROR(__xludf.DUMMYFUNCTION("""COMPUTED_VALUE"""),"gpc_vivienda_urbanismo_pib")</f>
        <v>gpc_vivienda_urbanismo_pib</v>
      </c>
      <c r="C281" s="6">
        <f>IFERROR(__xludf.DUMMYFUNCTION("""COMPUTED_VALUE"""),0.638761034167564)</f>
        <v>0.6387610342</v>
      </c>
    </row>
    <row r="282">
      <c r="A282" s="5">
        <f>IFERROR(__xludf.DUMMYFUNCTION("""COMPUTED_VALUE"""),32143.0)</f>
        <v>32143</v>
      </c>
      <c r="B282" s="6" t="str">
        <f>IFERROR(__xludf.DUMMYFUNCTION("""COMPUTED_VALUE"""),"gpc_promocion_asistencia_social_pib")</f>
        <v>gpc_promocion_asistencia_social_pib</v>
      </c>
      <c r="C282" s="6">
        <f>IFERROR(__xludf.DUMMYFUNCTION("""COMPUTED_VALUE"""),0.695313836143924)</f>
        <v>0.6953138361</v>
      </c>
    </row>
    <row r="283">
      <c r="A283" s="5">
        <f>IFERROR(__xludf.DUMMYFUNCTION("""COMPUTED_VALUE"""),32143.0)</f>
        <v>32143</v>
      </c>
      <c r="B283" s="6" t="str">
        <f>IFERROR(__xludf.DUMMYFUNCTION("""COMPUTED_VALUE"""),"gpc_obras_sociales_prestaciones_pib")</f>
        <v>gpc_obras_sociales_prestaciones_pib</v>
      </c>
      <c r="C283" s="6">
        <f>IFERROR(__xludf.DUMMYFUNCTION("""COMPUTED_VALUE"""),0.265654784553025)</f>
        <v>0.2656547846</v>
      </c>
    </row>
    <row r="284">
      <c r="A284" s="5">
        <f>IFERROR(__xludf.DUMMYFUNCTION("""COMPUTED_VALUE"""),32143.0)</f>
        <v>32143</v>
      </c>
      <c r="B284" s="6" t="str">
        <f>IFERROR(__xludf.DUMMYFUNCTION("""COMPUTED_VALUE"""),"gpc_inssjyp_prestaciones_pib")</f>
        <v>gpc_inssjyp_prestaciones_pib</v>
      </c>
      <c r="C284" s="6">
        <f>IFERROR(__xludf.DUMMYFUNCTION("""COMPUTED_VALUE"""),0.0440719929579643)</f>
        <v>0.04407199296</v>
      </c>
    </row>
    <row r="285">
      <c r="A285" s="5">
        <f>IFERROR(__xludf.DUMMYFUNCTION("""COMPUTED_VALUE"""),32143.0)</f>
        <v>32143</v>
      </c>
      <c r="B285" s="6" t="str">
        <f>IFERROR(__xludf.DUMMYFUNCTION("""COMPUTED_VALUE"""),"gpc_prevision_social_pib")</f>
        <v>gpc_prevision_social_pib</v>
      </c>
      <c r="C285" s="6">
        <f>IFERROR(__xludf.DUMMYFUNCTION("""COMPUTED_VALUE"""),5.9602057556364)</f>
        <v>5.960205756</v>
      </c>
    </row>
    <row r="286">
      <c r="A286" s="5">
        <f>IFERROR(__xludf.DUMMYFUNCTION("""COMPUTED_VALUE"""),32143.0)</f>
        <v>32143</v>
      </c>
      <c r="B286" s="6" t="str">
        <f>IFERROR(__xludf.DUMMYFUNCTION("""COMPUTED_VALUE"""),"gpc_programas_empleo_pib")</f>
        <v>gpc_programas_empleo_pib</v>
      </c>
      <c r="C286" s="6">
        <f>IFERROR(__xludf.DUMMYFUNCTION("""COMPUTED_VALUE"""),0.0199555794200969)</f>
        <v>0.01995557942</v>
      </c>
    </row>
    <row r="287">
      <c r="A287" s="5">
        <f>IFERROR(__xludf.DUMMYFUNCTION("""COMPUTED_VALUE"""),32143.0)</f>
        <v>32143</v>
      </c>
      <c r="B287" s="6" t="str">
        <f>IFERROR(__xludf.DUMMYFUNCTION("""COMPUTED_VALUE"""),"gpc_asignaciones_familiares_pib")</f>
        <v>gpc_asignaciones_familiares_pib</v>
      </c>
      <c r="C287" s="6">
        <f>IFERROR(__xludf.DUMMYFUNCTION("""COMPUTED_VALUE"""),0.344464142061306)</f>
        <v>0.3444641421</v>
      </c>
    </row>
    <row r="288">
      <c r="A288" s="5">
        <f>IFERROR(__xludf.DUMMYFUNCTION("""COMPUTED_VALUE"""),32143.0)</f>
        <v>32143</v>
      </c>
      <c r="B288" s="6" t="str">
        <f>IFERROR(__xludf.DUMMYFUNCTION("""COMPUTED_VALUE"""),"gpc_otros_servicios_urbanos_pib")</f>
        <v>gpc_otros_servicios_urbanos_pib</v>
      </c>
      <c r="C288" s="6">
        <f>IFERROR(__xludf.DUMMYFUNCTION("""COMPUTED_VALUE"""),0.711549886908722)</f>
        <v>0.7115498869</v>
      </c>
    </row>
    <row r="289">
      <c r="A289" s="5">
        <f>IFERROR(__xludf.DUMMYFUNCTION("""COMPUTED_VALUE"""),32143.0)</f>
        <v>32143</v>
      </c>
      <c r="B289" s="6" t="str">
        <f>IFERROR(__xludf.DUMMYFUNCTION("""COMPUTED_VALUE"""),"gpc_servicios_economicos_pib")</f>
        <v>gpc_servicios_economicos_pib</v>
      </c>
      <c r="C289" s="6">
        <f>IFERROR(__xludf.DUMMYFUNCTION("""COMPUTED_VALUE"""),7.99954747551862)</f>
        <v>7.999547476</v>
      </c>
    </row>
    <row r="290">
      <c r="A290" s="5">
        <f>IFERROR(__xludf.DUMMYFUNCTION("""COMPUTED_VALUE"""),32143.0)</f>
        <v>32143</v>
      </c>
      <c r="B290" s="6" t="str">
        <f>IFERROR(__xludf.DUMMYFUNCTION("""COMPUTED_VALUE"""),"gpc_produccion_primaria_pib")</f>
        <v>gpc_produccion_primaria_pib</v>
      </c>
      <c r="C290" s="6">
        <f>IFERROR(__xludf.DUMMYFUNCTION("""COMPUTED_VALUE"""),0.383413907436353)</f>
        <v>0.3834139074</v>
      </c>
    </row>
    <row r="291">
      <c r="A291" s="5">
        <f>IFERROR(__xludf.DUMMYFUNCTION("""COMPUTED_VALUE"""),32143.0)</f>
        <v>32143</v>
      </c>
      <c r="B291" s="6" t="str">
        <f>IFERROR(__xludf.DUMMYFUNCTION("""COMPUTED_VALUE"""),"gpc_energia_combustible_pib")</f>
        <v>gpc_energia_combustible_pib</v>
      </c>
      <c r="C291" s="6">
        <f>IFERROR(__xludf.DUMMYFUNCTION("""COMPUTED_VALUE"""),2.54364204185511)</f>
        <v>2.543642042</v>
      </c>
    </row>
    <row r="292">
      <c r="A292" s="5">
        <f>IFERROR(__xludf.DUMMYFUNCTION("""COMPUTED_VALUE"""),32143.0)</f>
        <v>32143</v>
      </c>
      <c r="B292" s="6" t="str">
        <f>IFERROR(__xludf.DUMMYFUNCTION("""COMPUTED_VALUE"""),"gpc_industria_pib")</f>
        <v>gpc_industria_pib</v>
      </c>
      <c r="C292" s="6">
        <f>IFERROR(__xludf.DUMMYFUNCTION("""COMPUTED_VALUE"""),0.267531579960568)</f>
        <v>0.26753158</v>
      </c>
    </row>
    <row r="293">
      <c r="A293" s="5">
        <f>IFERROR(__xludf.DUMMYFUNCTION("""COMPUTED_VALUE"""),32143.0)</f>
        <v>32143</v>
      </c>
      <c r="B293" s="6" t="str">
        <f>IFERROR(__xludf.DUMMYFUNCTION("""COMPUTED_VALUE"""),"gpc_transporte_pib")</f>
        <v>gpc_transporte_pib</v>
      </c>
      <c r="C293" s="6">
        <f>IFERROR(__xludf.DUMMYFUNCTION("""COMPUTED_VALUE"""),1.80069227210301)</f>
        <v>1.800692272</v>
      </c>
    </row>
    <row r="294">
      <c r="A294" s="5">
        <f>IFERROR(__xludf.DUMMYFUNCTION("""COMPUTED_VALUE"""),32143.0)</f>
        <v>32143</v>
      </c>
      <c r="B294" s="6" t="str">
        <f>IFERROR(__xludf.DUMMYFUNCTION("""COMPUTED_VALUE"""),"gpc_comunicaciones_pib")</f>
        <v>gpc_comunicaciones_pib</v>
      </c>
      <c r="C294" s="6">
        <f>IFERROR(__xludf.DUMMYFUNCTION("""COMPUTED_VALUE"""),1.20817473255215)</f>
        <v>1.208174733</v>
      </c>
    </row>
    <row r="295">
      <c r="A295" s="5">
        <f>IFERROR(__xludf.DUMMYFUNCTION("""COMPUTED_VALUE"""),32143.0)</f>
        <v>32143</v>
      </c>
      <c r="B295" s="6" t="str">
        <f>IFERROR(__xludf.DUMMYFUNCTION("""COMPUTED_VALUE"""),"gpc_otros_servicios_economicos_pib")</f>
        <v>gpc_otros_servicios_economicos_pib</v>
      </c>
      <c r="C295" s="6">
        <f>IFERROR(__xludf.DUMMYFUNCTION("""COMPUTED_VALUE"""),1.79609294161141)</f>
        <v>1.796092942</v>
      </c>
    </row>
    <row r="296">
      <c r="A296" s="5">
        <f>IFERROR(__xludf.DUMMYFUNCTION("""COMPUTED_VALUE"""),32143.0)</f>
        <v>32143</v>
      </c>
      <c r="B296" s="6" t="str">
        <f>IFERROR(__xludf.DUMMYFUNCTION("""COMPUTED_VALUE"""),"gpc_servicios_deuda_publica_pib")</f>
        <v>gpc_servicios_deuda_publica_pib</v>
      </c>
      <c r="C296" s="6">
        <f>IFERROR(__xludf.DUMMYFUNCTION("""COMPUTED_VALUE"""),2.25912981154707)</f>
        <v>2.259129812</v>
      </c>
    </row>
    <row r="297">
      <c r="A297" s="5">
        <f>IFERROR(__xludf.DUMMYFUNCTION("""COMPUTED_VALUE"""),32143.0)</f>
        <v>32143</v>
      </c>
      <c r="B297" s="6"/>
      <c r="C297" s="6"/>
    </row>
    <row r="298">
      <c r="A298" s="5">
        <f>IFERROR(__xludf.DUMMYFUNCTION("""COMPUTED_VALUE"""),32143.0)</f>
        <v>32143</v>
      </c>
      <c r="B298" s="6"/>
      <c r="C298" s="6"/>
    </row>
    <row r="299">
      <c r="A299" s="5">
        <f>IFERROR(__xludf.DUMMYFUNCTION("""COMPUTED_VALUE"""),32509.0)</f>
        <v>32509</v>
      </c>
      <c r="B299" s="6" t="str">
        <f>IFERROR(__xludf.DUMMYFUNCTION("""COMPUTED_VALUE"""),"gpc_pib")</f>
        <v>gpc_pib</v>
      </c>
      <c r="C299" s="6">
        <f>IFERROR(__xludf.DUMMYFUNCTION("""COMPUTED_VALUE"""),31.7132590292966)</f>
        <v>31.71325903</v>
      </c>
    </row>
    <row r="300">
      <c r="A300" s="5">
        <f>IFERROR(__xludf.DUMMYFUNCTION("""COMPUTED_VALUE"""),32509.0)</f>
        <v>32509</v>
      </c>
      <c r="B300" s="6" t="str">
        <f>IFERROR(__xludf.DUMMYFUNCTION("""COMPUTED_VALUE"""),"gpc_funcionamiento_estado_pib")</f>
        <v>gpc_funcionamiento_estado_pib</v>
      </c>
      <c r="C300" s="6">
        <f>IFERROR(__xludf.DUMMYFUNCTION("""COMPUTED_VALUE"""),4.68990835596518)</f>
        <v>4.689908356</v>
      </c>
    </row>
    <row r="301">
      <c r="A301" s="5">
        <f>IFERROR(__xludf.DUMMYFUNCTION("""COMPUTED_VALUE"""),32509.0)</f>
        <v>32509</v>
      </c>
      <c r="B301" s="6" t="str">
        <f>IFERROR(__xludf.DUMMYFUNCTION("""COMPUTED_VALUE"""),"gpc_administracion_general_pib")</f>
        <v>gpc_administracion_general_pib</v>
      </c>
      <c r="C301" s="6">
        <f>IFERROR(__xludf.DUMMYFUNCTION("""COMPUTED_VALUE"""),2.1471553464561)</f>
        <v>2.147155346</v>
      </c>
    </row>
    <row r="302">
      <c r="A302" s="5">
        <f>IFERROR(__xludf.DUMMYFUNCTION("""COMPUTED_VALUE"""),32509.0)</f>
        <v>32509</v>
      </c>
      <c r="B302" s="6" t="str">
        <f>IFERROR(__xludf.DUMMYFUNCTION("""COMPUTED_VALUE"""),"gpc_justicia_pib")</f>
        <v>gpc_justicia_pib</v>
      </c>
      <c r="C302" s="6">
        <f>IFERROR(__xludf.DUMMYFUNCTION("""COMPUTED_VALUE"""),0.424371383552299)</f>
        <v>0.4243713836</v>
      </c>
    </row>
    <row r="303">
      <c r="A303" s="5">
        <f>IFERROR(__xludf.DUMMYFUNCTION("""COMPUTED_VALUE"""),32509.0)</f>
        <v>32509</v>
      </c>
      <c r="B303" s="6" t="str">
        <f>IFERROR(__xludf.DUMMYFUNCTION("""COMPUTED_VALUE"""),"gpc_defensa_seguridad_pib")</f>
        <v>gpc_defensa_seguridad_pib</v>
      </c>
      <c r="C303" s="6">
        <f>IFERROR(__xludf.DUMMYFUNCTION("""COMPUTED_VALUE"""),2.11838162595677)</f>
        <v>2.118381626</v>
      </c>
    </row>
    <row r="304">
      <c r="A304" s="5">
        <f>IFERROR(__xludf.DUMMYFUNCTION("""COMPUTED_VALUE"""),32509.0)</f>
        <v>32509</v>
      </c>
      <c r="B304" s="6" t="str">
        <f>IFERROR(__xludf.DUMMYFUNCTION("""COMPUTED_VALUE"""),"gpc_servicios_sociales_pib")</f>
        <v>gpc_servicios_sociales_pib</v>
      </c>
      <c r="C304" s="6">
        <f>IFERROR(__xludf.DUMMYFUNCTION("""COMPUTED_VALUE"""),16.6089632672459)</f>
        <v>16.60896327</v>
      </c>
    </row>
    <row r="305">
      <c r="A305" s="5">
        <f>IFERROR(__xludf.DUMMYFUNCTION("""COMPUTED_VALUE"""),32509.0)</f>
        <v>32509</v>
      </c>
      <c r="B305" s="6" t="str">
        <f>IFERROR(__xludf.DUMMYFUNCTION("""COMPUTED_VALUE"""),"gpc_educacion_basica_pib")</f>
        <v>gpc_educacion_basica_pib</v>
      </c>
      <c r="C305" s="6">
        <f>IFERROR(__xludf.DUMMYFUNCTION("""COMPUTED_VALUE"""),2.11985669257887)</f>
        <v>2.119856693</v>
      </c>
    </row>
    <row r="306">
      <c r="A306" s="5">
        <f>IFERROR(__xludf.DUMMYFUNCTION("""COMPUTED_VALUE"""),32509.0)</f>
        <v>32509</v>
      </c>
      <c r="B306" s="6" t="str">
        <f>IFERROR(__xludf.DUMMYFUNCTION("""COMPUTED_VALUE"""),"gpc_educacion_universitaria_pib")</f>
        <v>gpc_educacion_universitaria_pib</v>
      </c>
      <c r="C306" s="6">
        <f>IFERROR(__xludf.DUMMYFUNCTION("""COMPUTED_VALUE"""),0.480600939200329)</f>
        <v>0.4806009392</v>
      </c>
    </row>
    <row r="307">
      <c r="A307" s="5">
        <f>IFERROR(__xludf.DUMMYFUNCTION("""COMPUTED_VALUE"""),32509.0)</f>
        <v>32509</v>
      </c>
      <c r="B307" s="6" t="str">
        <f>IFERROR(__xludf.DUMMYFUNCTION("""COMPUTED_VALUE"""),"gpc_ciencia_tecnica_pib")</f>
        <v>gpc_ciencia_tecnica_pib</v>
      </c>
      <c r="C307" s="6">
        <f>IFERROR(__xludf.DUMMYFUNCTION("""COMPUTED_VALUE"""),0.249122195673402)</f>
        <v>0.2491221957</v>
      </c>
    </row>
    <row r="308">
      <c r="A308" s="5">
        <f>IFERROR(__xludf.DUMMYFUNCTION("""COMPUTED_VALUE"""),32509.0)</f>
        <v>32509</v>
      </c>
      <c r="B308" s="6" t="str">
        <f>IFERROR(__xludf.DUMMYFUNCTION("""COMPUTED_VALUE"""),"gpc_cultura_pib")</f>
        <v>gpc_cultura_pib</v>
      </c>
      <c r="C308" s="6">
        <f>IFERROR(__xludf.DUMMYFUNCTION("""COMPUTED_VALUE"""),0.0957451956083229)</f>
        <v>0.09574519561</v>
      </c>
    </row>
    <row r="309">
      <c r="A309" s="5">
        <f>IFERROR(__xludf.DUMMYFUNCTION("""COMPUTED_VALUE"""),32509.0)</f>
        <v>32509</v>
      </c>
      <c r="B309" s="6" t="str">
        <f>IFERROR(__xludf.DUMMYFUNCTION("""COMPUTED_VALUE"""),"gpc_educacion_cultura_sin_discriminar_pib")</f>
        <v>gpc_educacion_cultura_sin_discriminar_pib</v>
      </c>
      <c r="C309" s="6">
        <f>IFERROR(__xludf.DUMMYFUNCTION("""COMPUTED_VALUE"""),0.24144440631664)</f>
        <v>0.2414444063</v>
      </c>
    </row>
    <row r="310">
      <c r="A310" s="5">
        <f>IFERROR(__xludf.DUMMYFUNCTION("""COMPUTED_VALUE"""),32509.0)</f>
        <v>32509</v>
      </c>
      <c r="B310" s="6" t="str">
        <f>IFERROR(__xludf.DUMMYFUNCTION("""COMPUTED_VALUE"""),"gpc_atencion_salud_pib")</f>
        <v>gpc_atencion_salud_pib</v>
      </c>
      <c r="C310" s="6">
        <f>IFERROR(__xludf.DUMMYFUNCTION("""COMPUTED_VALUE"""),1.32702471914193)</f>
        <v>1.327024719</v>
      </c>
    </row>
    <row r="311">
      <c r="A311" s="5">
        <f>IFERROR(__xludf.DUMMYFUNCTION("""COMPUTED_VALUE"""),32509.0)</f>
        <v>32509</v>
      </c>
      <c r="B311" s="6" t="str">
        <f>IFERROR(__xludf.DUMMYFUNCTION("""COMPUTED_VALUE"""),"gpc_obras_sociales_salud_pib")</f>
        <v>gpc_obras_sociales_salud_pib</v>
      </c>
      <c r="C311" s="6">
        <f>IFERROR(__xludf.DUMMYFUNCTION("""COMPUTED_VALUE"""),1.80246941660196)</f>
        <v>1.802469417</v>
      </c>
    </row>
    <row r="312">
      <c r="A312" s="5">
        <f>IFERROR(__xludf.DUMMYFUNCTION("""COMPUTED_VALUE"""),32509.0)</f>
        <v>32509</v>
      </c>
      <c r="B312" s="6" t="str">
        <f>IFERROR(__xludf.DUMMYFUNCTION("""COMPUTED_VALUE"""),"gpc_inssjyp_salud_pib")</f>
        <v>gpc_inssjyp_salud_pib</v>
      </c>
      <c r="C312" s="6">
        <f>IFERROR(__xludf.DUMMYFUNCTION("""COMPUTED_VALUE"""),0.461300704229738)</f>
        <v>0.4613007042</v>
      </c>
    </row>
    <row r="313">
      <c r="A313" s="5">
        <f>IFERROR(__xludf.DUMMYFUNCTION("""COMPUTED_VALUE"""),32509.0)</f>
        <v>32509</v>
      </c>
      <c r="B313" s="6" t="str">
        <f>IFERROR(__xludf.DUMMYFUNCTION("""COMPUTED_VALUE"""),"gpc_agua_alcantarillado_pib")</f>
        <v>gpc_agua_alcantarillado_pib</v>
      </c>
      <c r="C313" s="6">
        <f>IFERROR(__xludf.DUMMYFUNCTION("""COMPUTED_VALUE"""),0.135183923786575)</f>
        <v>0.1351839238</v>
      </c>
    </row>
    <row r="314">
      <c r="A314" s="5">
        <f>IFERROR(__xludf.DUMMYFUNCTION("""COMPUTED_VALUE"""),32509.0)</f>
        <v>32509</v>
      </c>
      <c r="B314" s="6" t="str">
        <f>IFERROR(__xludf.DUMMYFUNCTION("""COMPUTED_VALUE"""),"gpc_vivienda_urbanismo_pib")</f>
        <v>gpc_vivienda_urbanismo_pib</v>
      </c>
      <c r="C314" s="6">
        <f>IFERROR(__xludf.DUMMYFUNCTION("""COMPUTED_VALUE"""),0.5077257058725)</f>
        <v>0.5077257059</v>
      </c>
    </row>
    <row r="315">
      <c r="A315" s="5">
        <f>IFERROR(__xludf.DUMMYFUNCTION("""COMPUTED_VALUE"""),32509.0)</f>
        <v>32509</v>
      </c>
      <c r="B315" s="6" t="str">
        <f>IFERROR(__xludf.DUMMYFUNCTION("""COMPUTED_VALUE"""),"gpc_promocion_asistencia_social_pib")</f>
        <v>gpc_promocion_asistencia_social_pib</v>
      </c>
      <c r="C315" s="6">
        <f>IFERROR(__xludf.DUMMYFUNCTION("""COMPUTED_VALUE"""),0.838279926477861)</f>
        <v>0.8382799265</v>
      </c>
    </row>
    <row r="316">
      <c r="A316" s="5">
        <f>IFERROR(__xludf.DUMMYFUNCTION("""COMPUTED_VALUE"""),32509.0)</f>
        <v>32509</v>
      </c>
      <c r="B316" s="6" t="str">
        <f>IFERROR(__xludf.DUMMYFUNCTION("""COMPUTED_VALUE"""),"gpc_obras_sociales_prestaciones_pib")</f>
        <v>gpc_obras_sociales_prestaciones_pib</v>
      </c>
      <c r="C316" s="6">
        <f>IFERROR(__xludf.DUMMYFUNCTION("""COMPUTED_VALUE"""),0.215625888259318)</f>
        <v>0.2156258883</v>
      </c>
    </row>
    <row r="317">
      <c r="A317" s="5">
        <f>IFERROR(__xludf.DUMMYFUNCTION("""COMPUTED_VALUE"""),32509.0)</f>
        <v>32509</v>
      </c>
      <c r="B317" s="6" t="str">
        <f>IFERROR(__xludf.DUMMYFUNCTION("""COMPUTED_VALUE"""),"gpc_inssjyp_prestaciones_pib")</f>
        <v>gpc_inssjyp_prestaciones_pib</v>
      </c>
      <c r="C317" s="6">
        <f>IFERROR(__xludf.DUMMYFUNCTION("""COMPUTED_VALUE"""),0.0347215583828835)</f>
        <v>0.03472155838</v>
      </c>
    </row>
    <row r="318">
      <c r="A318" s="5">
        <f>IFERROR(__xludf.DUMMYFUNCTION("""COMPUTED_VALUE"""),32509.0)</f>
        <v>32509</v>
      </c>
      <c r="B318" s="6" t="str">
        <f>IFERROR(__xludf.DUMMYFUNCTION("""COMPUTED_VALUE"""),"gpc_prevision_social_pib")</f>
        <v>gpc_prevision_social_pib</v>
      </c>
      <c r="C318" s="6">
        <f>IFERROR(__xludf.DUMMYFUNCTION("""COMPUTED_VALUE"""),7.08307466382017)</f>
        <v>7.083074664</v>
      </c>
    </row>
    <row r="319">
      <c r="A319" s="5">
        <f>IFERROR(__xludf.DUMMYFUNCTION("""COMPUTED_VALUE"""),32509.0)</f>
        <v>32509</v>
      </c>
      <c r="B319" s="6" t="str">
        <f>IFERROR(__xludf.DUMMYFUNCTION("""COMPUTED_VALUE"""),"gpc_programas_empleo_pib")</f>
        <v>gpc_programas_empleo_pib</v>
      </c>
      <c r="C319" s="6">
        <f>IFERROR(__xludf.DUMMYFUNCTION("""COMPUTED_VALUE"""),0.0147358481397671)</f>
        <v>0.01473584814</v>
      </c>
    </row>
    <row r="320">
      <c r="A320" s="5">
        <f>IFERROR(__xludf.DUMMYFUNCTION("""COMPUTED_VALUE"""),32509.0)</f>
        <v>32509</v>
      </c>
      <c r="B320" s="6" t="str">
        <f>IFERROR(__xludf.DUMMYFUNCTION("""COMPUTED_VALUE"""),"gpc_asignaciones_familiares_pib")</f>
        <v>gpc_asignaciones_familiares_pib</v>
      </c>
      <c r="C320" s="6">
        <f>IFERROR(__xludf.DUMMYFUNCTION("""COMPUTED_VALUE"""),0.35902982566293)</f>
        <v>0.3590298257</v>
      </c>
    </row>
    <row r="321">
      <c r="A321" s="5">
        <f>IFERROR(__xludf.DUMMYFUNCTION("""COMPUTED_VALUE"""),32509.0)</f>
        <v>32509</v>
      </c>
      <c r="B321" s="6" t="str">
        <f>IFERROR(__xludf.DUMMYFUNCTION("""COMPUTED_VALUE"""),"gpc_otros_servicios_urbanos_pib")</f>
        <v>gpc_otros_servicios_urbanos_pib</v>
      </c>
      <c r="C321" s="6">
        <f>IFERROR(__xludf.DUMMYFUNCTION("""COMPUTED_VALUE"""),0.64302165749272)</f>
        <v>0.6430216575</v>
      </c>
    </row>
    <row r="322">
      <c r="A322" s="5">
        <f>IFERROR(__xludf.DUMMYFUNCTION("""COMPUTED_VALUE"""),32509.0)</f>
        <v>32509</v>
      </c>
      <c r="B322" s="6" t="str">
        <f>IFERROR(__xludf.DUMMYFUNCTION("""COMPUTED_VALUE"""),"gpc_servicios_economicos_pib")</f>
        <v>gpc_servicios_economicos_pib</v>
      </c>
      <c r="C322" s="6">
        <f>IFERROR(__xludf.DUMMYFUNCTION("""COMPUTED_VALUE"""),7.59289715091927)</f>
        <v>7.592897151</v>
      </c>
    </row>
    <row r="323">
      <c r="A323" s="5">
        <f>IFERROR(__xludf.DUMMYFUNCTION("""COMPUTED_VALUE"""),32509.0)</f>
        <v>32509</v>
      </c>
      <c r="B323" s="6" t="str">
        <f>IFERROR(__xludf.DUMMYFUNCTION("""COMPUTED_VALUE"""),"gpc_produccion_primaria_pib")</f>
        <v>gpc_produccion_primaria_pib</v>
      </c>
      <c r="C323" s="6">
        <f>IFERROR(__xludf.DUMMYFUNCTION("""COMPUTED_VALUE"""),0.321358065331244)</f>
        <v>0.3213580653</v>
      </c>
    </row>
    <row r="324">
      <c r="A324" s="5">
        <f>IFERROR(__xludf.DUMMYFUNCTION("""COMPUTED_VALUE"""),32509.0)</f>
        <v>32509</v>
      </c>
      <c r="B324" s="6" t="str">
        <f>IFERROR(__xludf.DUMMYFUNCTION("""COMPUTED_VALUE"""),"gpc_energia_combustible_pib")</f>
        <v>gpc_energia_combustible_pib</v>
      </c>
      <c r="C324" s="6">
        <f>IFERROR(__xludf.DUMMYFUNCTION("""COMPUTED_VALUE"""),2.47878368153175)</f>
        <v>2.478783682</v>
      </c>
    </row>
    <row r="325">
      <c r="A325" s="5">
        <f>IFERROR(__xludf.DUMMYFUNCTION("""COMPUTED_VALUE"""),32509.0)</f>
        <v>32509</v>
      </c>
      <c r="B325" s="6" t="str">
        <f>IFERROR(__xludf.DUMMYFUNCTION("""COMPUTED_VALUE"""),"gpc_industria_pib")</f>
        <v>gpc_industria_pib</v>
      </c>
      <c r="C325" s="6">
        <f>IFERROR(__xludf.DUMMYFUNCTION("""COMPUTED_VALUE"""),0.243832926176583)</f>
        <v>0.2438329262</v>
      </c>
    </row>
    <row r="326">
      <c r="A326" s="5">
        <f>IFERROR(__xludf.DUMMYFUNCTION("""COMPUTED_VALUE"""),32509.0)</f>
        <v>32509</v>
      </c>
      <c r="B326" s="6" t="str">
        <f>IFERROR(__xludf.DUMMYFUNCTION("""COMPUTED_VALUE"""),"gpc_transporte_pib")</f>
        <v>gpc_transporte_pib</v>
      </c>
      <c r="C326" s="6">
        <f>IFERROR(__xludf.DUMMYFUNCTION("""COMPUTED_VALUE"""),1.29163322782647)</f>
        <v>1.291633228</v>
      </c>
    </row>
    <row r="327">
      <c r="A327" s="5">
        <f>IFERROR(__xludf.DUMMYFUNCTION("""COMPUTED_VALUE"""),32509.0)</f>
        <v>32509</v>
      </c>
      <c r="B327" s="6" t="str">
        <f>IFERROR(__xludf.DUMMYFUNCTION("""COMPUTED_VALUE"""),"gpc_comunicaciones_pib")</f>
        <v>gpc_comunicaciones_pib</v>
      </c>
      <c r="C327" s="6">
        <f>IFERROR(__xludf.DUMMYFUNCTION("""COMPUTED_VALUE"""),0.508195649395625)</f>
        <v>0.5081956494</v>
      </c>
    </row>
    <row r="328">
      <c r="A328" s="5">
        <f>IFERROR(__xludf.DUMMYFUNCTION("""COMPUTED_VALUE"""),32509.0)</f>
        <v>32509</v>
      </c>
      <c r="B328" s="6" t="str">
        <f>IFERROR(__xludf.DUMMYFUNCTION("""COMPUTED_VALUE"""),"gpc_otros_servicios_economicos_pib")</f>
        <v>gpc_otros_servicios_economicos_pib</v>
      </c>
      <c r="C328" s="6">
        <f>IFERROR(__xludf.DUMMYFUNCTION("""COMPUTED_VALUE"""),2.74909360065759)</f>
        <v>2.749093601</v>
      </c>
    </row>
    <row r="329">
      <c r="A329" s="5">
        <f>IFERROR(__xludf.DUMMYFUNCTION("""COMPUTED_VALUE"""),32509.0)</f>
        <v>32509</v>
      </c>
      <c r="B329" s="6" t="str">
        <f>IFERROR(__xludf.DUMMYFUNCTION("""COMPUTED_VALUE"""),"gpc_servicios_deuda_publica_pib")</f>
        <v>gpc_servicios_deuda_publica_pib</v>
      </c>
      <c r="C329" s="6">
        <f>IFERROR(__xludf.DUMMYFUNCTION("""COMPUTED_VALUE"""),2.82149025516629)</f>
        <v>2.821490255</v>
      </c>
    </row>
    <row r="330">
      <c r="A330" s="5">
        <f>IFERROR(__xludf.DUMMYFUNCTION("""COMPUTED_VALUE"""),32509.0)</f>
        <v>32509</v>
      </c>
      <c r="B330" s="6"/>
      <c r="C330" s="6"/>
    </row>
    <row r="331">
      <c r="A331" s="5">
        <f>IFERROR(__xludf.DUMMYFUNCTION("""COMPUTED_VALUE"""),32509.0)</f>
        <v>32509</v>
      </c>
      <c r="B331" s="6"/>
      <c r="C331" s="6"/>
    </row>
    <row r="332">
      <c r="A332" s="5">
        <f>IFERROR(__xludf.DUMMYFUNCTION("""COMPUTED_VALUE"""),32874.0)</f>
        <v>32874</v>
      </c>
      <c r="B332" s="6" t="str">
        <f>IFERROR(__xludf.DUMMYFUNCTION("""COMPUTED_VALUE"""),"gpc_pib")</f>
        <v>gpc_pib</v>
      </c>
      <c r="C332" s="6">
        <f>IFERROR(__xludf.DUMMYFUNCTION("""COMPUTED_VALUE"""),30.3695450329187)</f>
        <v>30.36954503</v>
      </c>
    </row>
    <row r="333">
      <c r="A333" s="5">
        <f>IFERROR(__xludf.DUMMYFUNCTION("""COMPUTED_VALUE"""),32874.0)</f>
        <v>32874</v>
      </c>
      <c r="B333" s="6" t="str">
        <f>IFERROR(__xludf.DUMMYFUNCTION("""COMPUTED_VALUE"""),"gpc_funcionamiento_estado_pib")</f>
        <v>gpc_funcionamiento_estado_pib</v>
      </c>
      <c r="C333" s="6">
        <f>IFERROR(__xludf.DUMMYFUNCTION("""COMPUTED_VALUE"""),4.92033117326411)</f>
        <v>4.920331173</v>
      </c>
    </row>
    <row r="334">
      <c r="A334" s="5">
        <f>IFERROR(__xludf.DUMMYFUNCTION("""COMPUTED_VALUE"""),32874.0)</f>
        <v>32874</v>
      </c>
      <c r="B334" s="6" t="str">
        <f>IFERROR(__xludf.DUMMYFUNCTION("""COMPUTED_VALUE"""),"gpc_administracion_general_pib")</f>
        <v>gpc_administracion_general_pib</v>
      </c>
      <c r="C334" s="6">
        <f>IFERROR(__xludf.DUMMYFUNCTION("""COMPUTED_VALUE"""),2.44407977383453)</f>
        <v>2.444079774</v>
      </c>
    </row>
    <row r="335">
      <c r="A335" s="5">
        <f>IFERROR(__xludf.DUMMYFUNCTION("""COMPUTED_VALUE"""),32874.0)</f>
        <v>32874</v>
      </c>
      <c r="B335" s="6" t="str">
        <f>IFERROR(__xludf.DUMMYFUNCTION("""COMPUTED_VALUE"""),"gpc_justicia_pib")</f>
        <v>gpc_justicia_pib</v>
      </c>
      <c r="C335" s="6">
        <f>IFERROR(__xludf.DUMMYFUNCTION("""COMPUTED_VALUE"""),0.482213194803587)</f>
        <v>0.4822131948</v>
      </c>
    </row>
    <row r="336">
      <c r="A336" s="5">
        <f>IFERROR(__xludf.DUMMYFUNCTION("""COMPUTED_VALUE"""),32874.0)</f>
        <v>32874</v>
      </c>
      <c r="B336" s="6" t="str">
        <f>IFERROR(__xludf.DUMMYFUNCTION("""COMPUTED_VALUE"""),"gpc_defensa_seguridad_pib")</f>
        <v>gpc_defensa_seguridad_pib</v>
      </c>
      <c r="C336" s="6">
        <f>IFERROR(__xludf.DUMMYFUNCTION("""COMPUTED_VALUE"""),1.99403820462599)</f>
        <v>1.994038205</v>
      </c>
    </row>
    <row r="337">
      <c r="A337" s="5">
        <f>IFERROR(__xludf.DUMMYFUNCTION("""COMPUTED_VALUE"""),32874.0)</f>
        <v>32874</v>
      </c>
      <c r="B337" s="6" t="str">
        <f>IFERROR(__xludf.DUMMYFUNCTION("""COMPUTED_VALUE"""),"gpc_servicios_sociales_pib")</f>
        <v>gpc_servicios_sociales_pib</v>
      </c>
      <c r="C337" s="6">
        <f>IFERROR(__xludf.DUMMYFUNCTION("""COMPUTED_VALUE"""),18.5691882635123)</f>
        <v>18.56918826</v>
      </c>
    </row>
    <row r="338">
      <c r="A338" s="5">
        <f>IFERROR(__xludf.DUMMYFUNCTION("""COMPUTED_VALUE"""),32874.0)</f>
        <v>32874</v>
      </c>
      <c r="B338" s="6" t="str">
        <f>IFERROR(__xludf.DUMMYFUNCTION("""COMPUTED_VALUE"""),"gpc_educacion_basica_pib")</f>
        <v>gpc_educacion_basica_pib</v>
      </c>
      <c r="C338" s="6">
        <f>IFERROR(__xludf.DUMMYFUNCTION("""COMPUTED_VALUE"""),2.35174244970782)</f>
        <v>2.35174245</v>
      </c>
    </row>
    <row r="339">
      <c r="A339" s="5">
        <f>IFERROR(__xludf.DUMMYFUNCTION("""COMPUTED_VALUE"""),32874.0)</f>
        <v>32874</v>
      </c>
      <c r="B339" s="6" t="str">
        <f>IFERROR(__xludf.DUMMYFUNCTION("""COMPUTED_VALUE"""),"gpc_educacion_universitaria_pib")</f>
        <v>gpc_educacion_universitaria_pib</v>
      </c>
      <c r="C339" s="6">
        <f>IFERROR(__xludf.DUMMYFUNCTION("""COMPUTED_VALUE"""),0.552168355789566)</f>
        <v>0.5521683558</v>
      </c>
    </row>
    <row r="340">
      <c r="A340" s="5">
        <f>IFERROR(__xludf.DUMMYFUNCTION("""COMPUTED_VALUE"""),32874.0)</f>
        <v>32874</v>
      </c>
      <c r="B340" s="6" t="str">
        <f>IFERROR(__xludf.DUMMYFUNCTION("""COMPUTED_VALUE"""),"gpc_ciencia_tecnica_pib")</f>
        <v>gpc_ciencia_tecnica_pib</v>
      </c>
      <c r="C340" s="6">
        <f>IFERROR(__xludf.DUMMYFUNCTION("""COMPUTED_VALUE"""),0.25358324201955)</f>
        <v>0.253583242</v>
      </c>
    </row>
    <row r="341">
      <c r="A341" s="5">
        <f>IFERROR(__xludf.DUMMYFUNCTION("""COMPUTED_VALUE"""),32874.0)</f>
        <v>32874</v>
      </c>
      <c r="B341" s="6" t="str">
        <f>IFERROR(__xludf.DUMMYFUNCTION("""COMPUTED_VALUE"""),"gpc_cultura_pib")</f>
        <v>gpc_cultura_pib</v>
      </c>
      <c r="C341" s="6">
        <f>IFERROR(__xludf.DUMMYFUNCTION("""COMPUTED_VALUE"""),0.0983652830140884)</f>
        <v>0.09836528301</v>
      </c>
    </row>
    <row r="342">
      <c r="A342" s="5">
        <f>IFERROR(__xludf.DUMMYFUNCTION("""COMPUTED_VALUE"""),32874.0)</f>
        <v>32874</v>
      </c>
      <c r="B342" s="6" t="str">
        <f>IFERROR(__xludf.DUMMYFUNCTION("""COMPUTED_VALUE"""),"gpc_educacion_cultura_sin_discriminar_pib")</f>
        <v>gpc_educacion_cultura_sin_discriminar_pib</v>
      </c>
      <c r="C342" s="6">
        <f>IFERROR(__xludf.DUMMYFUNCTION("""COMPUTED_VALUE"""),0.259745825459077)</f>
        <v>0.2597458255</v>
      </c>
    </row>
    <row r="343">
      <c r="A343" s="5">
        <f>IFERROR(__xludf.DUMMYFUNCTION("""COMPUTED_VALUE"""),32874.0)</f>
        <v>32874</v>
      </c>
      <c r="B343" s="6" t="str">
        <f>IFERROR(__xludf.DUMMYFUNCTION("""COMPUTED_VALUE"""),"gpc_atencion_salud_pib")</f>
        <v>gpc_atencion_salud_pib</v>
      </c>
      <c r="C343" s="6">
        <f>IFERROR(__xludf.DUMMYFUNCTION("""COMPUTED_VALUE"""),1.41997112673285)</f>
        <v>1.419971127</v>
      </c>
    </row>
    <row r="344">
      <c r="A344" s="5">
        <f>IFERROR(__xludf.DUMMYFUNCTION("""COMPUTED_VALUE"""),32874.0)</f>
        <v>32874</v>
      </c>
      <c r="B344" s="6" t="str">
        <f>IFERROR(__xludf.DUMMYFUNCTION("""COMPUTED_VALUE"""),"gpc_obras_sociales_salud_pib")</f>
        <v>gpc_obras_sociales_salud_pib</v>
      </c>
      <c r="C344" s="6">
        <f>IFERROR(__xludf.DUMMYFUNCTION("""COMPUTED_VALUE"""),2.14917470203429)</f>
        <v>2.149174702</v>
      </c>
    </row>
    <row r="345">
      <c r="A345" s="5">
        <f>IFERROR(__xludf.DUMMYFUNCTION("""COMPUTED_VALUE"""),32874.0)</f>
        <v>32874</v>
      </c>
      <c r="B345" s="6" t="str">
        <f>IFERROR(__xludf.DUMMYFUNCTION("""COMPUTED_VALUE"""),"gpc_inssjyp_salud_pib")</f>
        <v>gpc_inssjyp_salud_pib</v>
      </c>
      <c r="C345" s="6">
        <f>IFERROR(__xludf.DUMMYFUNCTION("""COMPUTED_VALUE"""),0.638928621902917)</f>
        <v>0.6389286219</v>
      </c>
    </row>
    <row r="346">
      <c r="A346" s="5">
        <f>IFERROR(__xludf.DUMMYFUNCTION("""COMPUTED_VALUE"""),32874.0)</f>
        <v>32874</v>
      </c>
      <c r="B346" s="6" t="str">
        <f>IFERROR(__xludf.DUMMYFUNCTION("""COMPUTED_VALUE"""),"gpc_agua_alcantarillado_pib")</f>
        <v>gpc_agua_alcantarillado_pib</v>
      </c>
      <c r="C346" s="6">
        <f>IFERROR(__xludf.DUMMYFUNCTION("""COMPUTED_VALUE"""),0.142864182707565)</f>
        <v>0.1428641827</v>
      </c>
    </row>
    <row r="347">
      <c r="A347" s="5">
        <f>IFERROR(__xludf.DUMMYFUNCTION("""COMPUTED_VALUE"""),32874.0)</f>
        <v>32874</v>
      </c>
      <c r="B347" s="6" t="str">
        <f>IFERROR(__xludf.DUMMYFUNCTION("""COMPUTED_VALUE"""),"gpc_vivienda_urbanismo_pib")</f>
        <v>gpc_vivienda_urbanismo_pib</v>
      </c>
      <c r="C347" s="6">
        <f>IFERROR(__xludf.DUMMYFUNCTION("""COMPUTED_VALUE"""),0.707865536460956)</f>
        <v>0.7078655365</v>
      </c>
    </row>
    <row r="348">
      <c r="A348" s="5">
        <f>IFERROR(__xludf.DUMMYFUNCTION("""COMPUTED_VALUE"""),32874.0)</f>
        <v>32874</v>
      </c>
      <c r="B348" s="6" t="str">
        <f>IFERROR(__xludf.DUMMYFUNCTION("""COMPUTED_VALUE"""),"gpc_promocion_asistencia_social_pib")</f>
        <v>gpc_promocion_asistencia_social_pib</v>
      </c>
      <c r="C348" s="6">
        <f>IFERROR(__xludf.DUMMYFUNCTION("""COMPUTED_VALUE"""),0.586573089863864)</f>
        <v>0.5865730899</v>
      </c>
    </row>
    <row r="349">
      <c r="A349" s="5">
        <f>IFERROR(__xludf.DUMMYFUNCTION("""COMPUTED_VALUE"""),32874.0)</f>
        <v>32874</v>
      </c>
      <c r="B349" s="6" t="str">
        <f>IFERROR(__xludf.DUMMYFUNCTION("""COMPUTED_VALUE"""),"gpc_obras_sociales_prestaciones_pib")</f>
        <v>gpc_obras_sociales_prestaciones_pib</v>
      </c>
      <c r="C349" s="6">
        <f>IFERROR(__xludf.DUMMYFUNCTION("""COMPUTED_VALUE"""),0.245405156339921)</f>
        <v>0.2454051563</v>
      </c>
    </row>
    <row r="350">
      <c r="A350" s="5">
        <f>IFERROR(__xludf.DUMMYFUNCTION("""COMPUTED_VALUE"""),32874.0)</f>
        <v>32874</v>
      </c>
      <c r="B350" s="6" t="str">
        <f>IFERROR(__xludf.DUMMYFUNCTION("""COMPUTED_VALUE"""),"gpc_inssjyp_prestaciones_pib")</f>
        <v>gpc_inssjyp_prestaciones_pib</v>
      </c>
      <c r="C350" s="6">
        <f>IFERROR(__xludf.DUMMYFUNCTION("""COMPUTED_VALUE"""),0.0480914016486066)</f>
        <v>0.04809140165</v>
      </c>
    </row>
    <row r="351">
      <c r="A351" s="5">
        <f>IFERROR(__xludf.DUMMYFUNCTION("""COMPUTED_VALUE"""),32874.0)</f>
        <v>32874</v>
      </c>
      <c r="B351" s="6" t="str">
        <f>IFERROR(__xludf.DUMMYFUNCTION("""COMPUTED_VALUE"""),"gpc_prevision_social_pib")</f>
        <v>gpc_prevision_social_pib</v>
      </c>
      <c r="C351" s="6">
        <f>IFERROR(__xludf.DUMMYFUNCTION("""COMPUTED_VALUE"""),7.93174124068069)</f>
        <v>7.931741241</v>
      </c>
    </row>
    <row r="352">
      <c r="A352" s="5">
        <f>IFERROR(__xludf.DUMMYFUNCTION("""COMPUTED_VALUE"""),32874.0)</f>
        <v>32874</v>
      </c>
      <c r="B352" s="6" t="str">
        <f>IFERROR(__xludf.DUMMYFUNCTION("""COMPUTED_VALUE"""),"gpc_programas_empleo_pib")</f>
        <v>gpc_programas_empleo_pib</v>
      </c>
      <c r="C352" s="6">
        <f>IFERROR(__xludf.DUMMYFUNCTION("""COMPUTED_VALUE"""),0.0189107425398632)</f>
        <v>0.01891074254</v>
      </c>
    </row>
    <row r="353">
      <c r="A353" s="5">
        <f>IFERROR(__xludf.DUMMYFUNCTION("""COMPUTED_VALUE"""),32874.0)</f>
        <v>32874</v>
      </c>
      <c r="B353" s="6" t="str">
        <f>IFERROR(__xludf.DUMMYFUNCTION("""COMPUTED_VALUE"""),"gpc_asignaciones_familiares_pib")</f>
        <v>gpc_asignaciones_familiares_pib</v>
      </c>
      <c r="C353" s="6">
        <f>IFERROR(__xludf.DUMMYFUNCTION("""COMPUTED_VALUE"""),0.375265091656294)</f>
        <v>0.3752650917</v>
      </c>
    </row>
    <row r="354">
      <c r="A354" s="5">
        <f>IFERROR(__xludf.DUMMYFUNCTION("""COMPUTED_VALUE"""),32874.0)</f>
        <v>32874</v>
      </c>
      <c r="B354" s="6" t="str">
        <f>IFERROR(__xludf.DUMMYFUNCTION("""COMPUTED_VALUE"""),"gpc_otros_servicios_urbanos_pib")</f>
        <v>gpc_otros_servicios_urbanos_pib</v>
      </c>
      <c r="C354" s="6">
        <f>IFERROR(__xludf.DUMMYFUNCTION("""COMPUTED_VALUE"""),0.788792214954465)</f>
        <v>0.788792215</v>
      </c>
    </row>
    <row r="355">
      <c r="A355" s="5">
        <f>IFERROR(__xludf.DUMMYFUNCTION("""COMPUTED_VALUE"""),32874.0)</f>
        <v>32874</v>
      </c>
      <c r="B355" s="6" t="str">
        <f>IFERROR(__xludf.DUMMYFUNCTION("""COMPUTED_VALUE"""),"gpc_servicios_economicos_pib")</f>
        <v>gpc_servicios_economicos_pib</v>
      </c>
      <c r="C355" s="6">
        <f>IFERROR(__xludf.DUMMYFUNCTION("""COMPUTED_VALUE"""),5.30855343049734)</f>
        <v>5.30855343</v>
      </c>
    </row>
    <row r="356">
      <c r="A356" s="5">
        <f>IFERROR(__xludf.DUMMYFUNCTION("""COMPUTED_VALUE"""),32874.0)</f>
        <v>32874</v>
      </c>
      <c r="B356" s="6" t="str">
        <f>IFERROR(__xludf.DUMMYFUNCTION("""COMPUTED_VALUE"""),"gpc_produccion_primaria_pib")</f>
        <v>gpc_produccion_primaria_pib</v>
      </c>
      <c r="C356" s="6">
        <f>IFERROR(__xludf.DUMMYFUNCTION("""COMPUTED_VALUE"""),0.267126209971293)</f>
        <v>0.26712621</v>
      </c>
    </row>
    <row r="357">
      <c r="A357" s="5">
        <f>IFERROR(__xludf.DUMMYFUNCTION("""COMPUTED_VALUE"""),32874.0)</f>
        <v>32874</v>
      </c>
      <c r="B357" s="6" t="str">
        <f>IFERROR(__xludf.DUMMYFUNCTION("""COMPUTED_VALUE"""),"gpc_energia_combustible_pib")</f>
        <v>gpc_energia_combustible_pib</v>
      </c>
      <c r="C357" s="6">
        <f>IFERROR(__xludf.DUMMYFUNCTION("""COMPUTED_VALUE"""),1.83481517368423)</f>
        <v>1.834815174</v>
      </c>
    </row>
    <row r="358">
      <c r="A358" s="5">
        <f>IFERROR(__xludf.DUMMYFUNCTION("""COMPUTED_VALUE"""),32874.0)</f>
        <v>32874</v>
      </c>
      <c r="B358" s="6" t="str">
        <f>IFERROR(__xludf.DUMMYFUNCTION("""COMPUTED_VALUE"""),"gpc_industria_pib")</f>
        <v>gpc_industria_pib</v>
      </c>
      <c r="C358" s="6">
        <f>IFERROR(__xludf.DUMMYFUNCTION("""COMPUTED_VALUE"""),0.164288553266993)</f>
        <v>0.1642885533</v>
      </c>
    </row>
    <row r="359">
      <c r="A359" s="5">
        <f>IFERROR(__xludf.DUMMYFUNCTION("""COMPUTED_VALUE"""),32874.0)</f>
        <v>32874</v>
      </c>
      <c r="B359" s="6" t="str">
        <f>IFERROR(__xludf.DUMMYFUNCTION("""COMPUTED_VALUE"""),"gpc_transporte_pib")</f>
        <v>gpc_transporte_pib</v>
      </c>
      <c r="C359" s="6">
        <f>IFERROR(__xludf.DUMMYFUNCTION("""COMPUTED_VALUE"""),1.01259474213317)</f>
        <v>1.012594742</v>
      </c>
    </row>
    <row r="360">
      <c r="A360" s="5">
        <f>IFERROR(__xludf.DUMMYFUNCTION("""COMPUTED_VALUE"""),32874.0)</f>
        <v>32874</v>
      </c>
      <c r="B360" s="6" t="str">
        <f>IFERROR(__xludf.DUMMYFUNCTION("""COMPUTED_VALUE"""),"gpc_comunicaciones_pib")</f>
        <v>gpc_comunicaciones_pib</v>
      </c>
      <c r="C360" s="6">
        <f>IFERROR(__xludf.DUMMYFUNCTION("""COMPUTED_VALUE"""),0.124727456467725)</f>
        <v>0.1247274565</v>
      </c>
    </row>
    <row r="361">
      <c r="A361" s="5">
        <f>IFERROR(__xludf.DUMMYFUNCTION("""COMPUTED_VALUE"""),32874.0)</f>
        <v>32874</v>
      </c>
      <c r="B361" s="6" t="str">
        <f>IFERROR(__xludf.DUMMYFUNCTION("""COMPUTED_VALUE"""),"gpc_otros_servicios_economicos_pib")</f>
        <v>gpc_otros_servicios_economicos_pib</v>
      </c>
      <c r="C361" s="6">
        <f>IFERROR(__xludf.DUMMYFUNCTION("""COMPUTED_VALUE"""),1.90500129497391)</f>
        <v>1.905001295</v>
      </c>
    </row>
    <row r="362">
      <c r="A362" s="5">
        <f>IFERROR(__xludf.DUMMYFUNCTION("""COMPUTED_VALUE"""),32874.0)</f>
        <v>32874</v>
      </c>
      <c r="B362" s="6" t="str">
        <f>IFERROR(__xludf.DUMMYFUNCTION("""COMPUTED_VALUE"""),"gpc_servicios_deuda_publica_pib")</f>
        <v>gpc_servicios_deuda_publica_pib</v>
      </c>
      <c r="C362" s="6">
        <f>IFERROR(__xludf.DUMMYFUNCTION("""COMPUTED_VALUE"""),1.57147216564493)</f>
        <v>1.571472166</v>
      </c>
    </row>
    <row r="363">
      <c r="A363" s="5">
        <f>IFERROR(__xludf.DUMMYFUNCTION("""COMPUTED_VALUE"""),32874.0)</f>
        <v>32874</v>
      </c>
      <c r="B363" s="6"/>
      <c r="C363" s="6"/>
    </row>
    <row r="364">
      <c r="A364" s="5">
        <f>IFERROR(__xludf.DUMMYFUNCTION("""COMPUTED_VALUE"""),32874.0)</f>
        <v>32874</v>
      </c>
      <c r="B364" s="6"/>
      <c r="C364" s="6"/>
    </row>
    <row r="365">
      <c r="A365" s="5">
        <f>IFERROR(__xludf.DUMMYFUNCTION("""COMPUTED_VALUE"""),33239.0)</f>
        <v>33239</v>
      </c>
      <c r="B365" s="6" t="str">
        <f>IFERROR(__xludf.DUMMYFUNCTION("""COMPUTED_VALUE"""),"gpc_pib")</f>
        <v>gpc_pib</v>
      </c>
      <c r="C365" s="6">
        <f>IFERROR(__xludf.DUMMYFUNCTION("""COMPUTED_VALUE"""),31.0432369697209)</f>
        <v>31.04323697</v>
      </c>
    </row>
    <row r="366">
      <c r="A366" s="5">
        <f>IFERROR(__xludf.DUMMYFUNCTION("""COMPUTED_VALUE"""),33239.0)</f>
        <v>33239</v>
      </c>
      <c r="B366" s="6" t="str">
        <f>IFERROR(__xludf.DUMMYFUNCTION("""COMPUTED_VALUE"""),"gpc_funcionamiento_estado_pib")</f>
        <v>gpc_funcionamiento_estado_pib</v>
      </c>
      <c r="C366" s="6">
        <f>IFERROR(__xludf.DUMMYFUNCTION("""COMPUTED_VALUE"""),5.80332688818082)</f>
        <v>5.803326888</v>
      </c>
    </row>
    <row r="367">
      <c r="A367" s="5">
        <f>IFERROR(__xludf.DUMMYFUNCTION("""COMPUTED_VALUE"""),33239.0)</f>
        <v>33239</v>
      </c>
      <c r="B367" s="6" t="str">
        <f>IFERROR(__xludf.DUMMYFUNCTION("""COMPUTED_VALUE"""),"gpc_administracion_general_pib")</f>
        <v>gpc_administracion_general_pib</v>
      </c>
      <c r="C367" s="6">
        <f>IFERROR(__xludf.DUMMYFUNCTION("""COMPUTED_VALUE"""),2.88094381996151)</f>
        <v>2.88094382</v>
      </c>
    </row>
    <row r="368">
      <c r="A368" s="5">
        <f>IFERROR(__xludf.DUMMYFUNCTION("""COMPUTED_VALUE"""),33239.0)</f>
        <v>33239</v>
      </c>
      <c r="B368" s="6" t="str">
        <f>IFERROR(__xludf.DUMMYFUNCTION("""COMPUTED_VALUE"""),"gpc_justicia_pib")</f>
        <v>gpc_justicia_pib</v>
      </c>
      <c r="C368" s="6">
        <f>IFERROR(__xludf.DUMMYFUNCTION("""COMPUTED_VALUE"""),0.6052383149219)</f>
        <v>0.6052383149</v>
      </c>
    </row>
    <row r="369">
      <c r="A369" s="5">
        <f>IFERROR(__xludf.DUMMYFUNCTION("""COMPUTED_VALUE"""),33239.0)</f>
        <v>33239</v>
      </c>
      <c r="B369" s="6" t="str">
        <f>IFERROR(__xludf.DUMMYFUNCTION("""COMPUTED_VALUE"""),"gpc_defensa_seguridad_pib")</f>
        <v>gpc_defensa_seguridad_pib</v>
      </c>
      <c r="C369" s="6">
        <f>IFERROR(__xludf.DUMMYFUNCTION("""COMPUTED_VALUE"""),2.31714475329741)</f>
        <v>2.317144753</v>
      </c>
    </row>
    <row r="370">
      <c r="A370" s="5">
        <f>IFERROR(__xludf.DUMMYFUNCTION("""COMPUTED_VALUE"""),33239.0)</f>
        <v>33239</v>
      </c>
      <c r="B370" s="6" t="str">
        <f>IFERROR(__xludf.DUMMYFUNCTION("""COMPUTED_VALUE"""),"gpc_servicios_sociales_pib")</f>
        <v>gpc_servicios_sociales_pib</v>
      </c>
      <c r="C370" s="6">
        <f>IFERROR(__xludf.DUMMYFUNCTION("""COMPUTED_VALUE"""),19.6138636954817)</f>
        <v>19.6138637</v>
      </c>
    </row>
    <row r="371">
      <c r="A371" s="5">
        <f>IFERROR(__xludf.DUMMYFUNCTION("""COMPUTED_VALUE"""),33239.0)</f>
        <v>33239</v>
      </c>
      <c r="B371" s="6" t="str">
        <f>IFERROR(__xludf.DUMMYFUNCTION("""COMPUTED_VALUE"""),"gpc_educacion_basica_pib")</f>
        <v>gpc_educacion_basica_pib</v>
      </c>
      <c r="C371" s="6">
        <f>IFERROR(__xludf.DUMMYFUNCTION("""COMPUTED_VALUE"""),2.53454730845461)</f>
        <v>2.534547308</v>
      </c>
    </row>
    <row r="372">
      <c r="A372" s="5">
        <f>IFERROR(__xludf.DUMMYFUNCTION("""COMPUTED_VALUE"""),33239.0)</f>
        <v>33239</v>
      </c>
      <c r="B372" s="6" t="str">
        <f>IFERROR(__xludf.DUMMYFUNCTION("""COMPUTED_VALUE"""),"gpc_educacion_universitaria_pib")</f>
        <v>gpc_educacion_universitaria_pib</v>
      </c>
      <c r="C372" s="6">
        <f>IFERROR(__xludf.DUMMYFUNCTION("""COMPUTED_VALUE"""),0.53788231179)</f>
        <v>0.5378823118</v>
      </c>
    </row>
    <row r="373">
      <c r="A373" s="5">
        <f>IFERROR(__xludf.DUMMYFUNCTION("""COMPUTED_VALUE"""),33239.0)</f>
        <v>33239</v>
      </c>
      <c r="B373" s="6" t="str">
        <f>IFERROR(__xludf.DUMMYFUNCTION("""COMPUTED_VALUE"""),"gpc_ciencia_tecnica_pib")</f>
        <v>gpc_ciencia_tecnica_pib</v>
      </c>
      <c r="C373" s="6">
        <f>IFERROR(__xludf.DUMMYFUNCTION("""COMPUTED_VALUE"""),0.23464788023202)</f>
        <v>0.2346478802</v>
      </c>
    </row>
    <row r="374">
      <c r="A374" s="5">
        <f>IFERROR(__xludf.DUMMYFUNCTION("""COMPUTED_VALUE"""),33239.0)</f>
        <v>33239</v>
      </c>
      <c r="B374" s="6" t="str">
        <f>IFERROR(__xludf.DUMMYFUNCTION("""COMPUTED_VALUE"""),"gpc_cultura_pib")</f>
        <v>gpc_cultura_pib</v>
      </c>
      <c r="C374" s="6">
        <f>IFERROR(__xludf.DUMMYFUNCTION("""COMPUTED_VALUE"""),0.100916017684465)</f>
        <v>0.1009160177</v>
      </c>
    </row>
    <row r="375">
      <c r="A375" s="5">
        <f>IFERROR(__xludf.DUMMYFUNCTION("""COMPUTED_VALUE"""),33239.0)</f>
        <v>33239</v>
      </c>
      <c r="B375" s="6" t="str">
        <f>IFERROR(__xludf.DUMMYFUNCTION("""COMPUTED_VALUE"""),"gpc_educacion_cultura_sin_discriminar_pib")</f>
        <v>gpc_educacion_cultura_sin_discriminar_pib</v>
      </c>
      <c r="C375" s="6">
        <f>IFERROR(__xludf.DUMMYFUNCTION("""COMPUTED_VALUE"""),0.204853473024154)</f>
        <v>0.204853473</v>
      </c>
    </row>
    <row r="376">
      <c r="A376" s="5">
        <f>IFERROR(__xludf.DUMMYFUNCTION("""COMPUTED_VALUE"""),33239.0)</f>
        <v>33239</v>
      </c>
      <c r="B376" s="6" t="str">
        <f>IFERROR(__xludf.DUMMYFUNCTION("""COMPUTED_VALUE"""),"gpc_atencion_salud_pib")</f>
        <v>gpc_atencion_salud_pib</v>
      </c>
      <c r="C376" s="6">
        <f>IFERROR(__xludf.DUMMYFUNCTION("""COMPUTED_VALUE"""),1.5774781011978)</f>
        <v>1.577478101</v>
      </c>
    </row>
    <row r="377">
      <c r="A377" s="5">
        <f>IFERROR(__xludf.DUMMYFUNCTION("""COMPUTED_VALUE"""),33239.0)</f>
        <v>33239</v>
      </c>
      <c r="B377" s="6" t="str">
        <f>IFERROR(__xludf.DUMMYFUNCTION("""COMPUTED_VALUE"""),"gpc_obras_sociales_salud_pib")</f>
        <v>gpc_obras_sociales_salud_pib</v>
      </c>
      <c r="C377" s="6">
        <f>IFERROR(__xludf.DUMMYFUNCTION("""COMPUTED_VALUE"""),2.04344881804341)</f>
        <v>2.043448818</v>
      </c>
    </row>
    <row r="378">
      <c r="A378" s="5">
        <f>IFERROR(__xludf.DUMMYFUNCTION("""COMPUTED_VALUE"""),33239.0)</f>
        <v>33239</v>
      </c>
      <c r="B378" s="6" t="str">
        <f>IFERROR(__xludf.DUMMYFUNCTION("""COMPUTED_VALUE"""),"gpc_inssjyp_salud_pib")</f>
        <v>gpc_inssjyp_salud_pib</v>
      </c>
      <c r="C378" s="6">
        <f>IFERROR(__xludf.DUMMYFUNCTION("""COMPUTED_VALUE"""),0.737889461283377)</f>
        <v>0.7378894613</v>
      </c>
    </row>
    <row r="379">
      <c r="A379" s="5">
        <f>IFERROR(__xludf.DUMMYFUNCTION("""COMPUTED_VALUE"""),33239.0)</f>
        <v>33239</v>
      </c>
      <c r="B379" s="6" t="str">
        <f>IFERROR(__xludf.DUMMYFUNCTION("""COMPUTED_VALUE"""),"gpc_agua_alcantarillado_pib")</f>
        <v>gpc_agua_alcantarillado_pib</v>
      </c>
      <c r="C379" s="6">
        <f>IFERROR(__xludf.DUMMYFUNCTION("""COMPUTED_VALUE"""),0.141561575493637)</f>
        <v>0.1415615755</v>
      </c>
    </row>
    <row r="380">
      <c r="A380" s="5">
        <f>IFERROR(__xludf.DUMMYFUNCTION("""COMPUTED_VALUE"""),33239.0)</f>
        <v>33239</v>
      </c>
      <c r="B380" s="6" t="str">
        <f>IFERROR(__xludf.DUMMYFUNCTION("""COMPUTED_VALUE"""),"gpc_vivienda_urbanismo_pib")</f>
        <v>gpc_vivienda_urbanismo_pib</v>
      </c>
      <c r="C380" s="6">
        <f>IFERROR(__xludf.DUMMYFUNCTION("""COMPUTED_VALUE"""),0.616686028950599)</f>
        <v>0.616686029</v>
      </c>
    </row>
    <row r="381">
      <c r="A381" s="5">
        <f>IFERROR(__xludf.DUMMYFUNCTION("""COMPUTED_VALUE"""),33239.0)</f>
        <v>33239</v>
      </c>
      <c r="B381" s="6" t="str">
        <f>IFERROR(__xludf.DUMMYFUNCTION("""COMPUTED_VALUE"""),"gpc_promocion_asistencia_social_pib")</f>
        <v>gpc_promocion_asistencia_social_pib</v>
      </c>
      <c r="C381" s="6">
        <f>IFERROR(__xludf.DUMMYFUNCTION("""COMPUTED_VALUE"""),0.638712736014532)</f>
        <v>0.638712736</v>
      </c>
    </row>
    <row r="382">
      <c r="A382" s="5">
        <f>IFERROR(__xludf.DUMMYFUNCTION("""COMPUTED_VALUE"""),33239.0)</f>
        <v>33239</v>
      </c>
      <c r="B382" s="6" t="str">
        <f>IFERROR(__xludf.DUMMYFUNCTION("""COMPUTED_VALUE"""),"gpc_obras_sociales_prestaciones_pib")</f>
        <v>gpc_obras_sociales_prestaciones_pib</v>
      </c>
      <c r="C382" s="6">
        <f>IFERROR(__xludf.DUMMYFUNCTION("""COMPUTED_VALUE"""),0.198897255692511)</f>
        <v>0.1988972557</v>
      </c>
    </row>
    <row r="383">
      <c r="A383" s="5">
        <f>IFERROR(__xludf.DUMMYFUNCTION("""COMPUTED_VALUE"""),33239.0)</f>
        <v>33239</v>
      </c>
      <c r="B383" s="6" t="str">
        <f>IFERROR(__xludf.DUMMYFUNCTION("""COMPUTED_VALUE"""),"gpc_inssjyp_prestaciones_pib")</f>
        <v>gpc_inssjyp_prestaciones_pib</v>
      </c>
      <c r="C383" s="6">
        <f>IFERROR(__xludf.DUMMYFUNCTION("""COMPUTED_VALUE"""),0.0555400669783187)</f>
        <v>0.05554006698</v>
      </c>
    </row>
    <row r="384">
      <c r="A384" s="5">
        <f>IFERROR(__xludf.DUMMYFUNCTION("""COMPUTED_VALUE"""),33239.0)</f>
        <v>33239</v>
      </c>
      <c r="B384" s="6" t="str">
        <f>IFERROR(__xludf.DUMMYFUNCTION("""COMPUTED_VALUE"""),"gpc_prevision_social_pib")</f>
        <v>gpc_prevision_social_pib</v>
      </c>
      <c r="C384" s="6">
        <f>IFERROR(__xludf.DUMMYFUNCTION("""COMPUTED_VALUE"""),8.38535422870219)</f>
        <v>8.385354229</v>
      </c>
    </row>
    <row r="385">
      <c r="A385" s="5">
        <f>IFERROR(__xludf.DUMMYFUNCTION("""COMPUTED_VALUE"""),33239.0)</f>
        <v>33239</v>
      </c>
      <c r="B385" s="6" t="str">
        <f>IFERROR(__xludf.DUMMYFUNCTION("""COMPUTED_VALUE"""),"gpc_programas_empleo_pib")</f>
        <v>gpc_programas_empleo_pib</v>
      </c>
      <c r="C385" s="6">
        <f>IFERROR(__xludf.DUMMYFUNCTION("""COMPUTED_VALUE"""),0.0261046134765201)</f>
        <v>0.02610461348</v>
      </c>
    </row>
    <row r="386">
      <c r="A386" s="5">
        <f>IFERROR(__xludf.DUMMYFUNCTION("""COMPUTED_VALUE"""),33239.0)</f>
        <v>33239</v>
      </c>
      <c r="B386" s="6" t="str">
        <f>IFERROR(__xludf.DUMMYFUNCTION("""COMPUTED_VALUE"""),"gpc_asignaciones_familiares_pib")</f>
        <v>gpc_asignaciones_familiares_pib</v>
      </c>
      <c r="C386" s="6">
        <f>IFERROR(__xludf.DUMMYFUNCTION("""COMPUTED_VALUE"""),0.661211416469115)</f>
        <v>0.6612114165</v>
      </c>
    </row>
    <row r="387">
      <c r="A387" s="5">
        <f>IFERROR(__xludf.DUMMYFUNCTION("""COMPUTED_VALUE"""),33239.0)</f>
        <v>33239</v>
      </c>
      <c r="B387" s="6" t="str">
        <f>IFERROR(__xludf.DUMMYFUNCTION("""COMPUTED_VALUE"""),"gpc_otros_servicios_urbanos_pib")</f>
        <v>gpc_otros_servicios_urbanos_pib</v>
      </c>
      <c r="C387" s="6">
        <f>IFERROR(__xludf.DUMMYFUNCTION("""COMPUTED_VALUE"""),0.918132401994427)</f>
        <v>0.918132402</v>
      </c>
    </row>
    <row r="388">
      <c r="A388" s="5">
        <f>IFERROR(__xludf.DUMMYFUNCTION("""COMPUTED_VALUE"""),33239.0)</f>
        <v>33239</v>
      </c>
      <c r="B388" s="6" t="str">
        <f>IFERROR(__xludf.DUMMYFUNCTION("""COMPUTED_VALUE"""),"gpc_servicios_economicos_pib")</f>
        <v>gpc_servicios_economicos_pib</v>
      </c>
      <c r="C388" s="6">
        <f>IFERROR(__xludf.DUMMYFUNCTION("""COMPUTED_VALUE"""),3.63408915252208)</f>
        <v>3.634089153</v>
      </c>
    </row>
    <row r="389">
      <c r="A389" s="5">
        <f>IFERROR(__xludf.DUMMYFUNCTION("""COMPUTED_VALUE"""),33239.0)</f>
        <v>33239</v>
      </c>
      <c r="B389" s="6" t="str">
        <f>IFERROR(__xludf.DUMMYFUNCTION("""COMPUTED_VALUE"""),"gpc_produccion_primaria_pib")</f>
        <v>gpc_produccion_primaria_pib</v>
      </c>
      <c r="C389" s="6">
        <f>IFERROR(__xludf.DUMMYFUNCTION("""COMPUTED_VALUE"""),0.276441059002039)</f>
        <v>0.276441059</v>
      </c>
    </row>
    <row r="390">
      <c r="A390" s="5">
        <f>IFERROR(__xludf.DUMMYFUNCTION("""COMPUTED_VALUE"""),33239.0)</f>
        <v>33239</v>
      </c>
      <c r="B390" s="6" t="str">
        <f>IFERROR(__xludf.DUMMYFUNCTION("""COMPUTED_VALUE"""),"gpc_energia_combustible_pib")</f>
        <v>gpc_energia_combustible_pib</v>
      </c>
      <c r="C390" s="6">
        <f>IFERROR(__xludf.DUMMYFUNCTION("""COMPUTED_VALUE"""),1.40517820334017)</f>
        <v>1.405178203</v>
      </c>
    </row>
    <row r="391">
      <c r="A391" s="5">
        <f>IFERROR(__xludf.DUMMYFUNCTION("""COMPUTED_VALUE"""),33239.0)</f>
        <v>33239</v>
      </c>
      <c r="B391" s="6" t="str">
        <f>IFERROR(__xludf.DUMMYFUNCTION("""COMPUTED_VALUE"""),"gpc_industria_pib")</f>
        <v>gpc_industria_pib</v>
      </c>
      <c r="C391" s="6">
        <f>IFERROR(__xludf.DUMMYFUNCTION("""COMPUTED_VALUE"""),0.168321500394567)</f>
        <v>0.1683215004</v>
      </c>
    </row>
    <row r="392">
      <c r="A392" s="5">
        <f>IFERROR(__xludf.DUMMYFUNCTION("""COMPUTED_VALUE"""),33239.0)</f>
        <v>33239</v>
      </c>
      <c r="B392" s="6" t="str">
        <f>IFERROR(__xludf.DUMMYFUNCTION("""COMPUTED_VALUE"""),"gpc_transporte_pib")</f>
        <v>gpc_transporte_pib</v>
      </c>
      <c r="C392" s="6">
        <f>IFERROR(__xludf.DUMMYFUNCTION("""COMPUTED_VALUE"""),0.96024315434841)</f>
        <v>0.9602431543</v>
      </c>
    </row>
    <row r="393">
      <c r="A393" s="5">
        <f>IFERROR(__xludf.DUMMYFUNCTION("""COMPUTED_VALUE"""),33239.0)</f>
        <v>33239</v>
      </c>
      <c r="B393" s="6" t="str">
        <f>IFERROR(__xludf.DUMMYFUNCTION("""COMPUTED_VALUE"""),"gpc_comunicaciones_pib")</f>
        <v>gpc_comunicaciones_pib</v>
      </c>
      <c r="C393" s="6">
        <f>IFERROR(__xludf.DUMMYFUNCTION("""COMPUTED_VALUE"""),0.0277234104684625)</f>
        <v>0.02772341047</v>
      </c>
    </row>
    <row r="394">
      <c r="A394" s="5">
        <f>IFERROR(__xludf.DUMMYFUNCTION("""COMPUTED_VALUE"""),33239.0)</f>
        <v>33239</v>
      </c>
      <c r="B394" s="6" t="str">
        <f>IFERROR(__xludf.DUMMYFUNCTION("""COMPUTED_VALUE"""),"gpc_otros_servicios_economicos_pib")</f>
        <v>gpc_otros_servicios_economicos_pib</v>
      </c>
      <c r="C394" s="6">
        <f>IFERROR(__xludf.DUMMYFUNCTION("""COMPUTED_VALUE"""),0.79618182496843)</f>
        <v>0.796181825</v>
      </c>
    </row>
    <row r="395">
      <c r="A395" s="5">
        <f>IFERROR(__xludf.DUMMYFUNCTION("""COMPUTED_VALUE"""),33239.0)</f>
        <v>33239</v>
      </c>
      <c r="B395" s="6" t="str">
        <f>IFERROR(__xludf.DUMMYFUNCTION("""COMPUTED_VALUE"""),"gpc_servicios_deuda_publica_pib")</f>
        <v>gpc_servicios_deuda_publica_pib</v>
      </c>
      <c r="C395" s="6">
        <f>IFERROR(__xludf.DUMMYFUNCTION("""COMPUTED_VALUE"""),1.99195723353628)</f>
        <v>1.991957234</v>
      </c>
    </row>
    <row r="396">
      <c r="A396" s="5">
        <f>IFERROR(__xludf.DUMMYFUNCTION("""COMPUTED_VALUE"""),33239.0)</f>
        <v>33239</v>
      </c>
      <c r="B396" s="6"/>
      <c r="C396" s="6"/>
    </row>
    <row r="397">
      <c r="A397" s="5">
        <f>IFERROR(__xludf.DUMMYFUNCTION("""COMPUTED_VALUE"""),33239.0)</f>
        <v>33239</v>
      </c>
      <c r="B397" s="6"/>
      <c r="C397" s="6"/>
    </row>
    <row r="398">
      <c r="A398" s="5">
        <f>IFERROR(__xludf.DUMMYFUNCTION("""COMPUTED_VALUE"""),33604.0)</f>
        <v>33604</v>
      </c>
      <c r="B398" s="6" t="str">
        <f>IFERROR(__xludf.DUMMYFUNCTION("""COMPUTED_VALUE"""),"gpc_pib")</f>
        <v>gpc_pib</v>
      </c>
      <c r="C398" s="6">
        <f>IFERROR(__xludf.DUMMYFUNCTION("""COMPUTED_VALUE"""),31.4928070518152)</f>
        <v>31.49280705</v>
      </c>
    </row>
    <row r="399">
      <c r="A399" s="5">
        <f>IFERROR(__xludf.DUMMYFUNCTION("""COMPUTED_VALUE"""),33604.0)</f>
        <v>33604</v>
      </c>
      <c r="B399" s="6" t="str">
        <f>IFERROR(__xludf.DUMMYFUNCTION("""COMPUTED_VALUE"""),"gpc_funcionamiento_estado_pib")</f>
        <v>gpc_funcionamiento_estado_pib</v>
      </c>
      <c r="C399" s="6">
        <f>IFERROR(__xludf.DUMMYFUNCTION("""COMPUTED_VALUE"""),6.08167229958081)</f>
        <v>6.0816723</v>
      </c>
    </row>
    <row r="400">
      <c r="A400" s="5">
        <f>IFERROR(__xludf.DUMMYFUNCTION("""COMPUTED_VALUE"""),33604.0)</f>
        <v>33604</v>
      </c>
      <c r="B400" s="6" t="str">
        <f>IFERROR(__xludf.DUMMYFUNCTION("""COMPUTED_VALUE"""),"gpc_administracion_general_pib")</f>
        <v>gpc_administracion_general_pib</v>
      </c>
      <c r="C400" s="6">
        <f>IFERROR(__xludf.DUMMYFUNCTION("""COMPUTED_VALUE"""),3.13504839280203)</f>
        <v>3.135048393</v>
      </c>
    </row>
    <row r="401">
      <c r="A401" s="5">
        <f>IFERROR(__xludf.DUMMYFUNCTION("""COMPUTED_VALUE"""),33604.0)</f>
        <v>33604</v>
      </c>
      <c r="B401" s="6" t="str">
        <f>IFERROR(__xludf.DUMMYFUNCTION("""COMPUTED_VALUE"""),"gpc_justicia_pib")</f>
        <v>gpc_justicia_pib</v>
      </c>
      <c r="C401" s="6">
        <f>IFERROR(__xludf.DUMMYFUNCTION("""COMPUTED_VALUE"""),0.655384338318819)</f>
        <v>0.6553843383</v>
      </c>
    </row>
    <row r="402">
      <c r="A402" s="5">
        <f>IFERROR(__xludf.DUMMYFUNCTION("""COMPUTED_VALUE"""),33604.0)</f>
        <v>33604</v>
      </c>
      <c r="B402" s="6" t="str">
        <f>IFERROR(__xludf.DUMMYFUNCTION("""COMPUTED_VALUE"""),"gpc_defensa_seguridad_pib")</f>
        <v>gpc_defensa_seguridad_pib</v>
      </c>
      <c r="C402" s="6">
        <f>IFERROR(__xludf.DUMMYFUNCTION("""COMPUTED_VALUE"""),2.29123956845996)</f>
        <v>2.291239568</v>
      </c>
    </row>
    <row r="403">
      <c r="A403" s="5">
        <f>IFERROR(__xludf.DUMMYFUNCTION("""COMPUTED_VALUE"""),33604.0)</f>
        <v>33604</v>
      </c>
      <c r="B403" s="6" t="str">
        <f>IFERROR(__xludf.DUMMYFUNCTION("""COMPUTED_VALUE"""),"gpc_servicios_sociales_pib")</f>
        <v>gpc_servicios_sociales_pib</v>
      </c>
      <c r="C403" s="6">
        <f>IFERROR(__xludf.DUMMYFUNCTION("""COMPUTED_VALUE"""),19.8071099050701)</f>
        <v>19.80710991</v>
      </c>
    </row>
    <row r="404">
      <c r="A404" s="5">
        <f>IFERROR(__xludf.DUMMYFUNCTION("""COMPUTED_VALUE"""),33604.0)</f>
        <v>33604</v>
      </c>
      <c r="B404" s="6" t="str">
        <f>IFERROR(__xludf.DUMMYFUNCTION("""COMPUTED_VALUE"""),"gpc_educacion_basica_pib")</f>
        <v>gpc_educacion_basica_pib</v>
      </c>
      <c r="C404" s="6">
        <f>IFERROR(__xludf.DUMMYFUNCTION("""COMPUTED_VALUE"""),2.53441446271827)</f>
        <v>2.534414463</v>
      </c>
    </row>
    <row r="405">
      <c r="A405" s="5">
        <f>IFERROR(__xludf.DUMMYFUNCTION("""COMPUTED_VALUE"""),33604.0)</f>
        <v>33604</v>
      </c>
      <c r="B405" s="6" t="str">
        <f>IFERROR(__xludf.DUMMYFUNCTION("""COMPUTED_VALUE"""),"gpc_educacion_universitaria_pib")</f>
        <v>gpc_educacion_universitaria_pib</v>
      </c>
      <c r="C405" s="6">
        <f>IFERROR(__xludf.DUMMYFUNCTION("""COMPUTED_VALUE"""),0.629605024058444)</f>
        <v>0.6296050241</v>
      </c>
    </row>
    <row r="406">
      <c r="A406" s="5">
        <f>IFERROR(__xludf.DUMMYFUNCTION("""COMPUTED_VALUE"""),33604.0)</f>
        <v>33604</v>
      </c>
      <c r="B406" s="6" t="str">
        <f>IFERROR(__xludf.DUMMYFUNCTION("""COMPUTED_VALUE"""),"gpc_ciencia_tecnica_pib")</f>
        <v>gpc_ciencia_tecnica_pib</v>
      </c>
      <c r="C406" s="6">
        <f>IFERROR(__xludf.DUMMYFUNCTION("""COMPUTED_VALUE"""),0.200412438611681)</f>
        <v>0.2004124386</v>
      </c>
    </row>
    <row r="407">
      <c r="A407" s="5">
        <f>IFERROR(__xludf.DUMMYFUNCTION("""COMPUTED_VALUE"""),33604.0)</f>
        <v>33604</v>
      </c>
      <c r="B407" s="6" t="str">
        <f>IFERROR(__xludf.DUMMYFUNCTION("""COMPUTED_VALUE"""),"gpc_cultura_pib")</f>
        <v>gpc_cultura_pib</v>
      </c>
      <c r="C407" s="6">
        <f>IFERROR(__xludf.DUMMYFUNCTION("""COMPUTED_VALUE"""),0.0734376566490496)</f>
        <v>0.07343765665</v>
      </c>
    </row>
    <row r="408">
      <c r="A408" s="5">
        <f>IFERROR(__xludf.DUMMYFUNCTION("""COMPUTED_VALUE"""),33604.0)</f>
        <v>33604</v>
      </c>
      <c r="B408" s="6" t="str">
        <f>IFERROR(__xludf.DUMMYFUNCTION("""COMPUTED_VALUE"""),"gpc_educacion_cultura_sin_discriminar_pib")</f>
        <v>gpc_educacion_cultura_sin_discriminar_pib</v>
      </c>
      <c r="C408" s="6">
        <f>IFERROR(__xludf.DUMMYFUNCTION("""COMPUTED_VALUE"""),0.369643386171403)</f>
        <v>0.3696433862</v>
      </c>
    </row>
    <row r="409">
      <c r="A409" s="5">
        <f>IFERROR(__xludf.DUMMYFUNCTION("""COMPUTED_VALUE"""),33604.0)</f>
        <v>33604</v>
      </c>
      <c r="B409" s="6" t="str">
        <f>IFERROR(__xludf.DUMMYFUNCTION("""COMPUTED_VALUE"""),"gpc_atencion_salud_pib")</f>
        <v>gpc_atencion_salud_pib</v>
      </c>
      <c r="C409" s="6">
        <f>IFERROR(__xludf.DUMMYFUNCTION("""COMPUTED_VALUE"""),1.7502243619693)</f>
        <v>1.750224362</v>
      </c>
    </row>
    <row r="410">
      <c r="A410" s="5">
        <f>IFERROR(__xludf.DUMMYFUNCTION("""COMPUTED_VALUE"""),33604.0)</f>
        <v>33604</v>
      </c>
      <c r="B410" s="6" t="str">
        <f>IFERROR(__xludf.DUMMYFUNCTION("""COMPUTED_VALUE"""),"gpc_obras_sociales_salud_pib")</f>
        <v>gpc_obras_sociales_salud_pib</v>
      </c>
      <c r="C410" s="6">
        <f>IFERROR(__xludf.DUMMYFUNCTION("""COMPUTED_VALUE"""),1.90126095229842)</f>
        <v>1.901260952</v>
      </c>
    </row>
    <row r="411">
      <c r="A411" s="5">
        <f>IFERROR(__xludf.DUMMYFUNCTION("""COMPUTED_VALUE"""),33604.0)</f>
        <v>33604</v>
      </c>
      <c r="B411" s="6" t="str">
        <f>IFERROR(__xludf.DUMMYFUNCTION("""COMPUTED_VALUE"""),"gpc_inssjyp_salud_pib")</f>
        <v>gpc_inssjyp_salud_pib</v>
      </c>
      <c r="C411" s="6">
        <f>IFERROR(__xludf.DUMMYFUNCTION("""COMPUTED_VALUE"""),0.812738501075292)</f>
        <v>0.8127385011</v>
      </c>
    </row>
    <row r="412">
      <c r="A412" s="5">
        <f>IFERROR(__xludf.DUMMYFUNCTION("""COMPUTED_VALUE"""),33604.0)</f>
        <v>33604</v>
      </c>
      <c r="B412" s="6" t="str">
        <f>IFERROR(__xludf.DUMMYFUNCTION("""COMPUTED_VALUE"""),"gpc_agua_alcantarillado_pib")</f>
        <v>gpc_agua_alcantarillado_pib</v>
      </c>
      <c r="C412" s="6">
        <f>IFERROR(__xludf.DUMMYFUNCTION("""COMPUTED_VALUE"""),0.13906219113564)</f>
        <v>0.1390621911</v>
      </c>
    </row>
    <row r="413">
      <c r="A413" s="5">
        <f>IFERROR(__xludf.DUMMYFUNCTION("""COMPUTED_VALUE"""),33604.0)</f>
        <v>33604</v>
      </c>
      <c r="B413" s="6" t="str">
        <f>IFERROR(__xludf.DUMMYFUNCTION("""COMPUTED_VALUE"""),"gpc_vivienda_urbanismo_pib")</f>
        <v>gpc_vivienda_urbanismo_pib</v>
      </c>
      <c r="C413" s="6">
        <f>IFERROR(__xludf.DUMMYFUNCTION("""COMPUTED_VALUE"""),0.456097459366779)</f>
        <v>0.4560974594</v>
      </c>
    </row>
    <row r="414">
      <c r="A414" s="5">
        <f>IFERROR(__xludf.DUMMYFUNCTION("""COMPUTED_VALUE"""),33604.0)</f>
        <v>33604</v>
      </c>
      <c r="B414" s="6" t="str">
        <f>IFERROR(__xludf.DUMMYFUNCTION("""COMPUTED_VALUE"""),"gpc_promocion_asistencia_social_pib")</f>
        <v>gpc_promocion_asistencia_social_pib</v>
      </c>
      <c r="C414" s="6">
        <f>IFERROR(__xludf.DUMMYFUNCTION("""COMPUTED_VALUE"""),0.690783089725017)</f>
        <v>0.6907830897</v>
      </c>
    </row>
    <row r="415">
      <c r="A415" s="5">
        <f>IFERROR(__xludf.DUMMYFUNCTION("""COMPUTED_VALUE"""),33604.0)</f>
        <v>33604</v>
      </c>
      <c r="B415" s="6" t="str">
        <f>IFERROR(__xludf.DUMMYFUNCTION("""COMPUTED_VALUE"""),"gpc_obras_sociales_prestaciones_pib")</f>
        <v>gpc_obras_sociales_prestaciones_pib</v>
      </c>
      <c r="C415" s="6">
        <f>IFERROR(__xludf.DUMMYFUNCTION("""COMPUTED_VALUE"""),0.167466422711161)</f>
        <v>0.1674664227</v>
      </c>
    </row>
    <row r="416">
      <c r="A416" s="5">
        <f>IFERROR(__xludf.DUMMYFUNCTION("""COMPUTED_VALUE"""),33604.0)</f>
        <v>33604</v>
      </c>
      <c r="B416" s="6" t="str">
        <f>IFERROR(__xludf.DUMMYFUNCTION("""COMPUTED_VALUE"""),"gpc_inssjyp_prestaciones_pib")</f>
        <v>gpc_inssjyp_prestaciones_pib</v>
      </c>
      <c r="C416" s="6">
        <f>IFERROR(__xludf.DUMMYFUNCTION("""COMPUTED_VALUE"""),0.0611738656723338)</f>
        <v>0.06117386567</v>
      </c>
    </row>
    <row r="417">
      <c r="A417" s="5">
        <f>IFERROR(__xludf.DUMMYFUNCTION("""COMPUTED_VALUE"""),33604.0)</f>
        <v>33604</v>
      </c>
      <c r="B417" s="6" t="str">
        <f>IFERROR(__xludf.DUMMYFUNCTION("""COMPUTED_VALUE"""),"gpc_prevision_social_pib")</f>
        <v>gpc_prevision_social_pib</v>
      </c>
      <c r="C417" s="6">
        <f>IFERROR(__xludf.DUMMYFUNCTION("""COMPUTED_VALUE"""),8.45156745746069)</f>
        <v>8.451567457</v>
      </c>
    </row>
    <row r="418">
      <c r="A418" s="5">
        <f>IFERROR(__xludf.DUMMYFUNCTION("""COMPUTED_VALUE"""),33604.0)</f>
        <v>33604</v>
      </c>
      <c r="B418" s="6" t="str">
        <f>IFERROR(__xludf.DUMMYFUNCTION("""COMPUTED_VALUE"""),"gpc_programas_empleo_pib")</f>
        <v>gpc_programas_empleo_pib</v>
      </c>
      <c r="C418" s="6">
        <f>IFERROR(__xludf.DUMMYFUNCTION("""COMPUTED_VALUE"""),0.036541277730537)</f>
        <v>0.03654127773</v>
      </c>
    </row>
    <row r="419">
      <c r="A419" s="5">
        <f>IFERROR(__xludf.DUMMYFUNCTION("""COMPUTED_VALUE"""),33604.0)</f>
        <v>33604</v>
      </c>
      <c r="B419" s="6" t="str">
        <f>IFERROR(__xludf.DUMMYFUNCTION("""COMPUTED_VALUE"""),"gpc_asignaciones_familiares_pib")</f>
        <v>gpc_asignaciones_familiares_pib</v>
      </c>
      <c r="C419" s="6">
        <f>IFERROR(__xludf.DUMMYFUNCTION("""COMPUTED_VALUE"""),0.592721106562868)</f>
        <v>0.5927211066</v>
      </c>
    </row>
    <row r="420">
      <c r="A420" s="5">
        <f>IFERROR(__xludf.DUMMYFUNCTION("""COMPUTED_VALUE"""),33604.0)</f>
        <v>33604</v>
      </c>
      <c r="B420" s="6" t="str">
        <f>IFERROR(__xludf.DUMMYFUNCTION("""COMPUTED_VALUE"""),"gpc_otros_servicios_urbanos_pib")</f>
        <v>gpc_otros_servicios_urbanos_pib</v>
      </c>
      <c r="C420" s="6">
        <f>IFERROR(__xludf.DUMMYFUNCTION("""COMPUTED_VALUE"""),0.93996025115321)</f>
        <v>0.9399602512</v>
      </c>
    </row>
    <row r="421">
      <c r="A421" s="5">
        <f>IFERROR(__xludf.DUMMYFUNCTION("""COMPUTED_VALUE"""),33604.0)</f>
        <v>33604</v>
      </c>
      <c r="B421" s="6" t="str">
        <f>IFERROR(__xludf.DUMMYFUNCTION("""COMPUTED_VALUE"""),"gpc_servicios_economicos_pib")</f>
        <v>gpc_servicios_economicos_pib</v>
      </c>
      <c r="C421" s="6">
        <f>IFERROR(__xludf.DUMMYFUNCTION("""COMPUTED_VALUE"""),3.09734517109038)</f>
        <v>3.097345171</v>
      </c>
    </row>
    <row r="422">
      <c r="A422" s="5">
        <f>IFERROR(__xludf.DUMMYFUNCTION("""COMPUTED_VALUE"""),33604.0)</f>
        <v>33604</v>
      </c>
      <c r="B422" s="6" t="str">
        <f>IFERROR(__xludf.DUMMYFUNCTION("""COMPUTED_VALUE"""),"gpc_produccion_primaria_pib")</f>
        <v>gpc_produccion_primaria_pib</v>
      </c>
      <c r="C422" s="6">
        <f>IFERROR(__xludf.DUMMYFUNCTION("""COMPUTED_VALUE"""),0.225215040781929)</f>
        <v>0.2252150408</v>
      </c>
    </row>
    <row r="423">
      <c r="A423" s="5">
        <f>IFERROR(__xludf.DUMMYFUNCTION("""COMPUTED_VALUE"""),33604.0)</f>
        <v>33604</v>
      </c>
      <c r="B423" s="6" t="str">
        <f>IFERROR(__xludf.DUMMYFUNCTION("""COMPUTED_VALUE"""),"gpc_energia_combustible_pib")</f>
        <v>gpc_energia_combustible_pib</v>
      </c>
      <c r="C423" s="6">
        <f>IFERROR(__xludf.DUMMYFUNCTION("""COMPUTED_VALUE"""),1.31669092432226)</f>
        <v>1.316690924</v>
      </c>
    </row>
    <row r="424">
      <c r="A424" s="5">
        <f>IFERROR(__xludf.DUMMYFUNCTION("""COMPUTED_VALUE"""),33604.0)</f>
        <v>33604</v>
      </c>
      <c r="B424" s="6" t="str">
        <f>IFERROR(__xludf.DUMMYFUNCTION("""COMPUTED_VALUE"""),"gpc_industria_pib")</f>
        <v>gpc_industria_pib</v>
      </c>
      <c r="C424" s="6">
        <f>IFERROR(__xludf.DUMMYFUNCTION("""COMPUTED_VALUE"""),0.125894862068568)</f>
        <v>0.1258948621</v>
      </c>
    </row>
    <row r="425">
      <c r="A425" s="5">
        <f>IFERROR(__xludf.DUMMYFUNCTION("""COMPUTED_VALUE"""),33604.0)</f>
        <v>33604</v>
      </c>
      <c r="B425" s="6" t="str">
        <f>IFERROR(__xludf.DUMMYFUNCTION("""COMPUTED_VALUE"""),"gpc_transporte_pib")</f>
        <v>gpc_transporte_pib</v>
      </c>
      <c r="C425" s="6">
        <f>IFERROR(__xludf.DUMMYFUNCTION("""COMPUTED_VALUE"""),0.952238229357538)</f>
        <v>0.9522382294</v>
      </c>
    </row>
    <row r="426">
      <c r="A426" s="5">
        <f>IFERROR(__xludf.DUMMYFUNCTION("""COMPUTED_VALUE"""),33604.0)</f>
        <v>33604</v>
      </c>
      <c r="B426" s="6" t="str">
        <f>IFERROR(__xludf.DUMMYFUNCTION("""COMPUTED_VALUE"""),"gpc_comunicaciones_pib")</f>
        <v>gpc_comunicaciones_pib</v>
      </c>
      <c r="C426" s="6">
        <f>IFERROR(__xludf.DUMMYFUNCTION("""COMPUTED_VALUE"""),0.0455245286479072)</f>
        <v>0.04552452865</v>
      </c>
    </row>
    <row r="427">
      <c r="A427" s="5">
        <f>IFERROR(__xludf.DUMMYFUNCTION("""COMPUTED_VALUE"""),33604.0)</f>
        <v>33604</v>
      </c>
      <c r="B427" s="6" t="str">
        <f>IFERROR(__xludf.DUMMYFUNCTION("""COMPUTED_VALUE"""),"gpc_otros_servicios_economicos_pib")</f>
        <v>gpc_otros_servicios_economicos_pib</v>
      </c>
      <c r="C427" s="6">
        <f>IFERROR(__xludf.DUMMYFUNCTION("""COMPUTED_VALUE"""),0.431781585912173)</f>
        <v>0.4317815859</v>
      </c>
    </row>
    <row r="428">
      <c r="A428" s="5">
        <f>IFERROR(__xludf.DUMMYFUNCTION("""COMPUTED_VALUE"""),33604.0)</f>
        <v>33604</v>
      </c>
      <c r="B428" s="6" t="str">
        <f>IFERROR(__xludf.DUMMYFUNCTION("""COMPUTED_VALUE"""),"gpc_servicios_deuda_publica_pib")</f>
        <v>gpc_servicios_deuda_publica_pib</v>
      </c>
      <c r="C428" s="6">
        <f>IFERROR(__xludf.DUMMYFUNCTION("""COMPUTED_VALUE"""),2.50667967607389)</f>
        <v>2.506679676</v>
      </c>
    </row>
    <row r="429">
      <c r="A429" s="5">
        <f>IFERROR(__xludf.DUMMYFUNCTION("""COMPUTED_VALUE"""),33604.0)</f>
        <v>33604</v>
      </c>
      <c r="B429" s="6"/>
      <c r="C429" s="6"/>
    </row>
    <row r="430">
      <c r="A430" s="5">
        <f>IFERROR(__xludf.DUMMYFUNCTION("""COMPUTED_VALUE"""),33604.0)</f>
        <v>33604</v>
      </c>
      <c r="B430" s="6"/>
      <c r="C430" s="6"/>
    </row>
    <row r="431">
      <c r="A431" s="5">
        <f>IFERROR(__xludf.DUMMYFUNCTION("""COMPUTED_VALUE"""),33970.0)</f>
        <v>33970</v>
      </c>
      <c r="B431" s="6" t="str">
        <f>IFERROR(__xludf.DUMMYFUNCTION("""COMPUTED_VALUE"""),"gpc_pib")</f>
        <v>gpc_pib</v>
      </c>
      <c r="C431" s="6">
        <f>IFERROR(__xludf.DUMMYFUNCTION("""COMPUTED_VALUE"""),31.7125590778916)</f>
        <v>31.71255908</v>
      </c>
    </row>
    <row r="432">
      <c r="A432" s="5">
        <f>IFERROR(__xludf.DUMMYFUNCTION("""COMPUTED_VALUE"""),33970.0)</f>
        <v>33970</v>
      </c>
      <c r="B432" s="6" t="str">
        <f>IFERROR(__xludf.DUMMYFUNCTION("""COMPUTED_VALUE"""),"gpc_funcionamiento_estado_pib")</f>
        <v>gpc_funcionamiento_estado_pib</v>
      </c>
      <c r="C432" s="6">
        <f>IFERROR(__xludf.DUMMYFUNCTION("""COMPUTED_VALUE"""),6.17689259388084)</f>
        <v>6.176892594</v>
      </c>
    </row>
    <row r="433">
      <c r="A433" s="5">
        <f>IFERROR(__xludf.DUMMYFUNCTION("""COMPUTED_VALUE"""),33970.0)</f>
        <v>33970</v>
      </c>
      <c r="B433" s="6" t="str">
        <f>IFERROR(__xludf.DUMMYFUNCTION("""COMPUTED_VALUE"""),"gpc_administracion_general_pib")</f>
        <v>gpc_administracion_general_pib</v>
      </c>
      <c r="C433" s="6">
        <f>IFERROR(__xludf.DUMMYFUNCTION("""COMPUTED_VALUE"""),3.16597343099633)</f>
        <v>3.165973431</v>
      </c>
    </row>
    <row r="434">
      <c r="A434" s="5">
        <f>IFERROR(__xludf.DUMMYFUNCTION("""COMPUTED_VALUE"""),33970.0)</f>
        <v>33970</v>
      </c>
      <c r="B434" s="6" t="str">
        <f>IFERROR(__xludf.DUMMYFUNCTION("""COMPUTED_VALUE"""),"gpc_justicia_pib")</f>
        <v>gpc_justicia_pib</v>
      </c>
      <c r="C434" s="6">
        <f>IFERROR(__xludf.DUMMYFUNCTION("""COMPUTED_VALUE"""),0.707114546920796)</f>
        <v>0.7071145469</v>
      </c>
    </row>
    <row r="435">
      <c r="A435" s="5">
        <f>IFERROR(__xludf.DUMMYFUNCTION("""COMPUTED_VALUE"""),33970.0)</f>
        <v>33970</v>
      </c>
      <c r="B435" s="6" t="str">
        <f>IFERROR(__xludf.DUMMYFUNCTION("""COMPUTED_VALUE"""),"gpc_defensa_seguridad_pib")</f>
        <v>gpc_defensa_seguridad_pib</v>
      </c>
      <c r="C435" s="6">
        <f>IFERROR(__xludf.DUMMYFUNCTION("""COMPUTED_VALUE"""),2.30380461596371)</f>
        <v>2.303804616</v>
      </c>
    </row>
    <row r="436">
      <c r="A436" s="5">
        <f>IFERROR(__xludf.DUMMYFUNCTION("""COMPUTED_VALUE"""),33970.0)</f>
        <v>33970</v>
      </c>
      <c r="B436" s="6" t="str">
        <f>IFERROR(__xludf.DUMMYFUNCTION("""COMPUTED_VALUE"""),"gpc_servicios_sociales_pib")</f>
        <v>gpc_servicios_sociales_pib</v>
      </c>
      <c r="C436" s="6">
        <f>IFERROR(__xludf.DUMMYFUNCTION("""COMPUTED_VALUE"""),20.2876374854089)</f>
        <v>20.28763749</v>
      </c>
    </row>
    <row r="437">
      <c r="A437" s="5">
        <f>IFERROR(__xludf.DUMMYFUNCTION("""COMPUTED_VALUE"""),33970.0)</f>
        <v>33970</v>
      </c>
      <c r="B437" s="6" t="str">
        <f>IFERROR(__xludf.DUMMYFUNCTION("""COMPUTED_VALUE"""),"gpc_educacion_basica_pib")</f>
        <v>gpc_educacion_basica_pib</v>
      </c>
      <c r="C437" s="6">
        <f>IFERROR(__xludf.DUMMYFUNCTION("""COMPUTED_VALUE"""),2.73255268880991)</f>
        <v>2.732552689</v>
      </c>
    </row>
    <row r="438">
      <c r="A438" s="5">
        <f>IFERROR(__xludf.DUMMYFUNCTION("""COMPUTED_VALUE"""),33970.0)</f>
        <v>33970</v>
      </c>
      <c r="B438" s="6" t="str">
        <f>IFERROR(__xludf.DUMMYFUNCTION("""COMPUTED_VALUE"""),"gpc_educacion_universitaria_pib")</f>
        <v>gpc_educacion_universitaria_pib</v>
      </c>
      <c r="C438" s="6">
        <f>IFERROR(__xludf.DUMMYFUNCTION("""COMPUTED_VALUE"""),0.711439135086646)</f>
        <v>0.7114391351</v>
      </c>
    </row>
    <row r="439">
      <c r="A439" s="5">
        <f>IFERROR(__xludf.DUMMYFUNCTION("""COMPUTED_VALUE"""),33970.0)</f>
        <v>33970</v>
      </c>
      <c r="B439" s="6" t="str">
        <f>IFERROR(__xludf.DUMMYFUNCTION("""COMPUTED_VALUE"""),"gpc_ciencia_tecnica_pib")</f>
        <v>gpc_ciencia_tecnica_pib</v>
      </c>
      <c r="C439" s="6">
        <f>IFERROR(__xludf.DUMMYFUNCTION("""COMPUTED_VALUE"""),0.219151962334486)</f>
        <v>0.2191519623</v>
      </c>
    </row>
    <row r="440">
      <c r="A440" s="5">
        <f>IFERROR(__xludf.DUMMYFUNCTION("""COMPUTED_VALUE"""),33970.0)</f>
        <v>33970</v>
      </c>
      <c r="B440" s="6" t="str">
        <f>IFERROR(__xludf.DUMMYFUNCTION("""COMPUTED_VALUE"""),"gpc_cultura_pib")</f>
        <v>gpc_cultura_pib</v>
      </c>
      <c r="C440" s="6">
        <f>IFERROR(__xludf.DUMMYFUNCTION("""COMPUTED_VALUE"""),0.0932472891264014)</f>
        <v>0.09324728913</v>
      </c>
    </row>
    <row r="441">
      <c r="A441" s="5">
        <f>IFERROR(__xludf.DUMMYFUNCTION("""COMPUTED_VALUE"""),33970.0)</f>
        <v>33970</v>
      </c>
      <c r="B441" s="6" t="str">
        <f>IFERROR(__xludf.DUMMYFUNCTION("""COMPUTED_VALUE"""),"gpc_educacion_cultura_sin_discriminar_pib")</f>
        <v>gpc_educacion_cultura_sin_discriminar_pib</v>
      </c>
      <c r="C441" s="6">
        <f>IFERROR(__xludf.DUMMYFUNCTION("""COMPUTED_VALUE"""),0.331254655030411)</f>
        <v>0.331254655</v>
      </c>
    </row>
    <row r="442">
      <c r="A442" s="5">
        <f>IFERROR(__xludf.DUMMYFUNCTION("""COMPUTED_VALUE"""),33970.0)</f>
        <v>33970</v>
      </c>
      <c r="B442" s="6" t="str">
        <f>IFERROR(__xludf.DUMMYFUNCTION("""COMPUTED_VALUE"""),"gpc_atencion_salud_pib")</f>
        <v>gpc_atencion_salud_pib</v>
      </c>
      <c r="C442" s="6">
        <f>IFERROR(__xludf.DUMMYFUNCTION("""COMPUTED_VALUE"""),1.84015665976705)</f>
        <v>1.84015666</v>
      </c>
    </row>
    <row r="443">
      <c r="A443" s="5">
        <f>IFERROR(__xludf.DUMMYFUNCTION("""COMPUTED_VALUE"""),33970.0)</f>
        <v>33970</v>
      </c>
      <c r="B443" s="6" t="str">
        <f>IFERROR(__xludf.DUMMYFUNCTION("""COMPUTED_VALUE"""),"gpc_obras_sociales_salud_pib")</f>
        <v>gpc_obras_sociales_salud_pib</v>
      </c>
      <c r="C443" s="6">
        <f>IFERROR(__xludf.DUMMYFUNCTION("""COMPUTED_VALUE"""),1.97416028583248)</f>
        <v>1.974160286</v>
      </c>
    </row>
    <row r="444">
      <c r="A444" s="5">
        <f>IFERROR(__xludf.DUMMYFUNCTION("""COMPUTED_VALUE"""),33970.0)</f>
        <v>33970</v>
      </c>
      <c r="B444" s="6" t="str">
        <f>IFERROR(__xludf.DUMMYFUNCTION("""COMPUTED_VALUE"""),"gpc_inssjyp_salud_pib")</f>
        <v>gpc_inssjyp_salud_pib</v>
      </c>
      <c r="C444" s="6">
        <f>IFERROR(__xludf.DUMMYFUNCTION("""COMPUTED_VALUE"""),0.822244840205619)</f>
        <v>0.8222448402</v>
      </c>
    </row>
    <row r="445">
      <c r="A445" s="5">
        <f>IFERROR(__xludf.DUMMYFUNCTION("""COMPUTED_VALUE"""),33970.0)</f>
        <v>33970</v>
      </c>
      <c r="B445" s="6" t="str">
        <f>IFERROR(__xludf.DUMMYFUNCTION("""COMPUTED_VALUE"""),"gpc_agua_alcantarillado_pib")</f>
        <v>gpc_agua_alcantarillado_pib</v>
      </c>
      <c r="C445" s="6">
        <f>IFERROR(__xludf.DUMMYFUNCTION("""COMPUTED_VALUE"""),0.209342878025637)</f>
        <v>0.209342878</v>
      </c>
    </row>
    <row r="446">
      <c r="A446" s="5">
        <f>IFERROR(__xludf.DUMMYFUNCTION("""COMPUTED_VALUE"""),33970.0)</f>
        <v>33970</v>
      </c>
      <c r="B446" s="6" t="str">
        <f>IFERROR(__xludf.DUMMYFUNCTION("""COMPUTED_VALUE"""),"gpc_vivienda_urbanismo_pib")</f>
        <v>gpc_vivienda_urbanismo_pib</v>
      </c>
      <c r="C446" s="6">
        <f>IFERROR(__xludf.DUMMYFUNCTION("""COMPUTED_VALUE"""),0.606502059252652)</f>
        <v>0.6065020593</v>
      </c>
    </row>
    <row r="447">
      <c r="A447" s="5">
        <f>IFERROR(__xludf.DUMMYFUNCTION("""COMPUTED_VALUE"""),33970.0)</f>
        <v>33970</v>
      </c>
      <c r="B447" s="6" t="str">
        <f>IFERROR(__xludf.DUMMYFUNCTION("""COMPUTED_VALUE"""),"gpc_promocion_asistencia_social_pib")</f>
        <v>gpc_promocion_asistencia_social_pib</v>
      </c>
      <c r="C447" s="6">
        <f>IFERROR(__xludf.DUMMYFUNCTION("""COMPUTED_VALUE"""),0.700132579264331)</f>
        <v>0.7001325793</v>
      </c>
    </row>
    <row r="448">
      <c r="A448" s="5">
        <f>IFERROR(__xludf.DUMMYFUNCTION("""COMPUTED_VALUE"""),33970.0)</f>
        <v>33970</v>
      </c>
      <c r="B448" s="6" t="str">
        <f>IFERROR(__xludf.DUMMYFUNCTION("""COMPUTED_VALUE"""),"gpc_obras_sociales_prestaciones_pib")</f>
        <v>gpc_obras_sociales_prestaciones_pib</v>
      </c>
      <c r="C448" s="6">
        <f>IFERROR(__xludf.DUMMYFUNCTION("""COMPUTED_VALUE"""),0.157221475826801)</f>
        <v>0.1572214758</v>
      </c>
    </row>
    <row r="449">
      <c r="A449" s="5">
        <f>IFERROR(__xludf.DUMMYFUNCTION("""COMPUTED_VALUE"""),33970.0)</f>
        <v>33970</v>
      </c>
      <c r="B449" s="6" t="str">
        <f>IFERROR(__xludf.DUMMYFUNCTION("""COMPUTED_VALUE"""),"gpc_inssjyp_prestaciones_pib")</f>
        <v>gpc_inssjyp_prestaciones_pib</v>
      </c>
      <c r="C449" s="6">
        <f>IFERROR(__xludf.DUMMYFUNCTION("""COMPUTED_VALUE"""),0.101625766766986)</f>
        <v>0.1016257668</v>
      </c>
    </row>
    <row r="450">
      <c r="A450" s="5">
        <f>IFERROR(__xludf.DUMMYFUNCTION("""COMPUTED_VALUE"""),33970.0)</f>
        <v>33970</v>
      </c>
      <c r="B450" s="6" t="str">
        <f>IFERROR(__xludf.DUMMYFUNCTION("""COMPUTED_VALUE"""),"gpc_prevision_social_pib")</f>
        <v>gpc_prevision_social_pib</v>
      </c>
      <c r="C450" s="6">
        <f>IFERROR(__xludf.DUMMYFUNCTION("""COMPUTED_VALUE"""),7.88298437759021)</f>
        <v>7.882984378</v>
      </c>
    </row>
    <row r="451">
      <c r="A451" s="5">
        <f>IFERROR(__xludf.DUMMYFUNCTION("""COMPUTED_VALUE"""),33970.0)</f>
        <v>33970</v>
      </c>
      <c r="B451" s="6" t="str">
        <f>IFERROR(__xludf.DUMMYFUNCTION("""COMPUTED_VALUE"""),"gpc_programas_empleo_pib")</f>
        <v>gpc_programas_empleo_pib</v>
      </c>
      <c r="C451" s="6">
        <f>IFERROR(__xludf.DUMMYFUNCTION("""COMPUTED_VALUE"""),0.200275555257039)</f>
        <v>0.2002755553</v>
      </c>
    </row>
    <row r="452">
      <c r="A452" s="5">
        <f>IFERROR(__xludf.DUMMYFUNCTION("""COMPUTED_VALUE"""),33970.0)</f>
        <v>33970</v>
      </c>
      <c r="B452" s="6" t="str">
        <f>IFERROR(__xludf.DUMMYFUNCTION("""COMPUTED_VALUE"""),"gpc_asignaciones_familiares_pib")</f>
        <v>gpc_asignaciones_familiares_pib</v>
      </c>
      <c r="C452" s="6">
        <f>IFERROR(__xludf.DUMMYFUNCTION("""COMPUTED_VALUE"""),0.643942640264331)</f>
        <v>0.6439426403</v>
      </c>
    </row>
    <row r="453">
      <c r="A453" s="5">
        <f>IFERROR(__xludf.DUMMYFUNCTION("""COMPUTED_VALUE"""),33970.0)</f>
        <v>33970</v>
      </c>
      <c r="B453" s="6" t="str">
        <f>IFERROR(__xludf.DUMMYFUNCTION("""COMPUTED_VALUE"""),"gpc_otros_servicios_urbanos_pib")</f>
        <v>gpc_otros_servicios_urbanos_pib</v>
      </c>
      <c r="C453" s="6">
        <f>IFERROR(__xludf.DUMMYFUNCTION("""COMPUTED_VALUE"""),1.06140263696788)</f>
        <v>1.061402637</v>
      </c>
    </row>
    <row r="454">
      <c r="A454" s="5">
        <f>IFERROR(__xludf.DUMMYFUNCTION("""COMPUTED_VALUE"""),33970.0)</f>
        <v>33970</v>
      </c>
      <c r="B454" s="6" t="str">
        <f>IFERROR(__xludf.DUMMYFUNCTION("""COMPUTED_VALUE"""),"gpc_servicios_economicos_pib")</f>
        <v>gpc_servicios_economicos_pib</v>
      </c>
      <c r="C454" s="6">
        <f>IFERROR(__xludf.DUMMYFUNCTION("""COMPUTED_VALUE"""),3.39926442779479)</f>
        <v>3.399264428</v>
      </c>
    </row>
    <row r="455">
      <c r="A455" s="5">
        <f>IFERROR(__xludf.DUMMYFUNCTION("""COMPUTED_VALUE"""),33970.0)</f>
        <v>33970</v>
      </c>
      <c r="B455" s="6" t="str">
        <f>IFERROR(__xludf.DUMMYFUNCTION("""COMPUTED_VALUE"""),"gpc_produccion_primaria_pib")</f>
        <v>gpc_produccion_primaria_pib</v>
      </c>
      <c r="C455" s="6">
        <f>IFERROR(__xludf.DUMMYFUNCTION("""COMPUTED_VALUE"""),0.326075089917015)</f>
        <v>0.3260750899</v>
      </c>
    </row>
    <row r="456">
      <c r="A456" s="5">
        <f>IFERROR(__xludf.DUMMYFUNCTION("""COMPUTED_VALUE"""),33970.0)</f>
        <v>33970</v>
      </c>
      <c r="B456" s="6" t="str">
        <f>IFERROR(__xludf.DUMMYFUNCTION("""COMPUTED_VALUE"""),"gpc_energia_combustible_pib")</f>
        <v>gpc_energia_combustible_pib</v>
      </c>
      <c r="C456" s="6">
        <f>IFERROR(__xludf.DUMMYFUNCTION("""COMPUTED_VALUE"""),1.306294974074)</f>
        <v>1.306294974</v>
      </c>
    </row>
    <row r="457">
      <c r="A457" s="5">
        <f>IFERROR(__xludf.DUMMYFUNCTION("""COMPUTED_VALUE"""),33970.0)</f>
        <v>33970</v>
      </c>
      <c r="B457" s="6" t="str">
        <f>IFERROR(__xludf.DUMMYFUNCTION("""COMPUTED_VALUE"""),"gpc_industria_pib")</f>
        <v>gpc_industria_pib</v>
      </c>
      <c r="C457" s="6">
        <f>IFERROR(__xludf.DUMMYFUNCTION("""COMPUTED_VALUE"""),0.17102538319659)</f>
        <v>0.1710253832</v>
      </c>
    </row>
    <row r="458">
      <c r="A458" s="5">
        <f>IFERROR(__xludf.DUMMYFUNCTION("""COMPUTED_VALUE"""),33970.0)</f>
        <v>33970</v>
      </c>
      <c r="B458" s="6" t="str">
        <f>IFERROR(__xludf.DUMMYFUNCTION("""COMPUTED_VALUE"""),"gpc_transporte_pib")</f>
        <v>gpc_transporte_pib</v>
      </c>
      <c r="C458" s="6">
        <f>IFERROR(__xludf.DUMMYFUNCTION("""COMPUTED_VALUE"""),1.00343960095046)</f>
        <v>1.003439601</v>
      </c>
    </row>
    <row r="459">
      <c r="A459" s="5">
        <f>IFERROR(__xludf.DUMMYFUNCTION("""COMPUTED_VALUE"""),33970.0)</f>
        <v>33970</v>
      </c>
      <c r="B459" s="6" t="str">
        <f>IFERROR(__xludf.DUMMYFUNCTION("""COMPUTED_VALUE"""),"gpc_comunicaciones_pib")</f>
        <v>gpc_comunicaciones_pib</v>
      </c>
      <c r="C459" s="6">
        <f>IFERROR(__xludf.DUMMYFUNCTION("""COMPUTED_VALUE"""),0.104770324407515)</f>
        <v>0.1047703244</v>
      </c>
    </row>
    <row r="460">
      <c r="A460" s="5">
        <f>IFERROR(__xludf.DUMMYFUNCTION("""COMPUTED_VALUE"""),33970.0)</f>
        <v>33970</v>
      </c>
      <c r="B460" s="6" t="str">
        <f>IFERROR(__xludf.DUMMYFUNCTION("""COMPUTED_VALUE"""),"gpc_otros_servicios_economicos_pib")</f>
        <v>gpc_otros_servicios_economicos_pib</v>
      </c>
      <c r="C460" s="6">
        <f>IFERROR(__xludf.DUMMYFUNCTION("""COMPUTED_VALUE"""),0.487659055249201)</f>
        <v>0.4876590552</v>
      </c>
    </row>
    <row r="461">
      <c r="A461" s="5">
        <f>IFERROR(__xludf.DUMMYFUNCTION("""COMPUTED_VALUE"""),33970.0)</f>
        <v>33970</v>
      </c>
      <c r="B461" s="6" t="str">
        <f>IFERROR(__xludf.DUMMYFUNCTION("""COMPUTED_VALUE"""),"gpc_servicios_deuda_publica_pib")</f>
        <v>gpc_servicios_deuda_publica_pib</v>
      </c>
      <c r="C461" s="6">
        <f>IFERROR(__xludf.DUMMYFUNCTION("""COMPUTED_VALUE"""),1.84876457080704)</f>
        <v>1.848764571</v>
      </c>
    </row>
    <row r="462">
      <c r="A462" s="5">
        <f>IFERROR(__xludf.DUMMYFUNCTION("""COMPUTED_VALUE"""),33970.0)</f>
        <v>33970</v>
      </c>
      <c r="B462" s="6"/>
      <c r="C462" s="6"/>
    </row>
    <row r="463">
      <c r="A463" s="5">
        <f>IFERROR(__xludf.DUMMYFUNCTION("""COMPUTED_VALUE"""),33970.0)</f>
        <v>33970</v>
      </c>
      <c r="B463" s="6"/>
      <c r="C463" s="6"/>
    </row>
    <row r="464">
      <c r="A464" s="5">
        <f>IFERROR(__xludf.DUMMYFUNCTION("""COMPUTED_VALUE"""),34335.0)</f>
        <v>34335</v>
      </c>
      <c r="B464" s="6" t="str">
        <f>IFERROR(__xludf.DUMMYFUNCTION("""COMPUTED_VALUE"""),"gpc_pib")</f>
        <v>gpc_pib</v>
      </c>
      <c r="C464" s="6">
        <f>IFERROR(__xludf.DUMMYFUNCTION("""COMPUTED_VALUE"""),31.8278741114533)</f>
        <v>31.82787411</v>
      </c>
    </row>
    <row r="465">
      <c r="A465" s="5">
        <f>IFERROR(__xludf.DUMMYFUNCTION("""COMPUTED_VALUE"""),34335.0)</f>
        <v>34335</v>
      </c>
      <c r="B465" s="6" t="str">
        <f>IFERROR(__xludf.DUMMYFUNCTION("""COMPUTED_VALUE"""),"gpc_funcionamiento_estado_pib")</f>
        <v>gpc_funcionamiento_estado_pib</v>
      </c>
      <c r="C465" s="6">
        <f>IFERROR(__xludf.DUMMYFUNCTION("""COMPUTED_VALUE"""),6.30545839516208)</f>
        <v>6.305458395</v>
      </c>
    </row>
    <row r="466">
      <c r="A466" s="5">
        <f>IFERROR(__xludf.DUMMYFUNCTION("""COMPUTED_VALUE"""),34335.0)</f>
        <v>34335</v>
      </c>
      <c r="B466" s="6" t="str">
        <f>IFERROR(__xludf.DUMMYFUNCTION("""COMPUTED_VALUE"""),"gpc_administracion_general_pib")</f>
        <v>gpc_administracion_general_pib</v>
      </c>
      <c r="C466" s="6">
        <f>IFERROR(__xludf.DUMMYFUNCTION("""COMPUTED_VALUE"""),3.25816757581662)</f>
        <v>3.258167576</v>
      </c>
    </row>
    <row r="467">
      <c r="A467" s="5">
        <f>IFERROR(__xludf.DUMMYFUNCTION("""COMPUTED_VALUE"""),34335.0)</f>
        <v>34335</v>
      </c>
      <c r="B467" s="6" t="str">
        <f>IFERROR(__xludf.DUMMYFUNCTION("""COMPUTED_VALUE"""),"gpc_justicia_pib")</f>
        <v>gpc_justicia_pib</v>
      </c>
      <c r="C467" s="6">
        <f>IFERROR(__xludf.DUMMYFUNCTION("""COMPUTED_VALUE"""),0.740174083579329)</f>
        <v>0.7401740836</v>
      </c>
    </row>
    <row r="468">
      <c r="A468" s="5">
        <f>IFERROR(__xludf.DUMMYFUNCTION("""COMPUTED_VALUE"""),34335.0)</f>
        <v>34335</v>
      </c>
      <c r="B468" s="6" t="str">
        <f>IFERROR(__xludf.DUMMYFUNCTION("""COMPUTED_VALUE"""),"gpc_defensa_seguridad_pib")</f>
        <v>gpc_defensa_seguridad_pib</v>
      </c>
      <c r="C468" s="6">
        <f>IFERROR(__xludf.DUMMYFUNCTION("""COMPUTED_VALUE"""),2.30711673576613)</f>
        <v>2.307116736</v>
      </c>
    </row>
    <row r="469">
      <c r="A469" s="5">
        <f>IFERROR(__xludf.DUMMYFUNCTION("""COMPUTED_VALUE"""),34335.0)</f>
        <v>34335</v>
      </c>
      <c r="B469" s="6" t="str">
        <f>IFERROR(__xludf.DUMMYFUNCTION("""COMPUTED_VALUE"""),"gpc_servicios_sociales_pib")</f>
        <v>gpc_servicios_sociales_pib</v>
      </c>
      <c r="C469" s="6">
        <f>IFERROR(__xludf.DUMMYFUNCTION("""COMPUTED_VALUE"""),21.0238472366766)</f>
        <v>21.02384724</v>
      </c>
    </row>
    <row r="470">
      <c r="A470" s="5">
        <f>IFERROR(__xludf.DUMMYFUNCTION("""COMPUTED_VALUE"""),34335.0)</f>
        <v>34335</v>
      </c>
      <c r="B470" s="6" t="str">
        <f>IFERROR(__xludf.DUMMYFUNCTION("""COMPUTED_VALUE"""),"gpc_educacion_basica_pib")</f>
        <v>gpc_educacion_basica_pib</v>
      </c>
      <c r="C470" s="6">
        <f>IFERROR(__xludf.DUMMYFUNCTION("""COMPUTED_VALUE"""),2.77175672845931)</f>
        <v>2.771756728</v>
      </c>
    </row>
    <row r="471">
      <c r="A471" s="5">
        <f>IFERROR(__xludf.DUMMYFUNCTION("""COMPUTED_VALUE"""),34335.0)</f>
        <v>34335</v>
      </c>
      <c r="B471" s="6" t="str">
        <f>IFERROR(__xludf.DUMMYFUNCTION("""COMPUTED_VALUE"""),"gpc_educacion_universitaria_pib")</f>
        <v>gpc_educacion_universitaria_pib</v>
      </c>
      <c r="C471" s="6">
        <f>IFERROR(__xludf.DUMMYFUNCTION("""COMPUTED_VALUE"""),0.715315897214327)</f>
        <v>0.7153158972</v>
      </c>
    </row>
    <row r="472">
      <c r="A472" s="5">
        <f>IFERROR(__xludf.DUMMYFUNCTION("""COMPUTED_VALUE"""),34335.0)</f>
        <v>34335</v>
      </c>
      <c r="B472" s="6" t="str">
        <f>IFERROR(__xludf.DUMMYFUNCTION("""COMPUTED_VALUE"""),"gpc_ciencia_tecnica_pib")</f>
        <v>gpc_ciencia_tecnica_pib</v>
      </c>
      <c r="C472" s="6">
        <f>IFERROR(__xludf.DUMMYFUNCTION("""COMPUTED_VALUE"""),0.233262122327226)</f>
        <v>0.2332621223</v>
      </c>
    </row>
    <row r="473">
      <c r="A473" s="5">
        <f>IFERROR(__xludf.DUMMYFUNCTION("""COMPUTED_VALUE"""),34335.0)</f>
        <v>34335</v>
      </c>
      <c r="B473" s="6" t="str">
        <f>IFERROR(__xludf.DUMMYFUNCTION("""COMPUTED_VALUE"""),"gpc_cultura_pib")</f>
        <v>gpc_cultura_pib</v>
      </c>
      <c r="C473" s="6">
        <f>IFERROR(__xludf.DUMMYFUNCTION("""COMPUTED_VALUE"""),0.106448966459995)</f>
        <v>0.1064489665</v>
      </c>
    </row>
    <row r="474">
      <c r="A474" s="5">
        <f>IFERROR(__xludf.DUMMYFUNCTION("""COMPUTED_VALUE"""),34335.0)</f>
        <v>34335</v>
      </c>
      <c r="B474" s="6" t="str">
        <f>IFERROR(__xludf.DUMMYFUNCTION("""COMPUTED_VALUE"""),"gpc_educacion_cultura_sin_discriminar_pib")</f>
        <v>gpc_educacion_cultura_sin_discriminar_pib</v>
      </c>
      <c r="C474" s="6">
        <f>IFERROR(__xludf.DUMMYFUNCTION("""COMPUTED_VALUE"""),0.32953174289823)</f>
        <v>0.3295317429</v>
      </c>
    </row>
    <row r="475">
      <c r="A475" s="5">
        <f>IFERROR(__xludf.DUMMYFUNCTION("""COMPUTED_VALUE"""),34335.0)</f>
        <v>34335</v>
      </c>
      <c r="B475" s="6" t="str">
        <f>IFERROR(__xludf.DUMMYFUNCTION("""COMPUTED_VALUE"""),"gpc_atencion_salud_pib")</f>
        <v>gpc_atencion_salud_pib</v>
      </c>
      <c r="C475" s="6">
        <f>IFERROR(__xludf.DUMMYFUNCTION("""COMPUTED_VALUE"""),1.90841786593099)</f>
        <v>1.908417866</v>
      </c>
    </row>
    <row r="476">
      <c r="A476" s="5">
        <f>IFERROR(__xludf.DUMMYFUNCTION("""COMPUTED_VALUE"""),34335.0)</f>
        <v>34335</v>
      </c>
      <c r="B476" s="6" t="str">
        <f>IFERROR(__xludf.DUMMYFUNCTION("""COMPUTED_VALUE"""),"gpc_obras_sociales_salud_pib")</f>
        <v>gpc_obras_sociales_salud_pib</v>
      </c>
      <c r="C476" s="6">
        <f>IFERROR(__xludf.DUMMYFUNCTION("""COMPUTED_VALUE"""),1.99666615605435)</f>
        <v>1.996666156</v>
      </c>
    </row>
    <row r="477">
      <c r="A477" s="5">
        <f>IFERROR(__xludf.DUMMYFUNCTION("""COMPUTED_VALUE"""),34335.0)</f>
        <v>34335</v>
      </c>
      <c r="B477" s="6" t="str">
        <f>IFERROR(__xludf.DUMMYFUNCTION("""COMPUTED_VALUE"""),"gpc_inssjyp_salud_pib")</f>
        <v>gpc_inssjyp_salud_pib</v>
      </c>
      <c r="C477" s="6">
        <f>IFERROR(__xludf.DUMMYFUNCTION("""COMPUTED_VALUE"""),0.957273374773233)</f>
        <v>0.9572733748</v>
      </c>
    </row>
    <row r="478">
      <c r="A478" s="5">
        <f>IFERROR(__xludf.DUMMYFUNCTION("""COMPUTED_VALUE"""),34335.0)</f>
        <v>34335</v>
      </c>
      <c r="B478" s="6" t="str">
        <f>IFERROR(__xludf.DUMMYFUNCTION("""COMPUTED_VALUE"""),"gpc_agua_alcantarillado_pib")</f>
        <v>gpc_agua_alcantarillado_pib</v>
      </c>
      <c r="C478" s="6">
        <f>IFERROR(__xludf.DUMMYFUNCTION("""COMPUTED_VALUE"""),0.212279608725784)</f>
        <v>0.2122796087</v>
      </c>
    </row>
    <row r="479">
      <c r="A479" s="5">
        <f>IFERROR(__xludf.DUMMYFUNCTION("""COMPUTED_VALUE"""),34335.0)</f>
        <v>34335</v>
      </c>
      <c r="B479" s="6" t="str">
        <f>IFERROR(__xludf.DUMMYFUNCTION("""COMPUTED_VALUE"""),"gpc_vivienda_urbanismo_pib")</f>
        <v>gpc_vivienda_urbanismo_pib</v>
      </c>
      <c r="C479" s="6">
        <f>IFERROR(__xludf.DUMMYFUNCTION("""COMPUTED_VALUE"""),0.626202936349295)</f>
        <v>0.6262029363</v>
      </c>
    </row>
    <row r="480">
      <c r="A480" s="5">
        <f>IFERROR(__xludf.DUMMYFUNCTION("""COMPUTED_VALUE"""),34335.0)</f>
        <v>34335</v>
      </c>
      <c r="B480" s="6" t="str">
        <f>IFERROR(__xludf.DUMMYFUNCTION("""COMPUTED_VALUE"""),"gpc_promocion_asistencia_social_pib")</f>
        <v>gpc_promocion_asistencia_social_pib</v>
      </c>
      <c r="C480" s="6">
        <f>IFERROR(__xludf.DUMMYFUNCTION("""COMPUTED_VALUE"""),0.724323517882101)</f>
        <v>0.7243235179</v>
      </c>
    </row>
    <row r="481">
      <c r="A481" s="5">
        <f>IFERROR(__xludf.DUMMYFUNCTION("""COMPUTED_VALUE"""),34335.0)</f>
        <v>34335</v>
      </c>
      <c r="B481" s="6" t="str">
        <f>IFERROR(__xludf.DUMMYFUNCTION("""COMPUTED_VALUE"""),"gpc_obras_sociales_prestaciones_pib")</f>
        <v>gpc_obras_sociales_prestaciones_pib</v>
      </c>
      <c r="C481" s="6">
        <f>IFERROR(__xludf.DUMMYFUNCTION("""COMPUTED_VALUE"""),0.146446787665003)</f>
        <v>0.1464467877</v>
      </c>
    </row>
    <row r="482">
      <c r="A482" s="5">
        <f>IFERROR(__xludf.DUMMYFUNCTION("""COMPUTED_VALUE"""),34335.0)</f>
        <v>34335</v>
      </c>
      <c r="B482" s="6" t="str">
        <f>IFERROR(__xludf.DUMMYFUNCTION("""COMPUTED_VALUE"""),"gpc_inssjyp_prestaciones_pib")</f>
        <v>gpc_inssjyp_prestaciones_pib</v>
      </c>
      <c r="C482" s="6">
        <f>IFERROR(__xludf.DUMMYFUNCTION("""COMPUTED_VALUE"""),0.158952398092863)</f>
        <v>0.1589523981</v>
      </c>
    </row>
    <row r="483">
      <c r="A483" s="5">
        <f>IFERROR(__xludf.DUMMYFUNCTION("""COMPUTED_VALUE"""),34335.0)</f>
        <v>34335</v>
      </c>
      <c r="B483" s="6" t="str">
        <f>IFERROR(__xludf.DUMMYFUNCTION("""COMPUTED_VALUE"""),"gpc_prevision_social_pib")</f>
        <v>gpc_prevision_social_pib</v>
      </c>
      <c r="C483" s="6">
        <f>IFERROR(__xludf.DUMMYFUNCTION("""COMPUTED_VALUE"""),8.23245015586558)</f>
        <v>8.232450156</v>
      </c>
    </row>
    <row r="484">
      <c r="A484" s="5">
        <f>IFERROR(__xludf.DUMMYFUNCTION("""COMPUTED_VALUE"""),34335.0)</f>
        <v>34335</v>
      </c>
      <c r="B484" s="6" t="str">
        <f>IFERROR(__xludf.DUMMYFUNCTION("""COMPUTED_VALUE"""),"gpc_programas_empleo_pib")</f>
        <v>gpc_programas_empleo_pib</v>
      </c>
      <c r="C484" s="6">
        <f>IFERROR(__xludf.DUMMYFUNCTION("""COMPUTED_VALUE"""),0.238631571118758)</f>
        <v>0.2386315711</v>
      </c>
    </row>
    <row r="485">
      <c r="A485" s="5">
        <f>IFERROR(__xludf.DUMMYFUNCTION("""COMPUTED_VALUE"""),34335.0)</f>
        <v>34335</v>
      </c>
      <c r="B485" s="6" t="str">
        <f>IFERROR(__xludf.DUMMYFUNCTION("""COMPUTED_VALUE"""),"gpc_asignaciones_familiares_pib")</f>
        <v>gpc_asignaciones_familiares_pib</v>
      </c>
      <c r="C485" s="6">
        <f>IFERROR(__xludf.DUMMYFUNCTION("""COMPUTED_VALUE"""),0.669167073610243)</f>
        <v>0.6691670736</v>
      </c>
    </row>
    <row r="486">
      <c r="A486" s="5">
        <f>IFERROR(__xludf.DUMMYFUNCTION("""COMPUTED_VALUE"""),34335.0)</f>
        <v>34335</v>
      </c>
      <c r="B486" s="6" t="str">
        <f>IFERROR(__xludf.DUMMYFUNCTION("""COMPUTED_VALUE"""),"gpc_otros_servicios_urbanos_pib")</f>
        <v>gpc_otros_servicios_urbanos_pib</v>
      </c>
      <c r="C486" s="6">
        <f>IFERROR(__xludf.DUMMYFUNCTION("""COMPUTED_VALUE"""),0.996720333249369)</f>
        <v>0.9967203332</v>
      </c>
    </row>
    <row r="487">
      <c r="A487" s="5">
        <f>IFERROR(__xludf.DUMMYFUNCTION("""COMPUTED_VALUE"""),34335.0)</f>
        <v>34335</v>
      </c>
      <c r="B487" s="6" t="str">
        <f>IFERROR(__xludf.DUMMYFUNCTION("""COMPUTED_VALUE"""),"gpc_servicios_economicos_pib")</f>
        <v>gpc_servicios_economicos_pib</v>
      </c>
      <c r="C487" s="6">
        <f>IFERROR(__xludf.DUMMYFUNCTION("""COMPUTED_VALUE"""),2.74534750702428)</f>
        <v>2.745347507</v>
      </c>
    </row>
    <row r="488">
      <c r="A488" s="5">
        <f>IFERROR(__xludf.DUMMYFUNCTION("""COMPUTED_VALUE"""),34335.0)</f>
        <v>34335</v>
      </c>
      <c r="B488" s="6" t="str">
        <f>IFERROR(__xludf.DUMMYFUNCTION("""COMPUTED_VALUE"""),"gpc_produccion_primaria_pib")</f>
        <v>gpc_produccion_primaria_pib</v>
      </c>
      <c r="C488" s="6">
        <f>IFERROR(__xludf.DUMMYFUNCTION("""COMPUTED_VALUE"""),0.343126672345277)</f>
        <v>0.3431266723</v>
      </c>
    </row>
    <row r="489">
      <c r="A489" s="5">
        <f>IFERROR(__xludf.DUMMYFUNCTION("""COMPUTED_VALUE"""),34335.0)</f>
        <v>34335</v>
      </c>
      <c r="B489" s="6" t="str">
        <f>IFERROR(__xludf.DUMMYFUNCTION("""COMPUTED_VALUE"""),"gpc_energia_combustible_pib")</f>
        <v>gpc_energia_combustible_pib</v>
      </c>
      <c r="C489" s="6">
        <f>IFERROR(__xludf.DUMMYFUNCTION("""COMPUTED_VALUE"""),0.750956239607822)</f>
        <v>0.7509562396</v>
      </c>
    </row>
    <row r="490">
      <c r="A490" s="5">
        <f>IFERROR(__xludf.DUMMYFUNCTION("""COMPUTED_VALUE"""),34335.0)</f>
        <v>34335</v>
      </c>
      <c r="B490" s="6" t="str">
        <f>IFERROR(__xludf.DUMMYFUNCTION("""COMPUTED_VALUE"""),"gpc_industria_pib")</f>
        <v>gpc_industria_pib</v>
      </c>
      <c r="C490" s="6">
        <f>IFERROR(__xludf.DUMMYFUNCTION("""COMPUTED_VALUE"""),0.0917204744203493)</f>
        <v>0.09172047442</v>
      </c>
    </row>
    <row r="491">
      <c r="A491" s="5">
        <f>IFERROR(__xludf.DUMMYFUNCTION("""COMPUTED_VALUE"""),34335.0)</f>
        <v>34335</v>
      </c>
      <c r="B491" s="6" t="str">
        <f>IFERROR(__xludf.DUMMYFUNCTION("""COMPUTED_VALUE"""),"gpc_transporte_pib")</f>
        <v>gpc_transporte_pib</v>
      </c>
      <c r="C491" s="6">
        <f>IFERROR(__xludf.DUMMYFUNCTION("""COMPUTED_VALUE"""),1.05078450886552)</f>
        <v>1.050784509</v>
      </c>
    </row>
    <row r="492">
      <c r="A492" s="5">
        <f>IFERROR(__xludf.DUMMYFUNCTION("""COMPUTED_VALUE"""),34335.0)</f>
        <v>34335</v>
      </c>
      <c r="B492" s="6" t="str">
        <f>IFERROR(__xludf.DUMMYFUNCTION("""COMPUTED_VALUE"""),"gpc_comunicaciones_pib")</f>
        <v>gpc_comunicaciones_pib</v>
      </c>
      <c r="C492" s="6">
        <f>IFERROR(__xludf.DUMMYFUNCTION("""COMPUTED_VALUE"""),0.0639137832134333)</f>
        <v>0.06391378321</v>
      </c>
    </row>
    <row r="493">
      <c r="A493" s="5">
        <f>IFERROR(__xludf.DUMMYFUNCTION("""COMPUTED_VALUE"""),34335.0)</f>
        <v>34335</v>
      </c>
      <c r="B493" s="6" t="str">
        <f>IFERROR(__xludf.DUMMYFUNCTION("""COMPUTED_VALUE"""),"gpc_otros_servicios_economicos_pib")</f>
        <v>gpc_otros_servicios_economicos_pib</v>
      </c>
      <c r="C493" s="6">
        <f>IFERROR(__xludf.DUMMYFUNCTION("""COMPUTED_VALUE"""),0.444845828571874)</f>
        <v>0.4448458286</v>
      </c>
    </row>
    <row r="494">
      <c r="A494" s="5">
        <f>IFERROR(__xludf.DUMMYFUNCTION("""COMPUTED_VALUE"""),34335.0)</f>
        <v>34335</v>
      </c>
      <c r="B494" s="6" t="str">
        <f>IFERROR(__xludf.DUMMYFUNCTION("""COMPUTED_VALUE"""),"gpc_servicios_deuda_publica_pib")</f>
        <v>gpc_servicios_deuda_publica_pib</v>
      </c>
      <c r="C494" s="6">
        <f>IFERROR(__xludf.DUMMYFUNCTION("""COMPUTED_VALUE"""),1.75322097259033)</f>
        <v>1.753220973</v>
      </c>
    </row>
    <row r="495">
      <c r="A495" s="5">
        <f>IFERROR(__xludf.DUMMYFUNCTION("""COMPUTED_VALUE"""),34335.0)</f>
        <v>34335</v>
      </c>
      <c r="B495" s="6"/>
      <c r="C495" s="6"/>
    </row>
    <row r="496">
      <c r="A496" s="5">
        <f>IFERROR(__xludf.DUMMYFUNCTION("""COMPUTED_VALUE"""),34335.0)</f>
        <v>34335</v>
      </c>
      <c r="B496" s="6"/>
      <c r="C496" s="6"/>
    </row>
    <row r="497">
      <c r="A497" s="5">
        <f>IFERROR(__xludf.DUMMYFUNCTION("""COMPUTED_VALUE"""),34700.0)</f>
        <v>34700</v>
      </c>
      <c r="B497" s="6" t="str">
        <f>IFERROR(__xludf.DUMMYFUNCTION("""COMPUTED_VALUE"""),"gpc_pib")</f>
        <v>gpc_pib</v>
      </c>
      <c r="C497" s="6">
        <f>IFERROR(__xludf.DUMMYFUNCTION("""COMPUTED_VALUE"""),32.4444885999448)</f>
        <v>32.4444886</v>
      </c>
    </row>
    <row r="498">
      <c r="A498" s="5">
        <f>IFERROR(__xludf.DUMMYFUNCTION("""COMPUTED_VALUE"""),34700.0)</f>
        <v>34700</v>
      </c>
      <c r="B498" s="6" t="str">
        <f>IFERROR(__xludf.DUMMYFUNCTION("""COMPUTED_VALUE"""),"gpc_funcionamiento_estado_pib")</f>
        <v>gpc_funcionamiento_estado_pib</v>
      </c>
      <c r="C498" s="6">
        <f>IFERROR(__xludf.DUMMYFUNCTION("""COMPUTED_VALUE"""),6.24909121715093)</f>
        <v>6.249091217</v>
      </c>
    </row>
    <row r="499">
      <c r="A499" s="5">
        <f>IFERROR(__xludf.DUMMYFUNCTION("""COMPUTED_VALUE"""),34700.0)</f>
        <v>34700</v>
      </c>
      <c r="B499" s="6" t="str">
        <f>IFERROR(__xludf.DUMMYFUNCTION("""COMPUTED_VALUE"""),"gpc_administracion_general_pib")</f>
        <v>gpc_administracion_general_pib</v>
      </c>
      <c r="C499" s="6">
        <f>IFERROR(__xludf.DUMMYFUNCTION("""COMPUTED_VALUE"""),3.09773081047685)</f>
        <v>3.09773081</v>
      </c>
    </row>
    <row r="500">
      <c r="A500" s="5">
        <f>IFERROR(__xludf.DUMMYFUNCTION("""COMPUTED_VALUE"""),34700.0)</f>
        <v>34700</v>
      </c>
      <c r="B500" s="6" t="str">
        <f>IFERROR(__xludf.DUMMYFUNCTION("""COMPUTED_VALUE"""),"gpc_justicia_pib")</f>
        <v>gpc_justicia_pib</v>
      </c>
      <c r="C500" s="6">
        <f>IFERROR(__xludf.DUMMYFUNCTION("""COMPUTED_VALUE"""),0.783142930564557)</f>
        <v>0.7831429306</v>
      </c>
    </row>
    <row r="501">
      <c r="A501" s="5">
        <f>IFERROR(__xludf.DUMMYFUNCTION("""COMPUTED_VALUE"""),34700.0)</f>
        <v>34700</v>
      </c>
      <c r="B501" s="6" t="str">
        <f>IFERROR(__xludf.DUMMYFUNCTION("""COMPUTED_VALUE"""),"gpc_defensa_seguridad_pib")</f>
        <v>gpc_defensa_seguridad_pib</v>
      </c>
      <c r="C501" s="6">
        <f>IFERROR(__xludf.DUMMYFUNCTION("""COMPUTED_VALUE"""),2.36821747610952)</f>
        <v>2.368217476</v>
      </c>
    </row>
    <row r="502">
      <c r="A502" s="5">
        <f>IFERROR(__xludf.DUMMYFUNCTION("""COMPUTED_VALUE"""),34700.0)</f>
        <v>34700</v>
      </c>
      <c r="B502" s="6" t="str">
        <f>IFERROR(__xludf.DUMMYFUNCTION("""COMPUTED_VALUE"""),"gpc_servicios_sociales_pib")</f>
        <v>gpc_servicios_sociales_pib</v>
      </c>
      <c r="C502" s="6">
        <f>IFERROR(__xludf.DUMMYFUNCTION("""COMPUTED_VALUE"""),21.1998568683819)</f>
        <v>21.19985687</v>
      </c>
    </row>
    <row r="503">
      <c r="A503" s="5">
        <f>IFERROR(__xludf.DUMMYFUNCTION("""COMPUTED_VALUE"""),34700.0)</f>
        <v>34700</v>
      </c>
      <c r="B503" s="6" t="str">
        <f>IFERROR(__xludf.DUMMYFUNCTION("""COMPUTED_VALUE"""),"gpc_educacion_basica_pib")</f>
        <v>gpc_educacion_basica_pib</v>
      </c>
      <c r="C503" s="6">
        <f>IFERROR(__xludf.DUMMYFUNCTION("""COMPUTED_VALUE"""),2.79524259298846)</f>
        <v>2.795242593</v>
      </c>
    </row>
    <row r="504">
      <c r="A504" s="5">
        <f>IFERROR(__xludf.DUMMYFUNCTION("""COMPUTED_VALUE"""),34700.0)</f>
        <v>34700</v>
      </c>
      <c r="B504" s="6" t="str">
        <f>IFERROR(__xludf.DUMMYFUNCTION("""COMPUTED_VALUE"""),"gpc_educacion_universitaria_pib")</f>
        <v>gpc_educacion_universitaria_pib</v>
      </c>
      <c r="C504" s="6">
        <f>IFERROR(__xludf.DUMMYFUNCTION("""COMPUTED_VALUE"""),0.842992727587051)</f>
        <v>0.8429927276</v>
      </c>
    </row>
    <row r="505">
      <c r="A505" s="5">
        <f>IFERROR(__xludf.DUMMYFUNCTION("""COMPUTED_VALUE"""),34700.0)</f>
        <v>34700</v>
      </c>
      <c r="B505" s="6" t="str">
        <f>IFERROR(__xludf.DUMMYFUNCTION("""COMPUTED_VALUE"""),"gpc_ciencia_tecnica_pib")</f>
        <v>gpc_ciencia_tecnica_pib</v>
      </c>
      <c r="C505" s="6">
        <f>IFERROR(__xludf.DUMMYFUNCTION("""COMPUTED_VALUE"""),0.228699739460934)</f>
        <v>0.2286997395</v>
      </c>
    </row>
    <row r="506">
      <c r="A506" s="5">
        <f>IFERROR(__xludf.DUMMYFUNCTION("""COMPUTED_VALUE"""),34700.0)</f>
        <v>34700</v>
      </c>
      <c r="B506" s="6" t="str">
        <f>IFERROR(__xludf.DUMMYFUNCTION("""COMPUTED_VALUE"""),"gpc_cultura_pib")</f>
        <v>gpc_cultura_pib</v>
      </c>
      <c r="C506" s="6">
        <f>IFERROR(__xludf.DUMMYFUNCTION("""COMPUTED_VALUE"""),0.118614921705679)</f>
        <v>0.1186149217</v>
      </c>
    </row>
    <row r="507">
      <c r="A507" s="5">
        <f>IFERROR(__xludf.DUMMYFUNCTION("""COMPUTED_VALUE"""),34700.0)</f>
        <v>34700</v>
      </c>
      <c r="B507" s="6" t="str">
        <f>IFERROR(__xludf.DUMMYFUNCTION("""COMPUTED_VALUE"""),"gpc_educacion_cultura_sin_discriminar_pib")</f>
        <v>gpc_educacion_cultura_sin_discriminar_pib</v>
      </c>
      <c r="C507" s="6">
        <f>IFERROR(__xludf.DUMMYFUNCTION("""COMPUTED_VALUE"""),0.328220390772637)</f>
        <v>0.3282203908</v>
      </c>
    </row>
    <row r="508">
      <c r="A508" s="5">
        <f>IFERROR(__xludf.DUMMYFUNCTION("""COMPUTED_VALUE"""),34700.0)</f>
        <v>34700</v>
      </c>
      <c r="B508" s="6" t="str">
        <f>IFERROR(__xludf.DUMMYFUNCTION("""COMPUTED_VALUE"""),"gpc_atencion_salud_pib")</f>
        <v>gpc_atencion_salud_pib</v>
      </c>
      <c r="C508" s="6">
        <f>IFERROR(__xludf.DUMMYFUNCTION("""COMPUTED_VALUE"""),1.87417843888791)</f>
        <v>1.874178439</v>
      </c>
    </row>
    <row r="509">
      <c r="A509" s="5">
        <f>IFERROR(__xludf.DUMMYFUNCTION("""COMPUTED_VALUE"""),34700.0)</f>
        <v>34700</v>
      </c>
      <c r="B509" s="6" t="str">
        <f>IFERROR(__xludf.DUMMYFUNCTION("""COMPUTED_VALUE"""),"gpc_obras_sociales_salud_pib")</f>
        <v>gpc_obras_sociales_salud_pib</v>
      </c>
      <c r="C509" s="6">
        <f>IFERROR(__xludf.DUMMYFUNCTION("""COMPUTED_VALUE"""),2.03905071098254)</f>
        <v>2.039050711</v>
      </c>
    </row>
    <row r="510">
      <c r="A510" s="5">
        <f>IFERROR(__xludf.DUMMYFUNCTION("""COMPUTED_VALUE"""),34700.0)</f>
        <v>34700</v>
      </c>
      <c r="B510" s="6" t="str">
        <f>IFERROR(__xludf.DUMMYFUNCTION("""COMPUTED_VALUE"""),"gpc_inssjyp_salud_pib")</f>
        <v>gpc_inssjyp_salud_pib</v>
      </c>
      <c r="C510" s="6">
        <f>IFERROR(__xludf.DUMMYFUNCTION("""COMPUTED_VALUE"""),1.01525021903544)</f>
        <v>1.015250219</v>
      </c>
    </row>
    <row r="511">
      <c r="A511" s="5">
        <f>IFERROR(__xludf.DUMMYFUNCTION("""COMPUTED_VALUE"""),34700.0)</f>
        <v>34700</v>
      </c>
      <c r="B511" s="6" t="str">
        <f>IFERROR(__xludf.DUMMYFUNCTION("""COMPUTED_VALUE"""),"gpc_agua_alcantarillado_pib")</f>
        <v>gpc_agua_alcantarillado_pib</v>
      </c>
      <c r="C511" s="6">
        <f>IFERROR(__xludf.DUMMYFUNCTION("""COMPUTED_VALUE"""),0.241221641919154)</f>
        <v>0.2412216419</v>
      </c>
    </row>
    <row r="512">
      <c r="A512" s="5">
        <f>IFERROR(__xludf.DUMMYFUNCTION("""COMPUTED_VALUE"""),34700.0)</f>
        <v>34700</v>
      </c>
      <c r="B512" s="6" t="str">
        <f>IFERROR(__xludf.DUMMYFUNCTION("""COMPUTED_VALUE"""),"gpc_vivienda_urbanismo_pib")</f>
        <v>gpc_vivienda_urbanismo_pib</v>
      </c>
      <c r="C512" s="6">
        <f>IFERROR(__xludf.DUMMYFUNCTION("""COMPUTED_VALUE"""),0.540555264751392)</f>
        <v>0.5405552648</v>
      </c>
    </row>
    <row r="513">
      <c r="A513" s="5">
        <f>IFERROR(__xludf.DUMMYFUNCTION("""COMPUTED_VALUE"""),34700.0)</f>
        <v>34700</v>
      </c>
      <c r="B513" s="6" t="str">
        <f>IFERROR(__xludf.DUMMYFUNCTION("""COMPUTED_VALUE"""),"gpc_promocion_asistencia_social_pib")</f>
        <v>gpc_promocion_asistencia_social_pib</v>
      </c>
      <c r="C513" s="6">
        <f>IFERROR(__xludf.DUMMYFUNCTION("""COMPUTED_VALUE"""),0.635012622981503)</f>
        <v>0.635012623</v>
      </c>
    </row>
    <row r="514">
      <c r="A514" s="5">
        <f>IFERROR(__xludf.DUMMYFUNCTION("""COMPUTED_VALUE"""),34700.0)</f>
        <v>34700</v>
      </c>
      <c r="B514" s="6" t="str">
        <f>IFERROR(__xludf.DUMMYFUNCTION("""COMPUTED_VALUE"""),"gpc_obras_sociales_prestaciones_pib")</f>
        <v>gpc_obras_sociales_prestaciones_pib</v>
      </c>
      <c r="C514" s="6">
        <f>IFERROR(__xludf.DUMMYFUNCTION("""COMPUTED_VALUE"""),0.144242126316961)</f>
        <v>0.1442421263</v>
      </c>
    </row>
    <row r="515">
      <c r="A515" s="5">
        <f>IFERROR(__xludf.DUMMYFUNCTION("""COMPUTED_VALUE"""),34700.0)</f>
        <v>34700</v>
      </c>
      <c r="B515" s="6" t="str">
        <f>IFERROR(__xludf.DUMMYFUNCTION("""COMPUTED_VALUE"""),"gpc_inssjyp_prestaciones_pib")</f>
        <v>gpc_inssjyp_prestaciones_pib</v>
      </c>
      <c r="C515" s="6">
        <f>IFERROR(__xludf.DUMMYFUNCTION("""COMPUTED_VALUE"""),0.15817665943302)</f>
        <v>0.1581766594</v>
      </c>
    </row>
    <row r="516">
      <c r="A516" s="5">
        <f>IFERROR(__xludf.DUMMYFUNCTION("""COMPUTED_VALUE"""),34700.0)</f>
        <v>34700</v>
      </c>
      <c r="B516" s="6" t="str">
        <f>IFERROR(__xludf.DUMMYFUNCTION("""COMPUTED_VALUE"""),"gpc_prevision_social_pib")</f>
        <v>gpc_prevision_social_pib</v>
      </c>
      <c r="C516" s="6">
        <f>IFERROR(__xludf.DUMMYFUNCTION("""COMPUTED_VALUE"""),8.37800646322158)</f>
        <v>8.378006463</v>
      </c>
    </row>
    <row r="517">
      <c r="A517" s="5">
        <f>IFERROR(__xludf.DUMMYFUNCTION("""COMPUTED_VALUE"""),34700.0)</f>
        <v>34700</v>
      </c>
      <c r="B517" s="6" t="str">
        <f>IFERROR(__xludf.DUMMYFUNCTION("""COMPUTED_VALUE"""),"gpc_programas_empleo_pib")</f>
        <v>gpc_programas_empleo_pib</v>
      </c>
      <c r="C517" s="6">
        <f>IFERROR(__xludf.DUMMYFUNCTION("""COMPUTED_VALUE"""),0.225983079012911)</f>
        <v>0.225983079</v>
      </c>
    </row>
    <row r="518">
      <c r="A518" s="5">
        <f>IFERROR(__xludf.DUMMYFUNCTION("""COMPUTED_VALUE"""),34700.0)</f>
        <v>34700</v>
      </c>
      <c r="B518" s="6" t="str">
        <f>IFERROR(__xludf.DUMMYFUNCTION("""COMPUTED_VALUE"""),"gpc_asignaciones_familiares_pib")</f>
        <v>gpc_asignaciones_familiares_pib</v>
      </c>
      <c r="C518" s="6">
        <f>IFERROR(__xludf.DUMMYFUNCTION("""COMPUTED_VALUE"""),0.739539621787494)</f>
        <v>0.7395396218</v>
      </c>
    </row>
    <row r="519">
      <c r="A519" s="5">
        <f>IFERROR(__xludf.DUMMYFUNCTION("""COMPUTED_VALUE"""),34700.0)</f>
        <v>34700</v>
      </c>
      <c r="B519" s="6" t="str">
        <f>IFERROR(__xludf.DUMMYFUNCTION("""COMPUTED_VALUE"""),"gpc_otros_servicios_urbanos_pib")</f>
        <v>gpc_otros_servicios_urbanos_pib</v>
      </c>
      <c r="C519" s="6">
        <f>IFERROR(__xludf.DUMMYFUNCTION("""COMPUTED_VALUE"""),0.894869647537241)</f>
        <v>0.8948696475</v>
      </c>
    </row>
    <row r="520">
      <c r="A520" s="5">
        <f>IFERROR(__xludf.DUMMYFUNCTION("""COMPUTED_VALUE"""),34700.0)</f>
        <v>34700</v>
      </c>
      <c r="B520" s="6" t="str">
        <f>IFERROR(__xludf.DUMMYFUNCTION("""COMPUTED_VALUE"""),"gpc_servicios_economicos_pib")</f>
        <v>gpc_servicios_economicos_pib</v>
      </c>
      <c r="C520" s="6">
        <f>IFERROR(__xludf.DUMMYFUNCTION("""COMPUTED_VALUE"""),2.75513309726718)</f>
        <v>2.755133097</v>
      </c>
    </row>
    <row r="521">
      <c r="A521" s="5">
        <f>IFERROR(__xludf.DUMMYFUNCTION("""COMPUTED_VALUE"""),34700.0)</f>
        <v>34700</v>
      </c>
      <c r="B521" s="6" t="str">
        <f>IFERROR(__xludf.DUMMYFUNCTION("""COMPUTED_VALUE"""),"gpc_produccion_primaria_pib")</f>
        <v>gpc_produccion_primaria_pib</v>
      </c>
      <c r="C521" s="6">
        <f>IFERROR(__xludf.DUMMYFUNCTION("""COMPUTED_VALUE"""),0.328081405566926)</f>
        <v>0.3280814056</v>
      </c>
    </row>
    <row r="522">
      <c r="A522" s="5">
        <f>IFERROR(__xludf.DUMMYFUNCTION("""COMPUTED_VALUE"""),34700.0)</f>
        <v>34700</v>
      </c>
      <c r="B522" s="6" t="str">
        <f>IFERROR(__xludf.DUMMYFUNCTION("""COMPUTED_VALUE"""),"gpc_energia_combustible_pib")</f>
        <v>gpc_energia_combustible_pib</v>
      </c>
      <c r="C522" s="6">
        <f>IFERROR(__xludf.DUMMYFUNCTION("""COMPUTED_VALUE"""),0.570232412038613)</f>
        <v>0.570232412</v>
      </c>
    </row>
    <row r="523">
      <c r="A523" s="5">
        <f>IFERROR(__xludf.DUMMYFUNCTION("""COMPUTED_VALUE"""),34700.0)</f>
        <v>34700</v>
      </c>
      <c r="B523" s="6" t="str">
        <f>IFERROR(__xludf.DUMMYFUNCTION("""COMPUTED_VALUE"""),"gpc_industria_pib")</f>
        <v>gpc_industria_pib</v>
      </c>
      <c r="C523" s="6">
        <f>IFERROR(__xludf.DUMMYFUNCTION("""COMPUTED_VALUE"""),0.100706154035685)</f>
        <v>0.100706154</v>
      </c>
    </row>
    <row r="524">
      <c r="A524" s="5">
        <f>IFERROR(__xludf.DUMMYFUNCTION("""COMPUTED_VALUE"""),34700.0)</f>
        <v>34700</v>
      </c>
      <c r="B524" s="6" t="str">
        <f>IFERROR(__xludf.DUMMYFUNCTION("""COMPUTED_VALUE"""),"gpc_transporte_pib")</f>
        <v>gpc_transporte_pib</v>
      </c>
      <c r="C524" s="6">
        <f>IFERROR(__xludf.DUMMYFUNCTION("""COMPUTED_VALUE"""),1.0749575853052)</f>
        <v>1.074957585</v>
      </c>
    </row>
    <row r="525">
      <c r="A525" s="5">
        <f>IFERROR(__xludf.DUMMYFUNCTION("""COMPUTED_VALUE"""),34700.0)</f>
        <v>34700</v>
      </c>
      <c r="B525" s="6" t="str">
        <f>IFERROR(__xludf.DUMMYFUNCTION("""COMPUTED_VALUE"""),"gpc_comunicaciones_pib")</f>
        <v>gpc_comunicaciones_pib</v>
      </c>
      <c r="C525" s="6">
        <f>IFERROR(__xludf.DUMMYFUNCTION("""COMPUTED_VALUE"""),0.0795793949700429)</f>
        <v>0.07957939497</v>
      </c>
    </row>
    <row r="526">
      <c r="A526" s="5">
        <f>IFERROR(__xludf.DUMMYFUNCTION("""COMPUTED_VALUE"""),34700.0)</f>
        <v>34700</v>
      </c>
      <c r="B526" s="6" t="str">
        <f>IFERROR(__xludf.DUMMYFUNCTION("""COMPUTED_VALUE"""),"gpc_otros_servicios_economicos_pib")</f>
        <v>gpc_otros_servicios_economicos_pib</v>
      </c>
      <c r="C526" s="6">
        <f>IFERROR(__xludf.DUMMYFUNCTION("""COMPUTED_VALUE"""),0.601576145350712)</f>
        <v>0.6015761454</v>
      </c>
    </row>
    <row r="527">
      <c r="A527" s="5">
        <f>IFERROR(__xludf.DUMMYFUNCTION("""COMPUTED_VALUE"""),34700.0)</f>
        <v>34700</v>
      </c>
      <c r="B527" s="6" t="str">
        <f>IFERROR(__xludf.DUMMYFUNCTION("""COMPUTED_VALUE"""),"gpc_servicios_deuda_publica_pib")</f>
        <v>gpc_servicios_deuda_publica_pib</v>
      </c>
      <c r="C527" s="6">
        <f>IFERROR(__xludf.DUMMYFUNCTION("""COMPUTED_VALUE"""),2.24040741714474)</f>
        <v>2.240407417</v>
      </c>
    </row>
    <row r="528">
      <c r="A528" s="5">
        <f>IFERROR(__xludf.DUMMYFUNCTION("""COMPUTED_VALUE"""),34700.0)</f>
        <v>34700</v>
      </c>
      <c r="B528" s="6"/>
      <c r="C528" s="6"/>
    </row>
    <row r="529">
      <c r="A529" s="5">
        <f>IFERROR(__xludf.DUMMYFUNCTION("""COMPUTED_VALUE"""),34700.0)</f>
        <v>34700</v>
      </c>
      <c r="B529" s="6"/>
      <c r="C529" s="6"/>
    </row>
    <row r="530">
      <c r="A530" s="5">
        <f>IFERROR(__xludf.DUMMYFUNCTION("""COMPUTED_VALUE"""),35065.0)</f>
        <v>35065</v>
      </c>
      <c r="B530" s="6" t="str">
        <f>IFERROR(__xludf.DUMMYFUNCTION("""COMPUTED_VALUE"""),"gpc_pib")</f>
        <v>gpc_pib</v>
      </c>
      <c r="C530" s="6">
        <f>IFERROR(__xludf.DUMMYFUNCTION("""COMPUTED_VALUE"""),30.5447998307878)</f>
        <v>30.54479983</v>
      </c>
    </row>
    <row r="531">
      <c r="A531" s="5">
        <f>IFERROR(__xludf.DUMMYFUNCTION("""COMPUTED_VALUE"""),35065.0)</f>
        <v>35065</v>
      </c>
      <c r="B531" s="6" t="str">
        <f>IFERROR(__xludf.DUMMYFUNCTION("""COMPUTED_VALUE"""),"gpc_funcionamiento_estado_pib")</f>
        <v>gpc_funcionamiento_estado_pib</v>
      </c>
      <c r="C531" s="6">
        <f>IFERROR(__xludf.DUMMYFUNCTION("""COMPUTED_VALUE"""),5.87328853990028)</f>
        <v>5.87328854</v>
      </c>
    </row>
    <row r="532">
      <c r="A532" s="5">
        <f>IFERROR(__xludf.DUMMYFUNCTION("""COMPUTED_VALUE"""),35065.0)</f>
        <v>35065</v>
      </c>
      <c r="B532" s="6" t="str">
        <f>IFERROR(__xludf.DUMMYFUNCTION("""COMPUTED_VALUE"""),"gpc_administracion_general_pib")</f>
        <v>gpc_administracion_general_pib</v>
      </c>
      <c r="C532" s="6">
        <f>IFERROR(__xludf.DUMMYFUNCTION("""COMPUTED_VALUE"""),2.93903527425896)</f>
        <v>2.939035274</v>
      </c>
    </row>
    <row r="533">
      <c r="A533" s="5">
        <f>IFERROR(__xludf.DUMMYFUNCTION("""COMPUTED_VALUE"""),35065.0)</f>
        <v>35065</v>
      </c>
      <c r="B533" s="6" t="str">
        <f>IFERROR(__xludf.DUMMYFUNCTION("""COMPUTED_VALUE"""),"gpc_justicia_pib")</f>
        <v>gpc_justicia_pib</v>
      </c>
      <c r="C533" s="6">
        <f>IFERROR(__xludf.DUMMYFUNCTION("""COMPUTED_VALUE"""),0.747418595867468)</f>
        <v>0.7474185959</v>
      </c>
    </row>
    <row r="534">
      <c r="A534" s="5">
        <f>IFERROR(__xludf.DUMMYFUNCTION("""COMPUTED_VALUE"""),35065.0)</f>
        <v>35065</v>
      </c>
      <c r="B534" s="6" t="str">
        <f>IFERROR(__xludf.DUMMYFUNCTION("""COMPUTED_VALUE"""),"gpc_defensa_seguridad_pib")</f>
        <v>gpc_defensa_seguridad_pib</v>
      </c>
      <c r="C534" s="6">
        <f>IFERROR(__xludf.DUMMYFUNCTION("""COMPUTED_VALUE"""),2.18683466977385)</f>
        <v>2.18683467</v>
      </c>
    </row>
    <row r="535">
      <c r="A535" s="5">
        <f>IFERROR(__xludf.DUMMYFUNCTION("""COMPUTED_VALUE"""),35065.0)</f>
        <v>35065</v>
      </c>
      <c r="B535" s="6" t="str">
        <f>IFERROR(__xludf.DUMMYFUNCTION("""COMPUTED_VALUE"""),"gpc_servicios_sociales_pib")</f>
        <v>gpc_servicios_sociales_pib</v>
      </c>
      <c r="C535" s="6">
        <f>IFERROR(__xludf.DUMMYFUNCTION("""COMPUTED_VALUE"""),20.1142902620518)</f>
        <v>20.11429026</v>
      </c>
    </row>
    <row r="536">
      <c r="A536" s="5">
        <f>IFERROR(__xludf.DUMMYFUNCTION("""COMPUTED_VALUE"""),35065.0)</f>
        <v>35065</v>
      </c>
      <c r="B536" s="6" t="str">
        <f>IFERROR(__xludf.DUMMYFUNCTION("""COMPUTED_VALUE"""),"gpc_educacion_basica_pib")</f>
        <v>gpc_educacion_basica_pib</v>
      </c>
      <c r="C536" s="6">
        <f>IFERROR(__xludf.DUMMYFUNCTION("""COMPUTED_VALUE"""),2.67072795570632)</f>
        <v>2.670727956</v>
      </c>
    </row>
    <row r="537">
      <c r="A537" s="5">
        <f>IFERROR(__xludf.DUMMYFUNCTION("""COMPUTED_VALUE"""),35065.0)</f>
        <v>35065</v>
      </c>
      <c r="B537" s="6" t="str">
        <f>IFERROR(__xludf.DUMMYFUNCTION("""COMPUTED_VALUE"""),"gpc_educacion_universitaria_pib")</f>
        <v>gpc_educacion_universitaria_pib</v>
      </c>
      <c r="C537" s="6">
        <f>IFERROR(__xludf.DUMMYFUNCTION("""COMPUTED_VALUE"""),0.832353214639969)</f>
        <v>0.8323532146</v>
      </c>
    </row>
    <row r="538">
      <c r="A538" s="5">
        <f>IFERROR(__xludf.DUMMYFUNCTION("""COMPUTED_VALUE"""),35065.0)</f>
        <v>35065</v>
      </c>
      <c r="B538" s="6" t="str">
        <f>IFERROR(__xludf.DUMMYFUNCTION("""COMPUTED_VALUE"""),"gpc_ciencia_tecnica_pib")</f>
        <v>gpc_ciencia_tecnica_pib</v>
      </c>
      <c r="C538" s="6">
        <f>IFERROR(__xludf.DUMMYFUNCTION("""COMPUTED_VALUE"""),0.195548711021082)</f>
        <v>0.195548711</v>
      </c>
    </row>
    <row r="539">
      <c r="A539" s="5">
        <f>IFERROR(__xludf.DUMMYFUNCTION("""COMPUTED_VALUE"""),35065.0)</f>
        <v>35065</v>
      </c>
      <c r="B539" s="6" t="str">
        <f>IFERROR(__xludf.DUMMYFUNCTION("""COMPUTED_VALUE"""),"gpc_cultura_pib")</f>
        <v>gpc_cultura_pib</v>
      </c>
      <c r="C539" s="6">
        <f>IFERROR(__xludf.DUMMYFUNCTION("""COMPUTED_VALUE"""),0.124231260659833)</f>
        <v>0.1242312607</v>
      </c>
    </row>
    <row r="540">
      <c r="A540" s="5">
        <f>IFERROR(__xludf.DUMMYFUNCTION("""COMPUTED_VALUE"""),35065.0)</f>
        <v>35065</v>
      </c>
      <c r="B540" s="6" t="str">
        <f>IFERROR(__xludf.DUMMYFUNCTION("""COMPUTED_VALUE"""),"gpc_educacion_cultura_sin_discriminar_pib")</f>
        <v>gpc_educacion_cultura_sin_discriminar_pib</v>
      </c>
      <c r="C540" s="6">
        <f>IFERROR(__xludf.DUMMYFUNCTION("""COMPUTED_VALUE"""),0.313730528474772)</f>
        <v>0.3137305285</v>
      </c>
    </row>
    <row r="541">
      <c r="A541" s="5">
        <f>IFERROR(__xludf.DUMMYFUNCTION("""COMPUTED_VALUE"""),35065.0)</f>
        <v>35065</v>
      </c>
      <c r="B541" s="6" t="str">
        <f>IFERROR(__xludf.DUMMYFUNCTION("""COMPUTED_VALUE"""),"gpc_atencion_salud_pib")</f>
        <v>gpc_atencion_salud_pib</v>
      </c>
      <c r="C541" s="6">
        <f>IFERROR(__xludf.DUMMYFUNCTION("""COMPUTED_VALUE"""),1.77634680551874)</f>
        <v>1.776346806</v>
      </c>
    </row>
    <row r="542">
      <c r="A542" s="5">
        <f>IFERROR(__xludf.DUMMYFUNCTION("""COMPUTED_VALUE"""),35065.0)</f>
        <v>35065</v>
      </c>
      <c r="B542" s="6" t="str">
        <f>IFERROR(__xludf.DUMMYFUNCTION("""COMPUTED_VALUE"""),"gpc_obras_sociales_salud_pib")</f>
        <v>gpc_obras_sociales_salud_pib</v>
      </c>
      <c r="C542" s="6">
        <f>IFERROR(__xludf.DUMMYFUNCTION("""COMPUTED_VALUE"""),1.95249260059647)</f>
        <v>1.952492601</v>
      </c>
    </row>
    <row r="543">
      <c r="A543" s="5">
        <f>IFERROR(__xludf.DUMMYFUNCTION("""COMPUTED_VALUE"""),35065.0)</f>
        <v>35065</v>
      </c>
      <c r="B543" s="6" t="str">
        <f>IFERROR(__xludf.DUMMYFUNCTION("""COMPUTED_VALUE"""),"gpc_inssjyp_salud_pib")</f>
        <v>gpc_inssjyp_salud_pib</v>
      </c>
      <c r="C543" s="6">
        <f>IFERROR(__xludf.DUMMYFUNCTION("""COMPUTED_VALUE"""),0.88158821922231)</f>
        <v>0.8815882192</v>
      </c>
    </row>
    <row r="544">
      <c r="A544" s="5">
        <f>IFERROR(__xludf.DUMMYFUNCTION("""COMPUTED_VALUE"""),35065.0)</f>
        <v>35065</v>
      </c>
      <c r="B544" s="6" t="str">
        <f>IFERROR(__xludf.DUMMYFUNCTION("""COMPUTED_VALUE"""),"gpc_agua_alcantarillado_pib")</f>
        <v>gpc_agua_alcantarillado_pib</v>
      </c>
      <c r="C544" s="6">
        <f>IFERROR(__xludf.DUMMYFUNCTION("""COMPUTED_VALUE"""),0.239706028849185)</f>
        <v>0.2397060288</v>
      </c>
    </row>
    <row r="545">
      <c r="A545" s="5">
        <f>IFERROR(__xludf.DUMMYFUNCTION("""COMPUTED_VALUE"""),35065.0)</f>
        <v>35065</v>
      </c>
      <c r="B545" s="6" t="str">
        <f>IFERROR(__xludf.DUMMYFUNCTION("""COMPUTED_VALUE"""),"gpc_vivienda_urbanismo_pib")</f>
        <v>gpc_vivienda_urbanismo_pib</v>
      </c>
      <c r="C545" s="6">
        <f>IFERROR(__xludf.DUMMYFUNCTION("""COMPUTED_VALUE"""),0.507466889832437)</f>
        <v>0.5074668898</v>
      </c>
    </row>
    <row r="546">
      <c r="A546" s="5">
        <f>IFERROR(__xludf.DUMMYFUNCTION("""COMPUTED_VALUE"""),35065.0)</f>
        <v>35065</v>
      </c>
      <c r="B546" s="6" t="str">
        <f>IFERROR(__xludf.DUMMYFUNCTION("""COMPUTED_VALUE"""),"gpc_promocion_asistencia_social_pib")</f>
        <v>gpc_promocion_asistencia_social_pib</v>
      </c>
      <c r="C546" s="6">
        <f>IFERROR(__xludf.DUMMYFUNCTION("""COMPUTED_VALUE"""),0.655766722681533)</f>
        <v>0.6557667227</v>
      </c>
    </row>
    <row r="547">
      <c r="A547" s="5">
        <f>IFERROR(__xludf.DUMMYFUNCTION("""COMPUTED_VALUE"""),35065.0)</f>
        <v>35065</v>
      </c>
      <c r="B547" s="6" t="str">
        <f>IFERROR(__xludf.DUMMYFUNCTION("""COMPUTED_VALUE"""),"gpc_obras_sociales_prestaciones_pib")</f>
        <v>gpc_obras_sociales_prestaciones_pib</v>
      </c>
      <c r="C547" s="6">
        <f>IFERROR(__xludf.DUMMYFUNCTION("""COMPUTED_VALUE"""),0.129580293588731)</f>
        <v>0.1295802936</v>
      </c>
    </row>
    <row r="548">
      <c r="A548" s="5">
        <f>IFERROR(__xludf.DUMMYFUNCTION("""COMPUTED_VALUE"""),35065.0)</f>
        <v>35065</v>
      </c>
      <c r="B548" s="6" t="str">
        <f>IFERROR(__xludf.DUMMYFUNCTION("""COMPUTED_VALUE"""),"gpc_inssjyp_prestaciones_pib")</f>
        <v>gpc_inssjyp_prestaciones_pib</v>
      </c>
      <c r="C548" s="6">
        <f>IFERROR(__xludf.DUMMYFUNCTION("""COMPUTED_VALUE"""),0.11525173750511)</f>
        <v>0.1152517375</v>
      </c>
    </row>
    <row r="549">
      <c r="A549" s="5">
        <f>IFERROR(__xludf.DUMMYFUNCTION("""COMPUTED_VALUE"""),35065.0)</f>
        <v>35065</v>
      </c>
      <c r="B549" s="6" t="str">
        <f>IFERROR(__xludf.DUMMYFUNCTION("""COMPUTED_VALUE"""),"gpc_prevision_social_pib")</f>
        <v>gpc_prevision_social_pib</v>
      </c>
      <c r="C549" s="6">
        <f>IFERROR(__xludf.DUMMYFUNCTION("""COMPUTED_VALUE"""),8.0038037992448)</f>
        <v>8.003803799</v>
      </c>
    </row>
    <row r="550">
      <c r="A550" s="5">
        <f>IFERROR(__xludf.DUMMYFUNCTION("""COMPUTED_VALUE"""),35065.0)</f>
        <v>35065</v>
      </c>
      <c r="B550" s="6" t="str">
        <f>IFERROR(__xludf.DUMMYFUNCTION("""COMPUTED_VALUE"""),"gpc_programas_empleo_pib")</f>
        <v>gpc_programas_empleo_pib</v>
      </c>
      <c r="C550" s="6">
        <f>IFERROR(__xludf.DUMMYFUNCTION("""COMPUTED_VALUE"""),0.264464537027145)</f>
        <v>0.264464537</v>
      </c>
    </row>
    <row r="551">
      <c r="A551" s="5">
        <f>IFERROR(__xludf.DUMMYFUNCTION("""COMPUTED_VALUE"""),35065.0)</f>
        <v>35065</v>
      </c>
      <c r="B551" s="6" t="str">
        <f>IFERROR(__xludf.DUMMYFUNCTION("""COMPUTED_VALUE"""),"gpc_asignaciones_familiares_pib")</f>
        <v>gpc_asignaciones_familiares_pib</v>
      </c>
      <c r="C551" s="6">
        <f>IFERROR(__xludf.DUMMYFUNCTION("""COMPUTED_VALUE"""),0.645259978778878)</f>
        <v>0.6452599788</v>
      </c>
    </row>
    <row r="552">
      <c r="A552" s="5">
        <f>IFERROR(__xludf.DUMMYFUNCTION("""COMPUTED_VALUE"""),35065.0)</f>
        <v>35065</v>
      </c>
      <c r="B552" s="6" t="str">
        <f>IFERROR(__xludf.DUMMYFUNCTION("""COMPUTED_VALUE"""),"gpc_otros_servicios_urbanos_pib")</f>
        <v>gpc_otros_servicios_urbanos_pib</v>
      </c>
      <c r="C552" s="6">
        <f>IFERROR(__xludf.DUMMYFUNCTION("""COMPUTED_VALUE"""),0.805970978704528)</f>
        <v>0.8059709787</v>
      </c>
    </row>
    <row r="553">
      <c r="A553" s="5">
        <f>IFERROR(__xludf.DUMMYFUNCTION("""COMPUTED_VALUE"""),35065.0)</f>
        <v>35065</v>
      </c>
      <c r="B553" s="6" t="str">
        <f>IFERROR(__xludf.DUMMYFUNCTION("""COMPUTED_VALUE"""),"gpc_servicios_economicos_pib")</f>
        <v>gpc_servicios_economicos_pib</v>
      </c>
      <c r="C553" s="6">
        <f>IFERROR(__xludf.DUMMYFUNCTION("""COMPUTED_VALUE"""),2.34829520768146)</f>
        <v>2.348295208</v>
      </c>
    </row>
    <row r="554">
      <c r="A554" s="5">
        <f>IFERROR(__xludf.DUMMYFUNCTION("""COMPUTED_VALUE"""),35065.0)</f>
        <v>35065</v>
      </c>
      <c r="B554" s="6" t="str">
        <f>IFERROR(__xludf.DUMMYFUNCTION("""COMPUTED_VALUE"""),"gpc_produccion_primaria_pib")</f>
        <v>gpc_produccion_primaria_pib</v>
      </c>
      <c r="C554" s="6">
        <f>IFERROR(__xludf.DUMMYFUNCTION("""COMPUTED_VALUE"""),0.309079027213115)</f>
        <v>0.3090790272</v>
      </c>
    </row>
    <row r="555">
      <c r="A555" s="5">
        <f>IFERROR(__xludf.DUMMYFUNCTION("""COMPUTED_VALUE"""),35065.0)</f>
        <v>35065</v>
      </c>
      <c r="B555" s="6" t="str">
        <f>IFERROR(__xludf.DUMMYFUNCTION("""COMPUTED_VALUE"""),"gpc_energia_combustible_pib")</f>
        <v>gpc_energia_combustible_pib</v>
      </c>
      <c r="C555" s="6">
        <f>IFERROR(__xludf.DUMMYFUNCTION("""COMPUTED_VALUE"""),0.378566490850541)</f>
        <v>0.3785664909</v>
      </c>
    </row>
    <row r="556">
      <c r="A556" s="5">
        <f>IFERROR(__xludf.DUMMYFUNCTION("""COMPUTED_VALUE"""),35065.0)</f>
        <v>35065</v>
      </c>
      <c r="B556" s="6" t="str">
        <f>IFERROR(__xludf.DUMMYFUNCTION("""COMPUTED_VALUE"""),"gpc_industria_pib")</f>
        <v>gpc_industria_pib</v>
      </c>
      <c r="C556" s="6">
        <f>IFERROR(__xludf.DUMMYFUNCTION("""COMPUTED_VALUE"""),0.073356219170182)</f>
        <v>0.07335621917</v>
      </c>
    </row>
    <row r="557">
      <c r="A557" s="5">
        <f>IFERROR(__xludf.DUMMYFUNCTION("""COMPUTED_VALUE"""),35065.0)</f>
        <v>35065</v>
      </c>
      <c r="B557" s="6" t="str">
        <f>IFERROR(__xludf.DUMMYFUNCTION("""COMPUTED_VALUE"""),"gpc_transporte_pib")</f>
        <v>gpc_transporte_pib</v>
      </c>
      <c r="C557" s="6">
        <f>IFERROR(__xludf.DUMMYFUNCTION("""COMPUTED_VALUE"""),0.912004506648916)</f>
        <v>0.9120045066</v>
      </c>
    </row>
    <row r="558">
      <c r="A558" s="5">
        <f>IFERROR(__xludf.DUMMYFUNCTION("""COMPUTED_VALUE"""),35065.0)</f>
        <v>35065</v>
      </c>
      <c r="B558" s="6" t="str">
        <f>IFERROR(__xludf.DUMMYFUNCTION("""COMPUTED_VALUE"""),"gpc_comunicaciones_pib")</f>
        <v>gpc_comunicaciones_pib</v>
      </c>
      <c r="C558" s="6">
        <f>IFERROR(__xludf.DUMMYFUNCTION("""COMPUTED_VALUE"""),0.0595519704441964)</f>
        <v>0.05955197044</v>
      </c>
    </row>
    <row r="559">
      <c r="A559" s="5">
        <f>IFERROR(__xludf.DUMMYFUNCTION("""COMPUTED_VALUE"""),35065.0)</f>
        <v>35065</v>
      </c>
      <c r="B559" s="6" t="str">
        <f>IFERROR(__xludf.DUMMYFUNCTION("""COMPUTED_VALUE"""),"gpc_otros_servicios_economicos_pib")</f>
        <v>gpc_otros_servicios_economicos_pib</v>
      </c>
      <c r="C559" s="6">
        <f>IFERROR(__xludf.DUMMYFUNCTION("""COMPUTED_VALUE"""),0.615736993354515)</f>
        <v>0.6157369934</v>
      </c>
    </row>
    <row r="560">
      <c r="A560" s="5">
        <f>IFERROR(__xludf.DUMMYFUNCTION("""COMPUTED_VALUE"""),35065.0)</f>
        <v>35065</v>
      </c>
      <c r="B560" s="6" t="str">
        <f>IFERROR(__xludf.DUMMYFUNCTION("""COMPUTED_VALUE"""),"gpc_servicios_deuda_publica_pib")</f>
        <v>gpc_servicios_deuda_publica_pib</v>
      </c>
      <c r="C560" s="6">
        <f>IFERROR(__xludf.DUMMYFUNCTION("""COMPUTED_VALUE"""),2.2089258211542)</f>
        <v>2.208925821</v>
      </c>
    </row>
    <row r="561">
      <c r="A561" s="5">
        <f>IFERROR(__xludf.DUMMYFUNCTION("""COMPUTED_VALUE"""),35065.0)</f>
        <v>35065</v>
      </c>
      <c r="B561" s="6"/>
      <c r="C561" s="6"/>
    </row>
    <row r="562">
      <c r="A562" s="5">
        <f>IFERROR(__xludf.DUMMYFUNCTION("""COMPUTED_VALUE"""),35065.0)</f>
        <v>35065</v>
      </c>
      <c r="B562" s="6"/>
      <c r="C562" s="6"/>
    </row>
    <row r="563">
      <c r="A563" s="5">
        <f>IFERROR(__xludf.DUMMYFUNCTION("""COMPUTED_VALUE"""),35431.0)</f>
        <v>35431</v>
      </c>
      <c r="B563" s="6" t="str">
        <f>IFERROR(__xludf.DUMMYFUNCTION("""COMPUTED_VALUE"""),"gpc_pib")</f>
        <v>gpc_pib</v>
      </c>
      <c r="C563" s="6">
        <f>IFERROR(__xludf.DUMMYFUNCTION("""COMPUTED_VALUE"""),30.3567455599236)</f>
        <v>30.35674556</v>
      </c>
    </row>
    <row r="564">
      <c r="A564" s="5">
        <f>IFERROR(__xludf.DUMMYFUNCTION("""COMPUTED_VALUE"""),35431.0)</f>
        <v>35431</v>
      </c>
      <c r="B564" s="6" t="str">
        <f>IFERROR(__xludf.DUMMYFUNCTION("""COMPUTED_VALUE"""),"gpc_funcionamiento_estado_pib")</f>
        <v>gpc_funcionamiento_estado_pib</v>
      </c>
      <c r="C564" s="6">
        <f>IFERROR(__xludf.DUMMYFUNCTION("""COMPUTED_VALUE"""),5.65858227739606)</f>
        <v>5.658582277</v>
      </c>
    </row>
    <row r="565">
      <c r="A565" s="5">
        <f>IFERROR(__xludf.DUMMYFUNCTION("""COMPUTED_VALUE"""),35431.0)</f>
        <v>35431</v>
      </c>
      <c r="B565" s="6" t="str">
        <f>IFERROR(__xludf.DUMMYFUNCTION("""COMPUTED_VALUE"""),"gpc_administracion_general_pib")</f>
        <v>gpc_administracion_general_pib</v>
      </c>
      <c r="C565" s="6">
        <f>IFERROR(__xludf.DUMMYFUNCTION("""COMPUTED_VALUE"""),2.78113446506157)</f>
        <v>2.781134465</v>
      </c>
    </row>
    <row r="566">
      <c r="A566" s="5">
        <f>IFERROR(__xludf.DUMMYFUNCTION("""COMPUTED_VALUE"""),35431.0)</f>
        <v>35431</v>
      </c>
      <c r="B566" s="6" t="str">
        <f>IFERROR(__xludf.DUMMYFUNCTION("""COMPUTED_VALUE"""),"gpc_justicia_pib")</f>
        <v>gpc_justicia_pib</v>
      </c>
      <c r="C566" s="6">
        <f>IFERROR(__xludf.DUMMYFUNCTION("""COMPUTED_VALUE"""),0.754356183576106)</f>
        <v>0.7543561836</v>
      </c>
    </row>
    <row r="567">
      <c r="A567" s="5">
        <f>IFERROR(__xludf.DUMMYFUNCTION("""COMPUTED_VALUE"""),35431.0)</f>
        <v>35431</v>
      </c>
      <c r="B567" s="6" t="str">
        <f>IFERROR(__xludf.DUMMYFUNCTION("""COMPUTED_VALUE"""),"gpc_defensa_seguridad_pib")</f>
        <v>gpc_defensa_seguridad_pib</v>
      </c>
      <c r="C567" s="6">
        <f>IFERROR(__xludf.DUMMYFUNCTION("""COMPUTED_VALUE"""),2.12309162875838)</f>
        <v>2.123091629</v>
      </c>
    </row>
    <row r="568">
      <c r="A568" s="5">
        <f>IFERROR(__xludf.DUMMYFUNCTION("""COMPUTED_VALUE"""),35431.0)</f>
        <v>35431</v>
      </c>
      <c r="B568" s="6" t="str">
        <f>IFERROR(__xludf.DUMMYFUNCTION("""COMPUTED_VALUE"""),"gpc_servicios_sociales_pib")</f>
        <v>gpc_servicios_sociales_pib</v>
      </c>
      <c r="C568" s="6">
        <f>IFERROR(__xludf.DUMMYFUNCTION("""COMPUTED_VALUE"""),19.8247572105816)</f>
        <v>19.82475721</v>
      </c>
    </row>
    <row r="569">
      <c r="A569" s="5">
        <f>IFERROR(__xludf.DUMMYFUNCTION("""COMPUTED_VALUE"""),35431.0)</f>
        <v>35431</v>
      </c>
      <c r="B569" s="6" t="str">
        <f>IFERROR(__xludf.DUMMYFUNCTION("""COMPUTED_VALUE"""),"gpc_educacion_basica_pib")</f>
        <v>gpc_educacion_basica_pib</v>
      </c>
      <c r="C569" s="6">
        <f>IFERROR(__xludf.DUMMYFUNCTION("""COMPUTED_VALUE"""),2.84150035959537)</f>
        <v>2.84150036</v>
      </c>
    </row>
    <row r="570">
      <c r="A570" s="5">
        <f>IFERROR(__xludf.DUMMYFUNCTION("""COMPUTED_VALUE"""),35431.0)</f>
        <v>35431</v>
      </c>
      <c r="B570" s="6" t="str">
        <f>IFERROR(__xludf.DUMMYFUNCTION("""COMPUTED_VALUE"""),"gpc_educacion_universitaria_pib")</f>
        <v>gpc_educacion_universitaria_pib</v>
      </c>
      <c r="C570" s="6">
        <f>IFERROR(__xludf.DUMMYFUNCTION("""COMPUTED_VALUE"""),0.807516147356856)</f>
        <v>0.8075161474</v>
      </c>
    </row>
    <row r="571">
      <c r="A571" s="5">
        <f>IFERROR(__xludf.DUMMYFUNCTION("""COMPUTED_VALUE"""),35431.0)</f>
        <v>35431</v>
      </c>
      <c r="B571" s="6" t="str">
        <f>IFERROR(__xludf.DUMMYFUNCTION("""COMPUTED_VALUE"""),"gpc_ciencia_tecnica_pib")</f>
        <v>gpc_ciencia_tecnica_pib</v>
      </c>
      <c r="C571" s="6">
        <f>IFERROR(__xludf.DUMMYFUNCTION("""COMPUTED_VALUE"""),0.217694301264435)</f>
        <v>0.2176943013</v>
      </c>
    </row>
    <row r="572">
      <c r="A572" s="5">
        <f>IFERROR(__xludf.DUMMYFUNCTION("""COMPUTED_VALUE"""),35431.0)</f>
        <v>35431</v>
      </c>
      <c r="B572" s="6" t="str">
        <f>IFERROR(__xludf.DUMMYFUNCTION("""COMPUTED_VALUE"""),"gpc_cultura_pib")</f>
        <v>gpc_cultura_pib</v>
      </c>
      <c r="C572" s="6">
        <f>IFERROR(__xludf.DUMMYFUNCTION("""COMPUTED_VALUE"""),0.120708548160231)</f>
        <v>0.1207085482</v>
      </c>
    </row>
    <row r="573">
      <c r="A573" s="5">
        <f>IFERROR(__xludf.DUMMYFUNCTION("""COMPUTED_VALUE"""),35431.0)</f>
        <v>35431</v>
      </c>
      <c r="B573" s="6" t="str">
        <f>IFERROR(__xludf.DUMMYFUNCTION("""COMPUTED_VALUE"""),"gpc_educacion_cultura_sin_discriminar_pib")</f>
        <v>gpc_educacion_cultura_sin_discriminar_pib</v>
      </c>
      <c r="C573" s="6">
        <f>IFERROR(__xludf.DUMMYFUNCTION("""COMPUTED_VALUE"""),0.327149911627445)</f>
        <v>0.3271499116</v>
      </c>
    </row>
    <row r="574">
      <c r="A574" s="5">
        <f>IFERROR(__xludf.DUMMYFUNCTION("""COMPUTED_VALUE"""),35431.0)</f>
        <v>35431</v>
      </c>
      <c r="B574" s="6" t="str">
        <f>IFERROR(__xludf.DUMMYFUNCTION("""COMPUTED_VALUE"""),"gpc_atencion_salud_pib")</f>
        <v>gpc_atencion_salud_pib</v>
      </c>
      <c r="C574" s="6">
        <f>IFERROR(__xludf.DUMMYFUNCTION("""COMPUTED_VALUE"""),1.7689563234278)</f>
        <v>1.768956323</v>
      </c>
    </row>
    <row r="575">
      <c r="A575" s="5">
        <f>IFERROR(__xludf.DUMMYFUNCTION("""COMPUTED_VALUE"""),35431.0)</f>
        <v>35431</v>
      </c>
      <c r="B575" s="6" t="str">
        <f>IFERROR(__xludf.DUMMYFUNCTION("""COMPUTED_VALUE"""),"gpc_obras_sociales_salud_pib")</f>
        <v>gpc_obras_sociales_salud_pib</v>
      </c>
      <c r="C575" s="6">
        <f>IFERROR(__xludf.DUMMYFUNCTION("""COMPUTED_VALUE"""),1.93280721491547)</f>
        <v>1.932807215</v>
      </c>
    </row>
    <row r="576">
      <c r="A576" s="5">
        <f>IFERROR(__xludf.DUMMYFUNCTION("""COMPUTED_VALUE"""),35431.0)</f>
        <v>35431</v>
      </c>
      <c r="B576" s="6" t="str">
        <f>IFERROR(__xludf.DUMMYFUNCTION("""COMPUTED_VALUE"""),"gpc_inssjyp_salud_pib")</f>
        <v>gpc_inssjyp_salud_pib</v>
      </c>
      <c r="C576" s="6">
        <f>IFERROR(__xludf.DUMMYFUNCTION("""COMPUTED_VALUE"""),0.823126523562937)</f>
        <v>0.8231265236</v>
      </c>
    </row>
    <row r="577">
      <c r="A577" s="5">
        <f>IFERROR(__xludf.DUMMYFUNCTION("""COMPUTED_VALUE"""),35431.0)</f>
        <v>35431</v>
      </c>
      <c r="B577" s="6" t="str">
        <f>IFERROR(__xludf.DUMMYFUNCTION("""COMPUTED_VALUE"""),"gpc_agua_alcantarillado_pib")</f>
        <v>gpc_agua_alcantarillado_pib</v>
      </c>
      <c r="C577" s="6">
        <f>IFERROR(__xludf.DUMMYFUNCTION("""COMPUTED_VALUE"""),0.256295957508114)</f>
        <v>0.2562959575</v>
      </c>
    </row>
    <row r="578">
      <c r="A578" s="5">
        <f>IFERROR(__xludf.DUMMYFUNCTION("""COMPUTED_VALUE"""),35431.0)</f>
        <v>35431</v>
      </c>
      <c r="B578" s="6" t="str">
        <f>IFERROR(__xludf.DUMMYFUNCTION("""COMPUTED_VALUE"""),"gpc_vivienda_urbanismo_pib")</f>
        <v>gpc_vivienda_urbanismo_pib</v>
      </c>
      <c r="C578" s="6">
        <f>IFERROR(__xludf.DUMMYFUNCTION("""COMPUTED_VALUE"""),0.562512889176909)</f>
        <v>0.5625128892</v>
      </c>
    </row>
    <row r="579">
      <c r="A579" s="5">
        <f>IFERROR(__xludf.DUMMYFUNCTION("""COMPUTED_VALUE"""),35431.0)</f>
        <v>35431</v>
      </c>
      <c r="B579" s="6" t="str">
        <f>IFERROR(__xludf.DUMMYFUNCTION("""COMPUTED_VALUE"""),"gpc_promocion_asistencia_social_pib")</f>
        <v>gpc_promocion_asistencia_social_pib</v>
      </c>
      <c r="C579" s="6">
        <f>IFERROR(__xludf.DUMMYFUNCTION("""COMPUTED_VALUE"""),0.793227832441716)</f>
        <v>0.7932278324</v>
      </c>
    </row>
    <row r="580">
      <c r="A580" s="5">
        <f>IFERROR(__xludf.DUMMYFUNCTION("""COMPUTED_VALUE"""),35431.0)</f>
        <v>35431</v>
      </c>
      <c r="B580" s="6" t="str">
        <f>IFERROR(__xludf.DUMMYFUNCTION("""COMPUTED_VALUE"""),"gpc_obras_sociales_prestaciones_pib")</f>
        <v>gpc_obras_sociales_prestaciones_pib</v>
      </c>
      <c r="C580" s="6">
        <f>IFERROR(__xludf.DUMMYFUNCTION("""COMPUTED_VALUE"""),0.121805642887301)</f>
        <v>0.1218056429</v>
      </c>
    </row>
    <row r="581">
      <c r="A581" s="5">
        <f>IFERROR(__xludf.DUMMYFUNCTION("""COMPUTED_VALUE"""),35431.0)</f>
        <v>35431</v>
      </c>
      <c r="B581" s="6" t="str">
        <f>IFERROR(__xludf.DUMMYFUNCTION("""COMPUTED_VALUE"""),"gpc_inssjyp_prestaciones_pib")</f>
        <v>gpc_inssjyp_prestaciones_pib</v>
      </c>
      <c r="C581" s="6">
        <f>IFERROR(__xludf.DUMMYFUNCTION("""COMPUTED_VALUE"""),0.121581716910437)</f>
        <v>0.1215817169</v>
      </c>
    </row>
    <row r="582">
      <c r="A582" s="5">
        <f>IFERROR(__xludf.DUMMYFUNCTION("""COMPUTED_VALUE"""),35431.0)</f>
        <v>35431</v>
      </c>
      <c r="B582" s="6" t="str">
        <f>IFERROR(__xludf.DUMMYFUNCTION("""COMPUTED_VALUE"""),"gpc_prevision_social_pib")</f>
        <v>gpc_prevision_social_pib</v>
      </c>
      <c r="C582" s="6">
        <f>IFERROR(__xludf.DUMMYFUNCTION("""COMPUTED_VALUE"""),7.50334502343186)</f>
        <v>7.503345023</v>
      </c>
    </row>
    <row r="583">
      <c r="A583" s="5">
        <f>IFERROR(__xludf.DUMMYFUNCTION("""COMPUTED_VALUE"""),35431.0)</f>
        <v>35431</v>
      </c>
      <c r="B583" s="6" t="str">
        <f>IFERROR(__xludf.DUMMYFUNCTION("""COMPUTED_VALUE"""),"gpc_programas_empleo_pib")</f>
        <v>gpc_programas_empleo_pib</v>
      </c>
      <c r="C583" s="6">
        <f>IFERROR(__xludf.DUMMYFUNCTION("""COMPUTED_VALUE"""),0.274759928380136)</f>
        <v>0.2747599284</v>
      </c>
    </row>
    <row r="584">
      <c r="A584" s="5">
        <f>IFERROR(__xludf.DUMMYFUNCTION("""COMPUTED_VALUE"""),35431.0)</f>
        <v>35431</v>
      </c>
      <c r="B584" s="6" t="str">
        <f>IFERROR(__xludf.DUMMYFUNCTION("""COMPUTED_VALUE"""),"gpc_asignaciones_familiares_pib")</f>
        <v>gpc_asignaciones_familiares_pib</v>
      </c>
      <c r="C584" s="6">
        <f>IFERROR(__xludf.DUMMYFUNCTION("""COMPUTED_VALUE"""),0.586862968097555)</f>
        <v>0.5868629681</v>
      </c>
    </row>
    <row r="585">
      <c r="A585" s="5">
        <f>IFERROR(__xludf.DUMMYFUNCTION("""COMPUTED_VALUE"""),35431.0)</f>
        <v>35431</v>
      </c>
      <c r="B585" s="6" t="str">
        <f>IFERROR(__xludf.DUMMYFUNCTION("""COMPUTED_VALUE"""),"gpc_otros_servicios_urbanos_pib")</f>
        <v>gpc_otros_servicios_urbanos_pib</v>
      </c>
      <c r="C585" s="6">
        <f>IFERROR(__xludf.DUMMYFUNCTION("""COMPUTED_VALUE"""),0.764905921837046)</f>
        <v>0.7649059218</v>
      </c>
    </row>
    <row r="586">
      <c r="A586" s="5">
        <f>IFERROR(__xludf.DUMMYFUNCTION("""COMPUTED_VALUE"""),35431.0)</f>
        <v>35431</v>
      </c>
      <c r="B586" s="6" t="str">
        <f>IFERROR(__xludf.DUMMYFUNCTION("""COMPUTED_VALUE"""),"gpc_servicios_economicos_pib")</f>
        <v>gpc_servicios_economicos_pib</v>
      </c>
      <c r="C586" s="6">
        <f>IFERROR(__xludf.DUMMYFUNCTION("""COMPUTED_VALUE"""),2.20044067126459)</f>
        <v>2.200440671</v>
      </c>
    </row>
    <row r="587">
      <c r="A587" s="5">
        <f>IFERROR(__xludf.DUMMYFUNCTION("""COMPUTED_VALUE"""),35431.0)</f>
        <v>35431</v>
      </c>
      <c r="B587" s="6" t="str">
        <f>IFERROR(__xludf.DUMMYFUNCTION("""COMPUTED_VALUE"""),"gpc_produccion_primaria_pib")</f>
        <v>gpc_produccion_primaria_pib</v>
      </c>
      <c r="C587" s="6">
        <f>IFERROR(__xludf.DUMMYFUNCTION("""COMPUTED_VALUE"""),0.30356232743696)</f>
        <v>0.3035623274</v>
      </c>
    </row>
    <row r="588">
      <c r="A588" s="5">
        <f>IFERROR(__xludf.DUMMYFUNCTION("""COMPUTED_VALUE"""),35431.0)</f>
        <v>35431</v>
      </c>
      <c r="B588" s="6" t="str">
        <f>IFERROR(__xludf.DUMMYFUNCTION("""COMPUTED_VALUE"""),"gpc_energia_combustible_pib")</f>
        <v>gpc_energia_combustible_pib</v>
      </c>
      <c r="C588" s="6">
        <f>IFERROR(__xludf.DUMMYFUNCTION("""COMPUTED_VALUE"""),0.323512100286619)</f>
        <v>0.3235121003</v>
      </c>
    </row>
    <row r="589">
      <c r="A589" s="5">
        <f>IFERROR(__xludf.DUMMYFUNCTION("""COMPUTED_VALUE"""),35431.0)</f>
        <v>35431</v>
      </c>
      <c r="B589" s="6" t="str">
        <f>IFERROR(__xludf.DUMMYFUNCTION("""COMPUTED_VALUE"""),"gpc_industria_pib")</f>
        <v>gpc_industria_pib</v>
      </c>
      <c r="C589" s="6">
        <f>IFERROR(__xludf.DUMMYFUNCTION("""COMPUTED_VALUE"""),0.0725810296430151)</f>
        <v>0.07258102964</v>
      </c>
    </row>
    <row r="590">
      <c r="A590" s="5">
        <f>IFERROR(__xludf.DUMMYFUNCTION("""COMPUTED_VALUE"""),35431.0)</f>
        <v>35431</v>
      </c>
      <c r="B590" s="6" t="str">
        <f>IFERROR(__xludf.DUMMYFUNCTION("""COMPUTED_VALUE"""),"gpc_transporte_pib")</f>
        <v>gpc_transporte_pib</v>
      </c>
      <c r="C590" s="6">
        <f>IFERROR(__xludf.DUMMYFUNCTION("""COMPUTED_VALUE"""),1.06865182187969)</f>
        <v>1.068651822</v>
      </c>
    </row>
    <row r="591">
      <c r="A591" s="5">
        <f>IFERROR(__xludf.DUMMYFUNCTION("""COMPUTED_VALUE"""),35431.0)</f>
        <v>35431</v>
      </c>
      <c r="B591" s="6" t="str">
        <f>IFERROR(__xludf.DUMMYFUNCTION("""COMPUTED_VALUE"""),"gpc_comunicaciones_pib")</f>
        <v>gpc_comunicaciones_pib</v>
      </c>
      <c r="C591" s="6">
        <f>IFERROR(__xludf.DUMMYFUNCTION("""COMPUTED_VALUE"""),0.0953916899035385)</f>
        <v>0.0953916899</v>
      </c>
    </row>
    <row r="592">
      <c r="A592" s="5">
        <f>IFERROR(__xludf.DUMMYFUNCTION("""COMPUTED_VALUE"""),35431.0)</f>
        <v>35431</v>
      </c>
      <c r="B592" s="6" t="str">
        <f>IFERROR(__xludf.DUMMYFUNCTION("""COMPUTED_VALUE"""),"gpc_otros_servicios_economicos_pib")</f>
        <v>gpc_otros_servicios_economicos_pib</v>
      </c>
      <c r="C592" s="6">
        <f>IFERROR(__xludf.DUMMYFUNCTION("""COMPUTED_VALUE"""),0.336741702114758)</f>
        <v>0.3367417021</v>
      </c>
    </row>
    <row r="593">
      <c r="A593" s="5">
        <f>IFERROR(__xludf.DUMMYFUNCTION("""COMPUTED_VALUE"""),35431.0)</f>
        <v>35431</v>
      </c>
      <c r="B593" s="6" t="str">
        <f>IFERROR(__xludf.DUMMYFUNCTION("""COMPUTED_VALUE"""),"gpc_servicios_deuda_publica_pib")</f>
        <v>gpc_servicios_deuda_publica_pib</v>
      </c>
      <c r="C593" s="6">
        <f>IFERROR(__xludf.DUMMYFUNCTION("""COMPUTED_VALUE"""),2.67296540068131)</f>
        <v>2.672965401</v>
      </c>
    </row>
    <row r="594">
      <c r="A594" s="5">
        <f>IFERROR(__xludf.DUMMYFUNCTION("""COMPUTED_VALUE"""),35431.0)</f>
        <v>35431</v>
      </c>
      <c r="B594" s="6"/>
      <c r="C594" s="6"/>
    </row>
    <row r="595">
      <c r="A595" s="5">
        <f>IFERROR(__xludf.DUMMYFUNCTION("""COMPUTED_VALUE"""),35431.0)</f>
        <v>35431</v>
      </c>
      <c r="B595" s="6"/>
      <c r="C595" s="6"/>
    </row>
    <row r="596">
      <c r="A596" s="5">
        <f>IFERROR(__xludf.DUMMYFUNCTION("""COMPUTED_VALUE"""),35796.0)</f>
        <v>35796</v>
      </c>
      <c r="B596" s="6" t="str">
        <f>IFERROR(__xludf.DUMMYFUNCTION("""COMPUTED_VALUE"""),"gpc_pib")</f>
        <v>gpc_pib</v>
      </c>
      <c r="C596" s="6">
        <f>IFERROR(__xludf.DUMMYFUNCTION("""COMPUTED_VALUE"""),30.9599549376472)</f>
        <v>30.95995494</v>
      </c>
    </row>
    <row r="597">
      <c r="A597" s="5">
        <f>IFERROR(__xludf.DUMMYFUNCTION("""COMPUTED_VALUE"""),35796.0)</f>
        <v>35796</v>
      </c>
      <c r="B597" s="6" t="str">
        <f>IFERROR(__xludf.DUMMYFUNCTION("""COMPUTED_VALUE"""),"gpc_funcionamiento_estado_pib")</f>
        <v>gpc_funcionamiento_estado_pib</v>
      </c>
      <c r="C597" s="6">
        <f>IFERROR(__xludf.DUMMYFUNCTION("""COMPUTED_VALUE"""),5.89920205341433)</f>
        <v>5.899202053</v>
      </c>
    </row>
    <row r="598">
      <c r="A598" s="5">
        <f>IFERROR(__xludf.DUMMYFUNCTION("""COMPUTED_VALUE"""),35796.0)</f>
        <v>35796</v>
      </c>
      <c r="B598" s="6" t="str">
        <f>IFERROR(__xludf.DUMMYFUNCTION("""COMPUTED_VALUE"""),"gpc_administracion_general_pib")</f>
        <v>gpc_administracion_general_pib</v>
      </c>
      <c r="C598" s="6">
        <f>IFERROR(__xludf.DUMMYFUNCTION("""COMPUTED_VALUE"""),2.92184875982747)</f>
        <v>2.92184876</v>
      </c>
    </row>
    <row r="599">
      <c r="A599" s="5">
        <f>IFERROR(__xludf.DUMMYFUNCTION("""COMPUTED_VALUE"""),35796.0)</f>
        <v>35796</v>
      </c>
      <c r="B599" s="6" t="str">
        <f>IFERROR(__xludf.DUMMYFUNCTION("""COMPUTED_VALUE"""),"gpc_justicia_pib")</f>
        <v>gpc_justicia_pib</v>
      </c>
      <c r="C599" s="6">
        <f>IFERROR(__xludf.DUMMYFUNCTION("""COMPUTED_VALUE"""),0.782794704836674)</f>
        <v>0.7827947048</v>
      </c>
    </row>
    <row r="600">
      <c r="A600" s="5">
        <f>IFERROR(__xludf.DUMMYFUNCTION("""COMPUTED_VALUE"""),35796.0)</f>
        <v>35796</v>
      </c>
      <c r="B600" s="6" t="str">
        <f>IFERROR(__xludf.DUMMYFUNCTION("""COMPUTED_VALUE"""),"gpc_defensa_seguridad_pib")</f>
        <v>gpc_defensa_seguridad_pib</v>
      </c>
      <c r="C600" s="6">
        <f>IFERROR(__xludf.DUMMYFUNCTION("""COMPUTED_VALUE"""),2.19455858875018)</f>
        <v>2.194558589</v>
      </c>
    </row>
    <row r="601">
      <c r="A601" s="5">
        <f>IFERROR(__xludf.DUMMYFUNCTION("""COMPUTED_VALUE"""),35796.0)</f>
        <v>35796</v>
      </c>
      <c r="B601" s="6" t="str">
        <f>IFERROR(__xludf.DUMMYFUNCTION("""COMPUTED_VALUE"""),"gpc_servicios_sociales_pib")</f>
        <v>gpc_servicios_sociales_pib</v>
      </c>
      <c r="C601" s="6">
        <f>IFERROR(__xludf.DUMMYFUNCTION("""COMPUTED_VALUE"""),20.129554203663)</f>
        <v>20.1295542</v>
      </c>
    </row>
    <row r="602">
      <c r="A602" s="5">
        <f>IFERROR(__xludf.DUMMYFUNCTION("""COMPUTED_VALUE"""),35796.0)</f>
        <v>35796</v>
      </c>
      <c r="B602" s="6" t="str">
        <f>IFERROR(__xludf.DUMMYFUNCTION("""COMPUTED_VALUE"""),"gpc_educacion_basica_pib")</f>
        <v>gpc_educacion_basica_pib</v>
      </c>
      <c r="C602" s="6">
        <f>IFERROR(__xludf.DUMMYFUNCTION("""COMPUTED_VALUE"""),2.84455633157499)</f>
        <v>2.844556332</v>
      </c>
    </row>
    <row r="603">
      <c r="A603" s="5">
        <f>IFERROR(__xludf.DUMMYFUNCTION("""COMPUTED_VALUE"""),35796.0)</f>
        <v>35796</v>
      </c>
      <c r="B603" s="6" t="str">
        <f>IFERROR(__xludf.DUMMYFUNCTION("""COMPUTED_VALUE"""),"gpc_educacion_universitaria_pib")</f>
        <v>gpc_educacion_universitaria_pib</v>
      </c>
      <c r="C603" s="6">
        <f>IFERROR(__xludf.DUMMYFUNCTION("""COMPUTED_VALUE"""),0.845364376467524)</f>
        <v>0.8453643765</v>
      </c>
    </row>
    <row r="604">
      <c r="A604" s="5">
        <f>IFERROR(__xludf.DUMMYFUNCTION("""COMPUTED_VALUE"""),35796.0)</f>
        <v>35796</v>
      </c>
      <c r="B604" s="6" t="str">
        <f>IFERROR(__xludf.DUMMYFUNCTION("""COMPUTED_VALUE"""),"gpc_ciencia_tecnica_pib")</f>
        <v>gpc_ciencia_tecnica_pib</v>
      </c>
      <c r="C604" s="6">
        <f>IFERROR(__xludf.DUMMYFUNCTION("""COMPUTED_VALUE"""),0.228857782203423)</f>
        <v>0.2288577822</v>
      </c>
    </row>
    <row r="605">
      <c r="A605" s="5">
        <f>IFERROR(__xludf.DUMMYFUNCTION("""COMPUTED_VALUE"""),35796.0)</f>
        <v>35796</v>
      </c>
      <c r="B605" s="6" t="str">
        <f>IFERROR(__xludf.DUMMYFUNCTION("""COMPUTED_VALUE"""),"gpc_cultura_pib")</f>
        <v>gpc_cultura_pib</v>
      </c>
      <c r="C605" s="6">
        <f>IFERROR(__xludf.DUMMYFUNCTION("""COMPUTED_VALUE"""),0.162568919364366)</f>
        <v>0.1625689194</v>
      </c>
    </row>
    <row r="606">
      <c r="A606" s="5">
        <f>IFERROR(__xludf.DUMMYFUNCTION("""COMPUTED_VALUE"""),35796.0)</f>
        <v>35796</v>
      </c>
      <c r="B606" s="6" t="str">
        <f>IFERROR(__xludf.DUMMYFUNCTION("""COMPUTED_VALUE"""),"gpc_educacion_cultura_sin_discriminar_pib")</f>
        <v>gpc_educacion_cultura_sin_discriminar_pib</v>
      </c>
      <c r="C606" s="6">
        <f>IFERROR(__xludf.DUMMYFUNCTION("""COMPUTED_VALUE"""),0.317090972029677)</f>
        <v>0.317090972</v>
      </c>
    </row>
    <row r="607">
      <c r="A607" s="5">
        <f>IFERROR(__xludf.DUMMYFUNCTION("""COMPUTED_VALUE"""),35796.0)</f>
        <v>35796</v>
      </c>
      <c r="B607" s="6" t="str">
        <f>IFERROR(__xludf.DUMMYFUNCTION("""COMPUTED_VALUE"""),"gpc_atencion_salud_pib")</f>
        <v>gpc_atencion_salud_pib</v>
      </c>
      <c r="C607" s="6">
        <f>IFERROR(__xludf.DUMMYFUNCTION("""COMPUTED_VALUE"""),1.86688879906471)</f>
        <v>1.866888799</v>
      </c>
    </row>
    <row r="608">
      <c r="A608" s="5">
        <f>IFERROR(__xludf.DUMMYFUNCTION("""COMPUTED_VALUE"""),35796.0)</f>
        <v>35796</v>
      </c>
      <c r="B608" s="6" t="str">
        <f>IFERROR(__xludf.DUMMYFUNCTION("""COMPUTED_VALUE"""),"gpc_obras_sociales_salud_pib")</f>
        <v>gpc_obras_sociales_salud_pib</v>
      </c>
      <c r="C608" s="6">
        <f>IFERROR(__xludf.DUMMYFUNCTION("""COMPUTED_VALUE"""),1.95627672654288)</f>
        <v>1.956276727</v>
      </c>
    </row>
    <row r="609">
      <c r="A609" s="5">
        <f>IFERROR(__xludf.DUMMYFUNCTION("""COMPUTED_VALUE"""),35796.0)</f>
        <v>35796</v>
      </c>
      <c r="B609" s="6" t="str">
        <f>IFERROR(__xludf.DUMMYFUNCTION("""COMPUTED_VALUE"""),"gpc_inssjyp_salud_pib")</f>
        <v>gpc_inssjyp_salud_pib</v>
      </c>
      <c r="C609" s="6">
        <f>IFERROR(__xludf.DUMMYFUNCTION("""COMPUTED_VALUE"""),0.77031101519332)</f>
        <v>0.7703110152</v>
      </c>
    </row>
    <row r="610">
      <c r="A610" s="5">
        <f>IFERROR(__xludf.DUMMYFUNCTION("""COMPUTED_VALUE"""),35796.0)</f>
        <v>35796</v>
      </c>
      <c r="B610" s="6" t="str">
        <f>IFERROR(__xludf.DUMMYFUNCTION("""COMPUTED_VALUE"""),"gpc_agua_alcantarillado_pib")</f>
        <v>gpc_agua_alcantarillado_pib</v>
      </c>
      <c r="C610" s="6">
        <f>IFERROR(__xludf.DUMMYFUNCTION("""COMPUTED_VALUE"""),0.239286873114265)</f>
        <v>0.2392868731</v>
      </c>
    </row>
    <row r="611">
      <c r="A611" s="5">
        <f>IFERROR(__xludf.DUMMYFUNCTION("""COMPUTED_VALUE"""),35796.0)</f>
        <v>35796</v>
      </c>
      <c r="B611" s="6" t="str">
        <f>IFERROR(__xludf.DUMMYFUNCTION("""COMPUTED_VALUE"""),"gpc_vivienda_urbanismo_pib")</f>
        <v>gpc_vivienda_urbanismo_pib</v>
      </c>
      <c r="C611" s="6">
        <f>IFERROR(__xludf.DUMMYFUNCTION("""COMPUTED_VALUE"""),0.600827539286437)</f>
        <v>0.6008275393</v>
      </c>
    </row>
    <row r="612">
      <c r="A612" s="5">
        <f>IFERROR(__xludf.DUMMYFUNCTION("""COMPUTED_VALUE"""),35796.0)</f>
        <v>35796</v>
      </c>
      <c r="B612" s="6" t="str">
        <f>IFERROR(__xludf.DUMMYFUNCTION("""COMPUTED_VALUE"""),"gpc_promocion_asistencia_social_pib")</f>
        <v>gpc_promocion_asistencia_social_pib</v>
      </c>
      <c r="C612" s="6">
        <f>IFERROR(__xludf.DUMMYFUNCTION("""COMPUTED_VALUE"""),0.883912945495253)</f>
        <v>0.8839129455</v>
      </c>
    </row>
    <row r="613">
      <c r="A613" s="5">
        <f>IFERROR(__xludf.DUMMYFUNCTION("""COMPUTED_VALUE"""),35796.0)</f>
        <v>35796</v>
      </c>
      <c r="B613" s="6" t="str">
        <f>IFERROR(__xludf.DUMMYFUNCTION("""COMPUTED_VALUE"""),"gpc_obras_sociales_prestaciones_pib")</f>
        <v>gpc_obras_sociales_prestaciones_pib</v>
      </c>
      <c r="C613" s="6">
        <f>IFERROR(__xludf.DUMMYFUNCTION("""COMPUTED_VALUE"""),0.114424892435931)</f>
        <v>0.1144248924</v>
      </c>
    </row>
    <row r="614">
      <c r="A614" s="5">
        <f>IFERROR(__xludf.DUMMYFUNCTION("""COMPUTED_VALUE"""),35796.0)</f>
        <v>35796</v>
      </c>
      <c r="B614" s="6" t="str">
        <f>IFERROR(__xludf.DUMMYFUNCTION("""COMPUTED_VALUE"""),"gpc_inssjyp_prestaciones_pib")</f>
        <v>gpc_inssjyp_prestaciones_pib</v>
      </c>
      <c r="C614" s="6">
        <f>IFERROR(__xludf.DUMMYFUNCTION("""COMPUTED_VALUE"""),0.119832970343052)</f>
        <v>0.1198329703</v>
      </c>
    </row>
    <row r="615">
      <c r="A615" s="5">
        <f>IFERROR(__xludf.DUMMYFUNCTION("""COMPUTED_VALUE"""),35796.0)</f>
        <v>35796</v>
      </c>
      <c r="B615" s="6" t="str">
        <f>IFERROR(__xludf.DUMMYFUNCTION("""COMPUTED_VALUE"""),"gpc_prevision_social_pib")</f>
        <v>gpc_prevision_social_pib</v>
      </c>
      <c r="C615" s="6">
        <f>IFERROR(__xludf.DUMMYFUNCTION("""COMPUTED_VALUE"""),7.45287674018884)</f>
        <v>7.45287674</v>
      </c>
    </row>
    <row r="616">
      <c r="A616" s="5">
        <f>IFERROR(__xludf.DUMMYFUNCTION("""COMPUTED_VALUE"""),35796.0)</f>
        <v>35796</v>
      </c>
      <c r="B616" s="6" t="str">
        <f>IFERROR(__xludf.DUMMYFUNCTION("""COMPUTED_VALUE"""),"gpc_programas_empleo_pib")</f>
        <v>gpc_programas_empleo_pib</v>
      </c>
      <c r="C616" s="6">
        <f>IFERROR(__xludf.DUMMYFUNCTION("""COMPUTED_VALUE"""),0.289838784022886)</f>
        <v>0.289838784</v>
      </c>
    </row>
    <row r="617">
      <c r="A617" s="5">
        <f>IFERROR(__xludf.DUMMYFUNCTION("""COMPUTED_VALUE"""),35796.0)</f>
        <v>35796</v>
      </c>
      <c r="B617" s="6" t="str">
        <f>IFERROR(__xludf.DUMMYFUNCTION("""COMPUTED_VALUE"""),"gpc_asignaciones_familiares_pib")</f>
        <v>gpc_asignaciones_familiares_pib</v>
      </c>
      <c r="C617" s="6">
        <f>IFERROR(__xludf.DUMMYFUNCTION("""COMPUTED_VALUE"""),0.574266012706237)</f>
        <v>0.5742660127</v>
      </c>
    </row>
    <row r="618">
      <c r="A618" s="5">
        <f>IFERROR(__xludf.DUMMYFUNCTION("""COMPUTED_VALUE"""),35796.0)</f>
        <v>35796</v>
      </c>
      <c r="B618" s="6" t="str">
        <f>IFERROR(__xludf.DUMMYFUNCTION("""COMPUTED_VALUE"""),"gpc_otros_servicios_urbanos_pib")</f>
        <v>gpc_otros_servicios_urbanos_pib</v>
      </c>
      <c r="C618" s="6">
        <f>IFERROR(__xludf.DUMMYFUNCTION("""COMPUTED_VALUE"""),0.862372523629253)</f>
        <v>0.8623725236</v>
      </c>
    </row>
    <row r="619">
      <c r="A619" s="5">
        <f>IFERROR(__xludf.DUMMYFUNCTION("""COMPUTED_VALUE"""),35796.0)</f>
        <v>35796</v>
      </c>
      <c r="B619" s="6" t="str">
        <f>IFERROR(__xludf.DUMMYFUNCTION("""COMPUTED_VALUE"""),"gpc_servicios_economicos_pib")</f>
        <v>gpc_servicios_economicos_pib</v>
      </c>
      <c r="C619" s="6">
        <f>IFERROR(__xludf.DUMMYFUNCTION("""COMPUTED_VALUE"""),2.23891858547082)</f>
        <v>2.238918585</v>
      </c>
    </row>
    <row r="620">
      <c r="A620" s="5">
        <f>IFERROR(__xludf.DUMMYFUNCTION("""COMPUTED_VALUE"""),35796.0)</f>
        <v>35796</v>
      </c>
      <c r="B620" s="6" t="str">
        <f>IFERROR(__xludf.DUMMYFUNCTION("""COMPUTED_VALUE"""),"gpc_produccion_primaria_pib")</f>
        <v>gpc_produccion_primaria_pib</v>
      </c>
      <c r="C620" s="6">
        <f>IFERROR(__xludf.DUMMYFUNCTION("""COMPUTED_VALUE"""),0.336296205596558)</f>
        <v>0.3362962056</v>
      </c>
    </row>
    <row r="621">
      <c r="A621" s="5">
        <f>IFERROR(__xludf.DUMMYFUNCTION("""COMPUTED_VALUE"""),35796.0)</f>
        <v>35796</v>
      </c>
      <c r="B621" s="6" t="str">
        <f>IFERROR(__xludf.DUMMYFUNCTION("""COMPUTED_VALUE"""),"gpc_energia_combustible_pib")</f>
        <v>gpc_energia_combustible_pib</v>
      </c>
      <c r="C621" s="6">
        <f>IFERROR(__xludf.DUMMYFUNCTION("""COMPUTED_VALUE"""),0.305593350656601)</f>
        <v>0.3055933507</v>
      </c>
    </row>
    <row r="622">
      <c r="A622" s="5">
        <f>IFERROR(__xludf.DUMMYFUNCTION("""COMPUTED_VALUE"""),35796.0)</f>
        <v>35796</v>
      </c>
      <c r="B622" s="6" t="str">
        <f>IFERROR(__xludf.DUMMYFUNCTION("""COMPUTED_VALUE"""),"gpc_industria_pib")</f>
        <v>gpc_industria_pib</v>
      </c>
      <c r="C622" s="6">
        <f>IFERROR(__xludf.DUMMYFUNCTION("""COMPUTED_VALUE"""),0.0747444485378058)</f>
        <v>0.07474444854</v>
      </c>
    </row>
    <row r="623">
      <c r="A623" s="5">
        <f>IFERROR(__xludf.DUMMYFUNCTION("""COMPUTED_VALUE"""),35796.0)</f>
        <v>35796</v>
      </c>
      <c r="B623" s="6" t="str">
        <f>IFERROR(__xludf.DUMMYFUNCTION("""COMPUTED_VALUE"""),"gpc_transporte_pib")</f>
        <v>gpc_transporte_pib</v>
      </c>
      <c r="C623" s="6">
        <f>IFERROR(__xludf.DUMMYFUNCTION("""COMPUTED_VALUE"""),1.11395344139552)</f>
        <v>1.113953441</v>
      </c>
    </row>
    <row r="624">
      <c r="A624" s="5">
        <f>IFERROR(__xludf.DUMMYFUNCTION("""COMPUTED_VALUE"""),35796.0)</f>
        <v>35796</v>
      </c>
      <c r="B624" s="6" t="str">
        <f>IFERROR(__xludf.DUMMYFUNCTION("""COMPUTED_VALUE"""),"gpc_comunicaciones_pib")</f>
        <v>gpc_comunicaciones_pib</v>
      </c>
      <c r="C624" s="6">
        <f>IFERROR(__xludf.DUMMYFUNCTION("""COMPUTED_VALUE"""),0.0715880786969944)</f>
        <v>0.0715880787</v>
      </c>
    </row>
    <row r="625">
      <c r="A625" s="5">
        <f>IFERROR(__xludf.DUMMYFUNCTION("""COMPUTED_VALUE"""),35796.0)</f>
        <v>35796</v>
      </c>
      <c r="B625" s="6" t="str">
        <f>IFERROR(__xludf.DUMMYFUNCTION("""COMPUTED_VALUE"""),"gpc_otros_servicios_economicos_pib")</f>
        <v>gpc_otros_servicios_economicos_pib</v>
      </c>
      <c r="C625" s="6">
        <f>IFERROR(__xludf.DUMMYFUNCTION("""COMPUTED_VALUE"""),0.336743060587335)</f>
        <v>0.3367430606</v>
      </c>
    </row>
    <row r="626">
      <c r="A626" s="5">
        <f>IFERROR(__xludf.DUMMYFUNCTION("""COMPUTED_VALUE"""),35796.0)</f>
        <v>35796</v>
      </c>
      <c r="B626" s="6" t="str">
        <f>IFERROR(__xludf.DUMMYFUNCTION("""COMPUTED_VALUE"""),"gpc_servicios_deuda_publica_pib")</f>
        <v>gpc_servicios_deuda_publica_pib</v>
      </c>
      <c r="C626" s="6">
        <f>IFERROR(__xludf.DUMMYFUNCTION("""COMPUTED_VALUE"""),2.69228009509898)</f>
        <v>2.692280095</v>
      </c>
    </row>
    <row r="627">
      <c r="A627" s="5">
        <f>IFERROR(__xludf.DUMMYFUNCTION("""COMPUTED_VALUE"""),35796.0)</f>
        <v>35796</v>
      </c>
      <c r="B627" s="6"/>
      <c r="C627" s="6"/>
    </row>
    <row r="628">
      <c r="A628" s="5">
        <f>IFERROR(__xludf.DUMMYFUNCTION("""COMPUTED_VALUE"""),35796.0)</f>
        <v>35796</v>
      </c>
      <c r="B628" s="6"/>
      <c r="C628" s="6"/>
    </row>
    <row r="629">
      <c r="A629" s="5">
        <f>IFERROR(__xludf.DUMMYFUNCTION("""COMPUTED_VALUE"""),36161.0)</f>
        <v>36161</v>
      </c>
      <c r="B629" s="6" t="str">
        <f>IFERROR(__xludf.DUMMYFUNCTION("""COMPUTED_VALUE"""),"gpc_pib")</f>
        <v>gpc_pib</v>
      </c>
      <c r="C629" s="6">
        <f>IFERROR(__xludf.DUMMYFUNCTION("""COMPUTED_VALUE"""),34.2326895648178)</f>
        <v>34.23268956</v>
      </c>
    </row>
    <row r="630">
      <c r="A630" s="5">
        <f>IFERROR(__xludf.DUMMYFUNCTION("""COMPUTED_VALUE"""),36161.0)</f>
        <v>36161</v>
      </c>
      <c r="B630" s="6" t="str">
        <f>IFERROR(__xludf.DUMMYFUNCTION("""COMPUTED_VALUE"""),"gpc_funcionamiento_estado_pib")</f>
        <v>gpc_funcionamiento_estado_pib</v>
      </c>
      <c r="C630" s="6">
        <f>IFERROR(__xludf.DUMMYFUNCTION("""COMPUTED_VALUE"""),6.7559349390509)</f>
        <v>6.755934939</v>
      </c>
    </row>
    <row r="631">
      <c r="A631" s="5">
        <f>IFERROR(__xludf.DUMMYFUNCTION("""COMPUTED_VALUE"""),36161.0)</f>
        <v>36161</v>
      </c>
      <c r="B631" s="6" t="str">
        <f>IFERROR(__xludf.DUMMYFUNCTION("""COMPUTED_VALUE"""),"gpc_administracion_general_pib")</f>
        <v>gpc_administracion_general_pib</v>
      </c>
      <c r="C631" s="6">
        <f>IFERROR(__xludf.DUMMYFUNCTION("""COMPUTED_VALUE"""),3.46232922435443)</f>
        <v>3.462329224</v>
      </c>
    </row>
    <row r="632">
      <c r="A632" s="5">
        <f>IFERROR(__xludf.DUMMYFUNCTION("""COMPUTED_VALUE"""),36161.0)</f>
        <v>36161</v>
      </c>
      <c r="B632" s="6" t="str">
        <f>IFERROR(__xludf.DUMMYFUNCTION("""COMPUTED_VALUE"""),"gpc_justicia_pib")</f>
        <v>gpc_justicia_pib</v>
      </c>
      <c r="C632" s="6">
        <f>IFERROR(__xludf.DUMMYFUNCTION("""COMPUTED_VALUE"""),0.887803978760407)</f>
        <v>0.8878039788</v>
      </c>
    </row>
    <row r="633">
      <c r="A633" s="5">
        <f>IFERROR(__xludf.DUMMYFUNCTION("""COMPUTED_VALUE"""),36161.0)</f>
        <v>36161</v>
      </c>
      <c r="B633" s="6" t="str">
        <f>IFERROR(__xludf.DUMMYFUNCTION("""COMPUTED_VALUE"""),"gpc_defensa_seguridad_pib")</f>
        <v>gpc_defensa_seguridad_pib</v>
      </c>
      <c r="C633" s="6">
        <f>IFERROR(__xludf.DUMMYFUNCTION("""COMPUTED_VALUE"""),2.40580173593606)</f>
        <v>2.405801736</v>
      </c>
    </row>
    <row r="634">
      <c r="A634" s="5">
        <f>IFERROR(__xludf.DUMMYFUNCTION("""COMPUTED_VALUE"""),36161.0)</f>
        <v>36161</v>
      </c>
      <c r="B634" s="6" t="str">
        <f>IFERROR(__xludf.DUMMYFUNCTION("""COMPUTED_VALUE"""),"gpc_servicios_sociales_pib")</f>
        <v>gpc_servicios_sociales_pib</v>
      </c>
      <c r="C634" s="6">
        <f>IFERROR(__xludf.DUMMYFUNCTION("""COMPUTED_VALUE"""),21.8252654889323)</f>
        <v>21.82526549</v>
      </c>
    </row>
    <row r="635">
      <c r="A635" s="5">
        <f>IFERROR(__xludf.DUMMYFUNCTION("""COMPUTED_VALUE"""),36161.0)</f>
        <v>36161</v>
      </c>
      <c r="B635" s="6" t="str">
        <f>IFERROR(__xludf.DUMMYFUNCTION("""COMPUTED_VALUE"""),"gpc_educacion_basica_pib")</f>
        <v>gpc_educacion_basica_pib</v>
      </c>
      <c r="C635" s="6">
        <f>IFERROR(__xludf.DUMMYFUNCTION("""COMPUTED_VALUE"""),3.21962048720463)</f>
        <v>3.219620487</v>
      </c>
    </row>
    <row r="636">
      <c r="A636" s="5">
        <f>IFERROR(__xludf.DUMMYFUNCTION("""COMPUTED_VALUE"""),36161.0)</f>
        <v>36161</v>
      </c>
      <c r="B636" s="6" t="str">
        <f>IFERROR(__xludf.DUMMYFUNCTION("""COMPUTED_VALUE"""),"gpc_educacion_universitaria_pib")</f>
        <v>gpc_educacion_universitaria_pib</v>
      </c>
      <c r="C636" s="6">
        <f>IFERROR(__xludf.DUMMYFUNCTION("""COMPUTED_VALUE"""),0.917519776266689)</f>
        <v>0.9175197763</v>
      </c>
    </row>
    <row r="637">
      <c r="A637" s="5">
        <f>IFERROR(__xludf.DUMMYFUNCTION("""COMPUTED_VALUE"""),36161.0)</f>
        <v>36161</v>
      </c>
      <c r="B637" s="6" t="str">
        <f>IFERROR(__xludf.DUMMYFUNCTION("""COMPUTED_VALUE"""),"gpc_ciencia_tecnica_pib")</f>
        <v>gpc_ciencia_tecnica_pib</v>
      </c>
      <c r="C637" s="6">
        <f>IFERROR(__xludf.DUMMYFUNCTION("""COMPUTED_VALUE"""),0.223492326923442)</f>
        <v>0.2234923269</v>
      </c>
    </row>
    <row r="638">
      <c r="A638" s="5">
        <f>IFERROR(__xludf.DUMMYFUNCTION("""COMPUTED_VALUE"""),36161.0)</f>
        <v>36161</v>
      </c>
      <c r="B638" s="6" t="str">
        <f>IFERROR(__xludf.DUMMYFUNCTION("""COMPUTED_VALUE"""),"gpc_cultura_pib")</f>
        <v>gpc_cultura_pib</v>
      </c>
      <c r="C638" s="6">
        <f>IFERROR(__xludf.DUMMYFUNCTION("""COMPUTED_VALUE"""),0.183443425836344)</f>
        <v>0.1834434258</v>
      </c>
    </row>
    <row r="639">
      <c r="A639" s="5">
        <f>IFERROR(__xludf.DUMMYFUNCTION("""COMPUTED_VALUE"""),36161.0)</f>
        <v>36161</v>
      </c>
      <c r="B639" s="6" t="str">
        <f>IFERROR(__xludf.DUMMYFUNCTION("""COMPUTED_VALUE"""),"gpc_educacion_cultura_sin_discriminar_pib")</f>
        <v>gpc_educacion_cultura_sin_discriminar_pib</v>
      </c>
      <c r="C639" s="6">
        <f>IFERROR(__xludf.DUMMYFUNCTION("""COMPUTED_VALUE"""),0.393487063953444)</f>
        <v>0.393487064</v>
      </c>
    </row>
    <row r="640">
      <c r="A640" s="5">
        <f>IFERROR(__xludf.DUMMYFUNCTION("""COMPUTED_VALUE"""),36161.0)</f>
        <v>36161</v>
      </c>
      <c r="B640" s="6" t="str">
        <f>IFERROR(__xludf.DUMMYFUNCTION("""COMPUTED_VALUE"""),"gpc_atencion_salud_pib")</f>
        <v>gpc_atencion_salud_pib</v>
      </c>
      <c r="C640" s="6">
        <f>IFERROR(__xludf.DUMMYFUNCTION("""COMPUTED_VALUE"""),2.11515621841522)</f>
        <v>2.115156218</v>
      </c>
    </row>
    <row r="641">
      <c r="A641" s="5">
        <f>IFERROR(__xludf.DUMMYFUNCTION("""COMPUTED_VALUE"""),36161.0)</f>
        <v>36161</v>
      </c>
      <c r="B641" s="6" t="str">
        <f>IFERROR(__xludf.DUMMYFUNCTION("""COMPUTED_VALUE"""),"gpc_obras_sociales_salud_pib")</f>
        <v>gpc_obras_sociales_salud_pib</v>
      </c>
      <c r="C641" s="6">
        <f>IFERROR(__xludf.DUMMYFUNCTION("""COMPUTED_VALUE"""),2.14733136427789)</f>
        <v>2.147331364</v>
      </c>
    </row>
    <row r="642">
      <c r="A642" s="5">
        <f>IFERROR(__xludf.DUMMYFUNCTION("""COMPUTED_VALUE"""),36161.0)</f>
        <v>36161</v>
      </c>
      <c r="B642" s="6" t="str">
        <f>IFERROR(__xludf.DUMMYFUNCTION("""COMPUTED_VALUE"""),"gpc_inssjyp_salud_pib")</f>
        <v>gpc_inssjyp_salud_pib</v>
      </c>
      <c r="C642" s="6">
        <f>IFERROR(__xludf.DUMMYFUNCTION("""COMPUTED_VALUE"""),0.857904397413497)</f>
        <v>0.8579043974</v>
      </c>
    </row>
    <row r="643">
      <c r="A643" s="5">
        <f>IFERROR(__xludf.DUMMYFUNCTION("""COMPUTED_VALUE"""),36161.0)</f>
        <v>36161</v>
      </c>
      <c r="B643" s="6" t="str">
        <f>IFERROR(__xludf.DUMMYFUNCTION("""COMPUTED_VALUE"""),"gpc_agua_alcantarillado_pib")</f>
        <v>gpc_agua_alcantarillado_pib</v>
      </c>
      <c r="C643" s="6">
        <f>IFERROR(__xludf.DUMMYFUNCTION("""COMPUTED_VALUE"""),0.244780101479379)</f>
        <v>0.2447801015</v>
      </c>
    </row>
    <row r="644">
      <c r="A644" s="5">
        <f>IFERROR(__xludf.DUMMYFUNCTION("""COMPUTED_VALUE"""),36161.0)</f>
        <v>36161</v>
      </c>
      <c r="B644" s="6" t="str">
        <f>IFERROR(__xludf.DUMMYFUNCTION("""COMPUTED_VALUE"""),"gpc_vivienda_urbanismo_pib")</f>
        <v>gpc_vivienda_urbanismo_pib</v>
      </c>
      <c r="C644" s="6">
        <f>IFERROR(__xludf.DUMMYFUNCTION("""COMPUTED_VALUE"""),0.564178882096993)</f>
        <v>0.5641788821</v>
      </c>
    </row>
    <row r="645">
      <c r="A645" s="5">
        <f>IFERROR(__xludf.DUMMYFUNCTION("""COMPUTED_VALUE"""),36161.0)</f>
        <v>36161</v>
      </c>
      <c r="B645" s="6" t="str">
        <f>IFERROR(__xludf.DUMMYFUNCTION("""COMPUTED_VALUE"""),"gpc_promocion_asistencia_social_pib")</f>
        <v>gpc_promocion_asistencia_social_pib</v>
      </c>
      <c r="C645" s="6">
        <f>IFERROR(__xludf.DUMMYFUNCTION("""COMPUTED_VALUE"""),0.937899288562832)</f>
        <v>0.9378992886</v>
      </c>
    </row>
    <row r="646">
      <c r="A646" s="5">
        <f>IFERROR(__xludf.DUMMYFUNCTION("""COMPUTED_VALUE"""),36161.0)</f>
        <v>36161</v>
      </c>
      <c r="B646" s="6" t="str">
        <f>IFERROR(__xludf.DUMMYFUNCTION("""COMPUTED_VALUE"""),"gpc_obras_sociales_prestaciones_pib")</f>
        <v>gpc_obras_sociales_prestaciones_pib</v>
      </c>
      <c r="C646" s="6">
        <f>IFERROR(__xludf.DUMMYFUNCTION("""COMPUTED_VALUE"""),0.113572987160652)</f>
        <v>0.1135729872</v>
      </c>
    </row>
    <row r="647">
      <c r="A647" s="5">
        <f>IFERROR(__xludf.DUMMYFUNCTION("""COMPUTED_VALUE"""),36161.0)</f>
        <v>36161</v>
      </c>
      <c r="B647" s="6" t="str">
        <f>IFERROR(__xludf.DUMMYFUNCTION("""COMPUTED_VALUE"""),"gpc_inssjyp_prestaciones_pib")</f>
        <v>gpc_inssjyp_prestaciones_pib</v>
      </c>
      <c r="C647" s="6">
        <f>IFERROR(__xludf.DUMMYFUNCTION("""COMPUTED_VALUE"""),0.122913362056909)</f>
        <v>0.1229133621</v>
      </c>
    </row>
    <row r="648">
      <c r="A648" s="5">
        <f>IFERROR(__xludf.DUMMYFUNCTION("""COMPUTED_VALUE"""),36161.0)</f>
        <v>36161</v>
      </c>
      <c r="B648" s="6" t="str">
        <f>IFERROR(__xludf.DUMMYFUNCTION("""COMPUTED_VALUE"""),"gpc_prevision_social_pib")</f>
        <v>gpc_prevision_social_pib</v>
      </c>
      <c r="C648" s="6">
        <f>IFERROR(__xludf.DUMMYFUNCTION("""COMPUTED_VALUE"""),7.89575508986267)</f>
        <v>7.89575509</v>
      </c>
    </row>
    <row r="649">
      <c r="A649" s="5">
        <f>IFERROR(__xludf.DUMMYFUNCTION("""COMPUTED_VALUE"""),36161.0)</f>
        <v>36161</v>
      </c>
      <c r="B649" s="6" t="str">
        <f>IFERROR(__xludf.DUMMYFUNCTION("""COMPUTED_VALUE"""),"gpc_programas_empleo_pib")</f>
        <v>gpc_programas_empleo_pib</v>
      </c>
      <c r="C649" s="6">
        <f>IFERROR(__xludf.DUMMYFUNCTION("""COMPUTED_VALUE"""),0.300993611721668)</f>
        <v>0.3009936117</v>
      </c>
    </row>
    <row r="650">
      <c r="A650" s="5">
        <f>IFERROR(__xludf.DUMMYFUNCTION("""COMPUTED_VALUE"""),36161.0)</f>
        <v>36161</v>
      </c>
      <c r="B650" s="6" t="str">
        <f>IFERROR(__xludf.DUMMYFUNCTION("""COMPUTED_VALUE"""),"gpc_asignaciones_familiares_pib")</f>
        <v>gpc_asignaciones_familiares_pib</v>
      </c>
      <c r="C650" s="6">
        <f>IFERROR(__xludf.DUMMYFUNCTION("""COMPUTED_VALUE"""),0.670490102112332)</f>
        <v>0.6704901021</v>
      </c>
    </row>
    <row r="651">
      <c r="A651" s="5">
        <f>IFERROR(__xludf.DUMMYFUNCTION("""COMPUTED_VALUE"""),36161.0)</f>
        <v>36161</v>
      </c>
      <c r="B651" s="6" t="str">
        <f>IFERROR(__xludf.DUMMYFUNCTION("""COMPUTED_VALUE"""),"gpc_otros_servicios_urbanos_pib")</f>
        <v>gpc_otros_servicios_urbanos_pib</v>
      </c>
      <c r="C651" s="6">
        <f>IFERROR(__xludf.DUMMYFUNCTION("""COMPUTED_VALUE"""),0.9167270035877)</f>
        <v>0.9167270036</v>
      </c>
    </row>
    <row r="652">
      <c r="A652" s="5">
        <f>IFERROR(__xludf.DUMMYFUNCTION("""COMPUTED_VALUE"""),36161.0)</f>
        <v>36161</v>
      </c>
      <c r="B652" s="6" t="str">
        <f>IFERROR(__xludf.DUMMYFUNCTION("""COMPUTED_VALUE"""),"gpc_servicios_economicos_pib")</f>
        <v>gpc_servicios_economicos_pib</v>
      </c>
      <c r="C652" s="6">
        <f>IFERROR(__xludf.DUMMYFUNCTION("""COMPUTED_VALUE"""),2.08696284497176)</f>
        <v>2.086962845</v>
      </c>
    </row>
    <row r="653">
      <c r="A653" s="5">
        <f>IFERROR(__xludf.DUMMYFUNCTION("""COMPUTED_VALUE"""),36161.0)</f>
        <v>36161</v>
      </c>
      <c r="B653" s="6" t="str">
        <f>IFERROR(__xludf.DUMMYFUNCTION("""COMPUTED_VALUE"""),"gpc_produccion_primaria_pib")</f>
        <v>gpc_produccion_primaria_pib</v>
      </c>
      <c r="C653" s="6">
        <f>IFERROR(__xludf.DUMMYFUNCTION("""COMPUTED_VALUE"""),0.406291937927364)</f>
        <v>0.4062919379</v>
      </c>
    </row>
    <row r="654">
      <c r="A654" s="5">
        <f>IFERROR(__xludf.DUMMYFUNCTION("""COMPUTED_VALUE"""),36161.0)</f>
        <v>36161</v>
      </c>
      <c r="B654" s="6" t="str">
        <f>IFERROR(__xludf.DUMMYFUNCTION("""COMPUTED_VALUE"""),"gpc_energia_combustible_pib")</f>
        <v>gpc_energia_combustible_pib</v>
      </c>
      <c r="C654" s="6">
        <f>IFERROR(__xludf.DUMMYFUNCTION("""COMPUTED_VALUE"""),0.248451841295451)</f>
        <v>0.2484518413</v>
      </c>
    </row>
    <row r="655">
      <c r="A655" s="5">
        <f>IFERROR(__xludf.DUMMYFUNCTION("""COMPUTED_VALUE"""),36161.0)</f>
        <v>36161</v>
      </c>
      <c r="B655" s="6" t="str">
        <f>IFERROR(__xludf.DUMMYFUNCTION("""COMPUTED_VALUE"""),"gpc_industria_pib")</f>
        <v>gpc_industria_pib</v>
      </c>
      <c r="C655" s="6">
        <f>IFERROR(__xludf.DUMMYFUNCTION("""COMPUTED_VALUE"""),0.0712405673245192)</f>
        <v>0.07124056732</v>
      </c>
    </row>
    <row r="656">
      <c r="A656" s="5">
        <f>IFERROR(__xludf.DUMMYFUNCTION("""COMPUTED_VALUE"""),36161.0)</f>
        <v>36161</v>
      </c>
      <c r="B656" s="6" t="str">
        <f>IFERROR(__xludf.DUMMYFUNCTION("""COMPUTED_VALUE"""),"gpc_transporte_pib")</f>
        <v>gpc_transporte_pib</v>
      </c>
      <c r="C656" s="6">
        <f>IFERROR(__xludf.DUMMYFUNCTION("""COMPUTED_VALUE"""),1.06164620696785)</f>
        <v>1.061646207</v>
      </c>
    </row>
    <row r="657">
      <c r="A657" s="5">
        <f>IFERROR(__xludf.DUMMYFUNCTION("""COMPUTED_VALUE"""),36161.0)</f>
        <v>36161</v>
      </c>
      <c r="B657" s="6" t="str">
        <f>IFERROR(__xludf.DUMMYFUNCTION("""COMPUTED_VALUE"""),"gpc_comunicaciones_pib")</f>
        <v>gpc_comunicaciones_pib</v>
      </c>
      <c r="C657" s="6">
        <f>IFERROR(__xludf.DUMMYFUNCTION("""COMPUTED_VALUE"""),0.0693510948451243)</f>
        <v>0.06935109485</v>
      </c>
    </row>
    <row r="658">
      <c r="A658" s="5">
        <f>IFERROR(__xludf.DUMMYFUNCTION("""COMPUTED_VALUE"""),36161.0)</f>
        <v>36161</v>
      </c>
      <c r="B658" s="6" t="str">
        <f>IFERROR(__xludf.DUMMYFUNCTION("""COMPUTED_VALUE"""),"gpc_otros_servicios_economicos_pib")</f>
        <v>gpc_otros_servicios_economicos_pib</v>
      </c>
      <c r="C658" s="6">
        <f>IFERROR(__xludf.DUMMYFUNCTION("""COMPUTED_VALUE"""),0.229981196611447)</f>
        <v>0.2299811966</v>
      </c>
    </row>
    <row r="659">
      <c r="A659" s="5">
        <f>IFERROR(__xludf.DUMMYFUNCTION("""COMPUTED_VALUE"""),36161.0)</f>
        <v>36161</v>
      </c>
      <c r="B659" s="6" t="str">
        <f>IFERROR(__xludf.DUMMYFUNCTION("""COMPUTED_VALUE"""),"gpc_servicios_deuda_publica_pib")</f>
        <v>gpc_servicios_deuda_publica_pib</v>
      </c>
      <c r="C659" s="6">
        <f>IFERROR(__xludf.DUMMYFUNCTION("""COMPUTED_VALUE"""),3.56452629186287)</f>
        <v>3.564526292</v>
      </c>
    </row>
    <row r="660">
      <c r="A660" s="5">
        <f>IFERROR(__xludf.DUMMYFUNCTION("""COMPUTED_VALUE"""),36161.0)</f>
        <v>36161</v>
      </c>
      <c r="B660" s="6"/>
      <c r="C660" s="6"/>
    </row>
    <row r="661">
      <c r="A661" s="5">
        <f>IFERROR(__xludf.DUMMYFUNCTION("""COMPUTED_VALUE"""),36161.0)</f>
        <v>36161</v>
      </c>
      <c r="B661" s="6"/>
      <c r="C661" s="6"/>
    </row>
    <row r="662">
      <c r="A662" s="5">
        <f>IFERROR(__xludf.DUMMYFUNCTION("""COMPUTED_VALUE"""),36526.0)</f>
        <v>36526</v>
      </c>
      <c r="B662" s="6" t="str">
        <f>IFERROR(__xludf.DUMMYFUNCTION("""COMPUTED_VALUE"""),"gpc_pib")</f>
        <v>gpc_pib</v>
      </c>
      <c r="C662" s="6">
        <f>IFERROR(__xludf.DUMMYFUNCTION("""COMPUTED_VALUE"""),33.8291236479034)</f>
        <v>33.82912365</v>
      </c>
    </row>
    <row r="663">
      <c r="A663" s="5">
        <f>IFERROR(__xludf.DUMMYFUNCTION("""COMPUTED_VALUE"""),36526.0)</f>
        <v>36526</v>
      </c>
      <c r="B663" s="6" t="str">
        <f>IFERROR(__xludf.DUMMYFUNCTION("""COMPUTED_VALUE"""),"gpc_funcionamiento_estado_pib")</f>
        <v>gpc_funcionamiento_estado_pib</v>
      </c>
      <c r="C663" s="6">
        <f>IFERROR(__xludf.DUMMYFUNCTION("""COMPUTED_VALUE"""),6.08127448750743)</f>
        <v>6.081274488</v>
      </c>
    </row>
    <row r="664">
      <c r="A664" s="5">
        <f>IFERROR(__xludf.DUMMYFUNCTION("""COMPUTED_VALUE"""),36526.0)</f>
        <v>36526</v>
      </c>
      <c r="B664" s="6" t="str">
        <f>IFERROR(__xludf.DUMMYFUNCTION("""COMPUTED_VALUE"""),"gpc_administracion_general_pib")</f>
        <v>gpc_administracion_general_pib</v>
      </c>
      <c r="C664" s="6">
        <f>IFERROR(__xludf.DUMMYFUNCTION("""COMPUTED_VALUE"""),2.80405565942438)</f>
        <v>2.804055659</v>
      </c>
    </row>
    <row r="665">
      <c r="A665" s="5">
        <f>IFERROR(__xludf.DUMMYFUNCTION("""COMPUTED_VALUE"""),36526.0)</f>
        <v>36526</v>
      </c>
      <c r="B665" s="6" t="str">
        <f>IFERROR(__xludf.DUMMYFUNCTION("""COMPUTED_VALUE"""),"gpc_justicia_pib")</f>
        <v>gpc_justicia_pib</v>
      </c>
      <c r="C665" s="6">
        <f>IFERROR(__xludf.DUMMYFUNCTION("""COMPUTED_VALUE"""),0.913555846498597)</f>
        <v>0.9135558465</v>
      </c>
    </row>
    <row r="666">
      <c r="A666" s="5">
        <f>IFERROR(__xludf.DUMMYFUNCTION("""COMPUTED_VALUE"""),36526.0)</f>
        <v>36526</v>
      </c>
      <c r="B666" s="6" t="str">
        <f>IFERROR(__xludf.DUMMYFUNCTION("""COMPUTED_VALUE"""),"gpc_defensa_seguridad_pib")</f>
        <v>gpc_defensa_seguridad_pib</v>
      </c>
      <c r="C666" s="6">
        <f>IFERROR(__xludf.DUMMYFUNCTION("""COMPUTED_VALUE"""),2.36366298158445)</f>
        <v>2.363662982</v>
      </c>
    </row>
    <row r="667">
      <c r="A667" s="5">
        <f>IFERROR(__xludf.DUMMYFUNCTION("""COMPUTED_VALUE"""),36526.0)</f>
        <v>36526</v>
      </c>
      <c r="B667" s="6" t="str">
        <f>IFERROR(__xludf.DUMMYFUNCTION("""COMPUTED_VALUE"""),"gpc_servicios_sociales_pib")</f>
        <v>gpc_servicios_sociales_pib</v>
      </c>
      <c r="C667" s="6">
        <f>IFERROR(__xludf.DUMMYFUNCTION("""COMPUTED_VALUE"""),21.7509208985982)</f>
        <v>21.7509209</v>
      </c>
    </row>
    <row r="668">
      <c r="A668" s="5">
        <f>IFERROR(__xludf.DUMMYFUNCTION("""COMPUTED_VALUE"""),36526.0)</f>
        <v>36526</v>
      </c>
      <c r="B668" s="6" t="str">
        <f>IFERROR(__xludf.DUMMYFUNCTION("""COMPUTED_VALUE"""),"gpc_educacion_basica_pib")</f>
        <v>gpc_educacion_basica_pib</v>
      </c>
      <c r="C668" s="6">
        <f>IFERROR(__xludf.DUMMYFUNCTION("""COMPUTED_VALUE"""),3.30969737574951)</f>
        <v>3.309697376</v>
      </c>
    </row>
    <row r="669">
      <c r="A669" s="5">
        <f>IFERROR(__xludf.DUMMYFUNCTION("""COMPUTED_VALUE"""),36526.0)</f>
        <v>36526</v>
      </c>
      <c r="B669" s="6" t="str">
        <f>IFERROR(__xludf.DUMMYFUNCTION("""COMPUTED_VALUE"""),"gpc_educacion_universitaria_pib")</f>
        <v>gpc_educacion_universitaria_pib</v>
      </c>
      <c r="C669" s="6">
        <f>IFERROR(__xludf.DUMMYFUNCTION("""COMPUTED_VALUE"""),0.924082889798268)</f>
        <v>0.9240828898</v>
      </c>
    </row>
    <row r="670">
      <c r="A670" s="5">
        <f>IFERROR(__xludf.DUMMYFUNCTION("""COMPUTED_VALUE"""),36526.0)</f>
        <v>36526</v>
      </c>
      <c r="B670" s="6" t="str">
        <f>IFERROR(__xludf.DUMMYFUNCTION("""COMPUTED_VALUE"""),"gpc_ciencia_tecnica_pib")</f>
        <v>gpc_ciencia_tecnica_pib</v>
      </c>
      <c r="C670" s="6">
        <f>IFERROR(__xludf.DUMMYFUNCTION("""COMPUTED_VALUE"""),0.204782772906078)</f>
        <v>0.2047827729</v>
      </c>
    </row>
    <row r="671">
      <c r="A671" s="5">
        <f>IFERROR(__xludf.DUMMYFUNCTION("""COMPUTED_VALUE"""),36526.0)</f>
        <v>36526</v>
      </c>
      <c r="B671" s="6" t="str">
        <f>IFERROR(__xludf.DUMMYFUNCTION("""COMPUTED_VALUE"""),"gpc_cultura_pib")</f>
        <v>gpc_cultura_pib</v>
      </c>
      <c r="C671" s="6">
        <f>IFERROR(__xludf.DUMMYFUNCTION("""COMPUTED_VALUE"""),0.202387318213592)</f>
        <v>0.2023873182</v>
      </c>
    </row>
    <row r="672">
      <c r="A672" s="5">
        <f>IFERROR(__xludf.DUMMYFUNCTION("""COMPUTED_VALUE"""),36526.0)</f>
        <v>36526</v>
      </c>
      <c r="B672" s="6" t="str">
        <f>IFERROR(__xludf.DUMMYFUNCTION("""COMPUTED_VALUE"""),"gpc_educacion_cultura_sin_discriminar_pib")</f>
        <v>gpc_educacion_cultura_sin_discriminar_pib</v>
      </c>
      <c r="C672" s="6">
        <f>IFERROR(__xludf.DUMMYFUNCTION("""COMPUTED_VALUE"""),0.380420010591321)</f>
        <v>0.3804200106</v>
      </c>
    </row>
    <row r="673">
      <c r="A673" s="5">
        <f>IFERROR(__xludf.DUMMYFUNCTION("""COMPUTED_VALUE"""),36526.0)</f>
        <v>36526</v>
      </c>
      <c r="B673" s="6" t="str">
        <f>IFERROR(__xludf.DUMMYFUNCTION("""COMPUTED_VALUE"""),"gpc_atencion_salud_pib")</f>
        <v>gpc_atencion_salud_pib</v>
      </c>
      <c r="C673" s="6">
        <f>IFERROR(__xludf.DUMMYFUNCTION("""COMPUTED_VALUE"""),2.16194045812263)</f>
        <v>2.161940458</v>
      </c>
    </row>
    <row r="674">
      <c r="A674" s="5">
        <f>IFERROR(__xludf.DUMMYFUNCTION("""COMPUTED_VALUE"""),36526.0)</f>
        <v>36526</v>
      </c>
      <c r="B674" s="6" t="str">
        <f>IFERROR(__xludf.DUMMYFUNCTION("""COMPUTED_VALUE"""),"gpc_obras_sociales_salud_pib")</f>
        <v>gpc_obras_sociales_salud_pib</v>
      </c>
      <c r="C674" s="6">
        <f>IFERROR(__xludf.DUMMYFUNCTION("""COMPUTED_VALUE"""),2.14153274662115)</f>
        <v>2.141532747</v>
      </c>
    </row>
    <row r="675">
      <c r="A675" s="5">
        <f>IFERROR(__xludf.DUMMYFUNCTION("""COMPUTED_VALUE"""),36526.0)</f>
        <v>36526</v>
      </c>
      <c r="B675" s="6" t="str">
        <f>IFERROR(__xludf.DUMMYFUNCTION("""COMPUTED_VALUE"""),"gpc_inssjyp_salud_pib")</f>
        <v>gpc_inssjyp_salud_pib</v>
      </c>
      <c r="C675" s="6">
        <f>IFERROR(__xludf.DUMMYFUNCTION("""COMPUTED_VALUE"""),0.785447987525279)</f>
        <v>0.7854479875</v>
      </c>
    </row>
    <row r="676">
      <c r="A676" s="5">
        <f>IFERROR(__xludf.DUMMYFUNCTION("""COMPUTED_VALUE"""),36526.0)</f>
        <v>36526</v>
      </c>
      <c r="B676" s="6" t="str">
        <f>IFERROR(__xludf.DUMMYFUNCTION("""COMPUTED_VALUE"""),"gpc_agua_alcantarillado_pib")</f>
        <v>gpc_agua_alcantarillado_pib</v>
      </c>
      <c r="C676" s="6">
        <f>IFERROR(__xludf.DUMMYFUNCTION("""COMPUTED_VALUE"""),0.209695060183779)</f>
        <v>0.2096950602</v>
      </c>
    </row>
    <row r="677">
      <c r="A677" s="5">
        <f>IFERROR(__xludf.DUMMYFUNCTION("""COMPUTED_VALUE"""),36526.0)</f>
        <v>36526</v>
      </c>
      <c r="B677" s="6" t="str">
        <f>IFERROR(__xludf.DUMMYFUNCTION("""COMPUTED_VALUE"""),"gpc_vivienda_urbanismo_pib")</f>
        <v>gpc_vivienda_urbanismo_pib</v>
      </c>
      <c r="C677" s="6">
        <f>IFERROR(__xludf.DUMMYFUNCTION("""COMPUTED_VALUE"""),0.601709933506054)</f>
        <v>0.6017099335</v>
      </c>
    </row>
    <row r="678">
      <c r="A678" s="5">
        <f>IFERROR(__xludf.DUMMYFUNCTION("""COMPUTED_VALUE"""),36526.0)</f>
        <v>36526</v>
      </c>
      <c r="B678" s="6" t="str">
        <f>IFERROR(__xludf.DUMMYFUNCTION("""COMPUTED_VALUE"""),"gpc_promocion_asistencia_social_pib")</f>
        <v>gpc_promocion_asistencia_social_pib</v>
      </c>
      <c r="C678" s="6">
        <f>IFERROR(__xludf.DUMMYFUNCTION("""COMPUTED_VALUE"""),0.890167838342959)</f>
        <v>0.8901678383</v>
      </c>
    </row>
    <row r="679">
      <c r="A679" s="5">
        <f>IFERROR(__xludf.DUMMYFUNCTION("""COMPUTED_VALUE"""),36526.0)</f>
        <v>36526</v>
      </c>
      <c r="B679" s="6" t="str">
        <f>IFERROR(__xludf.DUMMYFUNCTION("""COMPUTED_VALUE"""),"gpc_obras_sociales_prestaciones_pib")</f>
        <v>gpc_obras_sociales_prestaciones_pib</v>
      </c>
      <c r="C679" s="6">
        <f>IFERROR(__xludf.DUMMYFUNCTION("""COMPUTED_VALUE"""),0.111232830904875)</f>
        <v>0.1112328309</v>
      </c>
    </row>
    <row r="680">
      <c r="A680" s="5">
        <f>IFERROR(__xludf.DUMMYFUNCTION("""COMPUTED_VALUE"""),36526.0)</f>
        <v>36526</v>
      </c>
      <c r="B680" s="6" t="str">
        <f>IFERROR(__xludf.DUMMYFUNCTION("""COMPUTED_VALUE"""),"gpc_inssjyp_prestaciones_pib")</f>
        <v>gpc_inssjyp_prestaciones_pib</v>
      </c>
      <c r="C680" s="6">
        <f>IFERROR(__xludf.DUMMYFUNCTION("""COMPUTED_VALUE"""),0.11664781395248)</f>
        <v>0.116647814</v>
      </c>
    </row>
    <row r="681">
      <c r="A681" s="5">
        <f>IFERROR(__xludf.DUMMYFUNCTION("""COMPUTED_VALUE"""),36526.0)</f>
        <v>36526</v>
      </c>
      <c r="B681" s="6" t="str">
        <f>IFERROR(__xludf.DUMMYFUNCTION("""COMPUTED_VALUE"""),"gpc_prevision_social_pib")</f>
        <v>gpc_prevision_social_pib</v>
      </c>
      <c r="C681" s="6">
        <f>IFERROR(__xludf.DUMMYFUNCTION("""COMPUTED_VALUE"""),7.94913233213157)</f>
        <v>7.949132332</v>
      </c>
    </row>
    <row r="682">
      <c r="A682" s="5">
        <f>IFERROR(__xludf.DUMMYFUNCTION("""COMPUTED_VALUE"""),36526.0)</f>
        <v>36526</v>
      </c>
      <c r="B682" s="6" t="str">
        <f>IFERROR(__xludf.DUMMYFUNCTION("""COMPUTED_VALUE"""),"gpc_programas_empleo_pib")</f>
        <v>gpc_programas_empleo_pib</v>
      </c>
      <c r="C682" s="6">
        <f>IFERROR(__xludf.DUMMYFUNCTION("""COMPUTED_VALUE"""),0.298483793867464)</f>
        <v>0.2984837939</v>
      </c>
    </row>
    <row r="683">
      <c r="A683" s="5">
        <f>IFERROR(__xludf.DUMMYFUNCTION("""COMPUTED_VALUE"""),36526.0)</f>
        <v>36526</v>
      </c>
      <c r="B683" s="6" t="str">
        <f>IFERROR(__xludf.DUMMYFUNCTION("""COMPUTED_VALUE"""),"gpc_asignaciones_familiares_pib")</f>
        <v>gpc_asignaciones_familiares_pib</v>
      </c>
      <c r="C683" s="6">
        <f>IFERROR(__xludf.DUMMYFUNCTION("""COMPUTED_VALUE"""),0.659226469851448)</f>
        <v>0.6592264699</v>
      </c>
    </row>
    <row r="684">
      <c r="A684" s="5">
        <f>IFERROR(__xludf.DUMMYFUNCTION("""COMPUTED_VALUE"""),36526.0)</f>
        <v>36526</v>
      </c>
      <c r="B684" s="6" t="str">
        <f>IFERROR(__xludf.DUMMYFUNCTION("""COMPUTED_VALUE"""),"gpc_otros_servicios_urbanos_pib")</f>
        <v>gpc_otros_servicios_urbanos_pib</v>
      </c>
      <c r="C684" s="6">
        <f>IFERROR(__xludf.DUMMYFUNCTION("""COMPUTED_VALUE"""),0.804333266329761)</f>
        <v>0.8043332663</v>
      </c>
    </row>
    <row r="685">
      <c r="A685" s="5">
        <f>IFERROR(__xludf.DUMMYFUNCTION("""COMPUTED_VALUE"""),36526.0)</f>
        <v>36526</v>
      </c>
      <c r="B685" s="6" t="str">
        <f>IFERROR(__xludf.DUMMYFUNCTION("""COMPUTED_VALUE"""),"gpc_servicios_economicos_pib")</f>
        <v>gpc_servicios_economicos_pib</v>
      </c>
      <c r="C685" s="6">
        <f>IFERROR(__xludf.DUMMYFUNCTION("""COMPUTED_VALUE"""),1.73158065019561)</f>
        <v>1.73158065</v>
      </c>
    </row>
    <row r="686">
      <c r="A686" s="5">
        <f>IFERROR(__xludf.DUMMYFUNCTION("""COMPUTED_VALUE"""),36526.0)</f>
        <v>36526</v>
      </c>
      <c r="B686" s="6" t="str">
        <f>IFERROR(__xludf.DUMMYFUNCTION("""COMPUTED_VALUE"""),"gpc_produccion_primaria_pib")</f>
        <v>gpc_produccion_primaria_pib</v>
      </c>
      <c r="C686" s="6">
        <f>IFERROR(__xludf.DUMMYFUNCTION("""COMPUTED_VALUE"""),0.363078385030749)</f>
        <v>0.363078385</v>
      </c>
    </row>
    <row r="687">
      <c r="A687" s="5">
        <f>IFERROR(__xludf.DUMMYFUNCTION("""COMPUTED_VALUE"""),36526.0)</f>
        <v>36526</v>
      </c>
      <c r="B687" s="6" t="str">
        <f>IFERROR(__xludf.DUMMYFUNCTION("""COMPUTED_VALUE"""),"gpc_energia_combustible_pib")</f>
        <v>gpc_energia_combustible_pib</v>
      </c>
      <c r="C687" s="6">
        <f>IFERROR(__xludf.DUMMYFUNCTION("""COMPUTED_VALUE"""),0.262242765398608)</f>
        <v>0.2622427654</v>
      </c>
    </row>
    <row r="688">
      <c r="A688" s="5">
        <f>IFERROR(__xludf.DUMMYFUNCTION("""COMPUTED_VALUE"""),36526.0)</f>
        <v>36526</v>
      </c>
      <c r="B688" s="6" t="str">
        <f>IFERROR(__xludf.DUMMYFUNCTION("""COMPUTED_VALUE"""),"gpc_industria_pib")</f>
        <v>gpc_industria_pib</v>
      </c>
      <c r="C688" s="6">
        <f>IFERROR(__xludf.DUMMYFUNCTION("""COMPUTED_VALUE"""),0.0630347329702806)</f>
        <v>0.06303473297</v>
      </c>
    </row>
    <row r="689">
      <c r="A689" s="5">
        <f>IFERROR(__xludf.DUMMYFUNCTION("""COMPUTED_VALUE"""),36526.0)</f>
        <v>36526</v>
      </c>
      <c r="B689" s="6" t="str">
        <f>IFERROR(__xludf.DUMMYFUNCTION("""COMPUTED_VALUE"""),"gpc_transporte_pib")</f>
        <v>gpc_transporte_pib</v>
      </c>
      <c r="C689" s="6">
        <f>IFERROR(__xludf.DUMMYFUNCTION("""COMPUTED_VALUE"""),0.805497025566246)</f>
        <v>0.8054970256</v>
      </c>
    </row>
    <row r="690">
      <c r="A690" s="5">
        <f>IFERROR(__xludf.DUMMYFUNCTION("""COMPUTED_VALUE"""),36526.0)</f>
        <v>36526</v>
      </c>
      <c r="B690" s="6" t="str">
        <f>IFERROR(__xludf.DUMMYFUNCTION("""COMPUTED_VALUE"""),"gpc_comunicaciones_pib")</f>
        <v>gpc_comunicaciones_pib</v>
      </c>
      <c r="C690" s="6">
        <f>IFERROR(__xludf.DUMMYFUNCTION("""COMPUTED_VALUE"""),0.0477047155812722)</f>
        <v>0.04770471558</v>
      </c>
    </row>
    <row r="691">
      <c r="A691" s="5">
        <f>IFERROR(__xludf.DUMMYFUNCTION("""COMPUTED_VALUE"""),36526.0)</f>
        <v>36526</v>
      </c>
      <c r="B691" s="6" t="str">
        <f>IFERROR(__xludf.DUMMYFUNCTION("""COMPUTED_VALUE"""),"gpc_otros_servicios_economicos_pib")</f>
        <v>gpc_otros_servicios_economicos_pib</v>
      </c>
      <c r="C691" s="6">
        <f>IFERROR(__xludf.DUMMYFUNCTION("""COMPUTED_VALUE"""),0.190023025648454)</f>
        <v>0.1900230256</v>
      </c>
    </row>
    <row r="692">
      <c r="A692" s="5">
        <f>IFERROR(__xludf.DUMMYFUNCTION("""COMPUTED_VALUE"""),36526.0)</f>
        <v>36526</v>
      </c>
      <c r="B692" s="6" t="str">
        <f>IFERROR(__xludf.DUMMYFUNCTION("""COMPUTED_VALUE"""),"gpc_servicios_deuda_publica_pib")</f>
        <v>gpc_servicios_deuda_publica_pib</v>
      </c>
      <c r="C692" s="6">
        <f>IFERROR(__xludf.DUMMYFUNCTION("""COMPUTED_VALUE"""),4.26534761160213)</f>
        <v>4.265347612</v>
      </c>
    </row>
    <row r="693">
      <c r="A693" s="5">
        <f>IFERROR(__xludf.DUMMYFUNCTION("""COMPUTED_VALUE"""),36526.0)</f>
        <v>36526</v>
      </c>
      <c r="B693" s="6"/>
      <c r="C693" s="6"/>
    </row>
    <row r="694">
      <c r="A694" s="5">
        <f>IFERROR(__xludf.DUMMYFUNCTION("""COMPUTED_VALUE"""),36526.0)</f>
        <v>36526</v>
      </c>
      <c r="B694" s="6"/>
      <c r="C694" s="6"/>
    </row>
    <row r="695">
      <c r="A695" s="5">
        <f>IFERROR(__xludf.DUMMYFUNCTION("""COMPUTED_VALUE"""),36892.0)</f>
        <v>36892</v>
      </c>
      <c r="B695" s="6" t="str">
        <f>IFERROR(__xludf.DUMMYFUNCTION("""COMPUTED_VALUE"""),"gpc_pib")</f>
        <v>gpc_pib</v>
      </c>
      <c r="C695" s="6">
        <f>IFERROR(__xludf.DUMMYFUNCTION("""COMPUTED_VALUE"""),35.5976619716601)</f>
        <v>35.59766197</v>
      </c>
    </row>
    <row r="696">
      <c r="A696" s="5">
        <f>IFERROR(__xludf.DUMMYFUNCTION("""COMPUTED_VALUE"""),36892.0)</f>
        <v>36892</v>
      </c>
      <c r="B696" s="6" t="str">
        <f>IFERROR(__xludf.DUMMYFUNCTION("""COMPUTED_VALUE"""),"gpc_funcionamiento_estado_pib")</f>
        <v>gpc_funcionamiento_estado_pib</v>
      </c>
      <c r="C696" s="6">
        <f>IFERROR(__xludf.DUMMYFUNCTION("""COMPUTED_VALUE"""),6.16495728085366)</f>
        <v>6.164957281</v>
      </c>
    </row>
    <row r="697">
      <c r="A697" s="5">
        <f>IFERROR(__xludf.DUMMYFUNCTION("""COMPUTED_VALUE"""),36892.0)</f>
        <v>36892</v>
      </c>
      <c r="B697" s="6" t="str">
        <f>IFERROR(__xludf.DUMMYFUNCTION("""COMPUTED_VALUE"""),"gpc_administracion_general_pib")</f>
        <v>gpc_administracion_general_pib</v>
      </c>
      <c r="C697" s="6">
        <f>IFERROR(__xludf.DUMMYFUNCTION("""COMPUTED_VALUE"""),2.74178709319381)</f>
        <v>2.741787093</v>
      </c>
    </row>
    <row r="698">
      <c r="A698" s="5">
        <f>IFERROR(__xludf.DUMMYFUNCTION("""COMPUTED_VALUE"""),36892.0)</f>
        <v>36892</v>
      </c>
      <c r="B698" s="6" t="str">
        <f>IFERROR(__xludf.DUMMYFUNCTION("""COMPUTED_VALUE"""),"gpc_justicia_pib")</f>
        <v>gpc_justicia_pib</v>
      </c>
      <c r="C698" s="6">
        <f>IFERROR(__xludf.DUMMYFUNCTION("""COMPUTED_VALUE"""),0.975524532972941)</f>
        <v>0.975524533</v>
      </c>
    </row>
    <row r="699">
      <c r="A699" s="5">
        <f>IFERROR(__xludf.DUMMYFUNCTION("""COMPUTED_VALUE"""),36892.0)</f>
        <v>36892</v>
      </c>
      <c r="B699" s="6" t="str">
        <f>IFERROR(__xludf.DUMMYFUNCTION("""COMPUTED_VALUE"""),"gpc_defensa_seguridad_pib")</f>
        <v>gpc_defensa_seguridad_pib</v>
      </c>
      <c r="C699" s="6">
        <f>IFERROR(__xludf.DUMMYFUNCTION("""COMPUTED_VALUE"""),2.4476456546869)</f>
        <v>2.447645655</v>
      </c>
    </row>
    <row r="700">
      <c r="A700" s="5">
        <f>IFERROR(__xludf.DUMMYFUNCTION("""COMPUTED_VALUE"""),36892.0)</f>
        <v>36892</v>
      </c>
      <c r="B700" s="6" t="str">
        <f>IFERROR(__xludf.DUMMYFUNCTION("""COMPUTED_VALUE"""),"gpc_servicios_sociales_pib")</f>
        <v>gpc_servicios_sociales_pib</v>
      </c>
      <c r="C700" s="6">
        <f>IFERROR(__xludf.DUMMYFUNCTION("""COMPUTED_VALUE"""),22.3921442883675)</f>
        <v>22.39214429</v>
      </c>
    </row>
    <row r="701">
      <c r="A701" s="5">
        <f>IFERROR(__xludf.DUMMYFUNCTION("""COMPUTED_VALUE"""),36892.0)</f>
        <v>36892</v>
      </c>
      <c r="B701" s="6" t="str">
        <f>IFERROR(__xludf.DUMMYFUNCTION("""COMPUTED_VALUE"""),"gpc_educacion_basica_pib")</f>
        <v>gpc_educacion_basica_pib</v>
      </c>
      <c r="C701" s="6">
        <f>IFERROR(__xludf.DUMMYFUNCTION("""COMPUTED_VALUE"""),3.48685260816441)</f>
        <v>3.486852608</v>
      </c>
    </row>
    <row r="702">
      <c r="A702" s="5">
        <f>IFERROR(__xludf.DUMMYFUNCTION("""COMPUTED_VALUE"""),36892.0)</f>
        <v>36892</v>
      </c>
      <c r="B702" s="6" t="str">
        <f>IFERROR(__xludf.DUMMYFUNCTION("""COMPUTED_VALUE"""),"gpc_educacion_universitaria_pib")</f>
        <v>gpc_educacion_universitaria_pib</v>
      </c>
      <c r="C702" s="6">
        <f>IFERROR(__xludf.DUMMYFUNCTION("""COMPUTED_VALUE"""),0.95553218101721)</f>
        <v>0.955532181</v>
      </c>
    </row>
    <row r="703">
      <c r="A703" s="5">
        <f>IFERROR(__xludf.DUMMYFUNCTION("""COMPUTED_VALUE"""),36892.0)</f>
        <v>36892</v>
      </c>
      <c r="B703" s="6" t="str">
        <f>IFERROR(__xludf.DUMMYFUNCTION("""COMPUTED_VALUE"""),"gpc_ciencia_tecnica_pib")</f>
        <v>gpc_ciencia_tecnica_pib</v>
      </c>
      <c r="C703" s="6">
        <f>IFERROR(__xludf.DUMMYFUNCTION("""COMPUTED_VALUE"""),0.190361071670332)</f>
        <v>0.1903610717</v>
      </c>
    </row>
    <row r="704">
      <c r="A704" s="5">
        <f>IFERROR(__xludf.DUMMYFUNCTION("""COMPUTED_VALUE"""),36892.0)</f>
        <v>36892</v>
      </c>
      <c r="B704" s="6" t="str">
        <f>IFERROR(__xludf.DUMMYFUNCTION("""COMPUTED_VALUE"""),"gpc_cultura_pib")</f>
        <v>gpc_cultura_pib</v>
      </c>
      <c r="C704" s="6">
        <f>IFERROR(__xludf.DUMMYFUNCTION("""COMPUTED_VALUE"""),0.190788108788626)</f>
        <v>0.1907881088</v>
      </c>
    </row>
    <row r="705">
      <c r="A705" s="5">
        <f>IFERROR(__xludf.DUMMYFUNCTION("""COMPUTED_VALUE"""),36892.0)</f>
        <v>36892</v>
      </c>
      <c r="B705" s="6" t="str">
        <f>IFERROR(__xludf.DUMMYFUNCTION("""COMPUTED_VALUE"""),"gpc_educacion_cultura_sin_discriminar_pib")</f>
        <v>gpc_educacion_cultura_sin_discriminar_pib</v>
      </c>
      <c r="C705" s="6">
        <f>IFERROR(__xludf.DUMMYFUNCTION("""COMPUTED_VALUE"""),0.374174113702173)</f>
        <v>0.3741741137</v>
      </c>
    </row>
    <row r="706">
      <c r="A706" s="5">
        <f>IFERROR(__xludf.DUMMYFUNCTION("""COMPUTED_VALUE"""),36892.0)</f>
        <v>36892</v>
      </c>
      <c r="B706" s="6" t="str">
        <f>IFERROR(__xludf.DUMMYFUNCTION("""COMPUTED_VALUE"""),"gpc_atencion_salud_pib")</f>
        <v>gpc_atencion_salud_pib</v>
      </c>
      <c r="C706" s="6">
        <f>IFERROR(__xludf.DUMMYFUNCTION("""COMPUTED_VALUE"""),2.13769259116602)</f>
        <v>2.137692591</v>
      </c>
    </row>
    <row r="707">
      <c r="A707" s="5">
        <f>IFERROR(__xludf.DUMMYFUNCTION("""COMPUTED_VALUE"""),36892.0)</f>
        <v>36892</v>
      </c>
      <c r="B707" s="6" t="str">
        <f>IFERROR(__xludf.DUMMYFUNCTION("""COMPUTED_VALUE"""),"gpc_obras_sociales_salud_pib")</f>
        <v>gpc_obras_sociales_salud_pib</v>
      </c>
      <c r="C707" s="6">
        <f>IFERROR(__xludf.DUMMYFUNCTION("""COMPUTED_VALUE"""),2.1260913931352)</f>
        <v>2.126091393</v>
      </c>
    </row>
    <row r="708">
      <c r="A708" s="5">
        <f>IFERROR(__xludf.DUMMYFUNCTION("""COMPUTED_VALUE"""),36892.0)</f>
        <v>36892</v>
      </c>
      <c r="B708" s="6" t="str">
        <f>IFERROR(__xludf.DUMMYFUNCTION("""COMPUTED_VALUE"""),"gpc_inssjyp_salud_pib")</f>
        <v>gpc_inssjyp_salud_pib</v>
      </c>
      <c r="C708" s="6">
        <f>IFERROR(__xludf.DUMMYFUNCTION("""COMPUTED_VALUE"""),0.789361284837142)</f>
        <v>0.7893612848</v>
      </c>
    </row>
    <row r="709">
      <c r="A709" s="5">
        <f>IFERROR(__xludf.DUMMYFUNCTION("""COMPUTED_VALUE"""),36892.0)</f>
        <v>36892</v>
      </c>
      <c r="B709" s="6" t="str">
        <f>IFERROR(__xludf.DUMMYFUNCTION("""COMPUTED_VALUE"""),"gpc_agua_alcantarillado_pib")</f>
        <v>gpc_agua_alcantarillado_pib</v>
      </c>
      <c r="C709" s="6">
        <f>IFERROR(__xludf.DUMMYFUNCTION("""COMPUTED_VALUE"""),0.204928568839537)</f>
        <v>0.2049285688</v>
      </c>
    </row>
    <row r="710">
      <c r="A710" s="5">
        <f>IFERROR(__xludf.DUMMYFUNCTION("""COMPUTED_VALUE"""),36892.0)</f>
        <v>36892</v>
      </c>
      <c r="B710" s="6" t="str">
        <f>IFERROR(__xludf.DUMMYFUNCTION("""COMPUTED_VALUE"""),"gpc_vivienda_urbanismo_pib")</f>
        <v>gpc_vivienda_urbanismo_pib</v>
      </c>
      <c r="C710" s="6">
        <f>IFERROR(__xludf.DUMMYFUNCTION("""COMPUTED_VALUE"""),0.744386700271484)</f>
        <v>0.7443867003</v>
      </c>
    </row>
    <row r="711">
      <c r="A711" s="5">
        <f>IFERROR(__xludf.DUMMYFUNCTION("""COMPUTED_VALUE"""),36892.0)</f>
        <v>36892</v>
      </c>
      <c r="B711" s="6" t="str">
        <f>IFERROR(__xludf.DUMMYFUNCTION("""COMPUTED_VALUE"""),"gpc_promocion_asistencia_social_pib")</f>
        <v>gpc_promocion_asistencia_social_pib</v>
      </c>
      <c r="C711" s="6">
        <f>IFERROR(__xludf.DUMMYFUNCTION("""COMPUTED_VALUE"""),0.905270517574356)</f>
        <v>0.9052705176</v>
      </c>
    </row>
    <row r="712">
      <c r="A712" s="5">
        <f>IFERROR(__xludf.DUMMYFUNCTION("""COMPUTED_VALUE"""),36892.0)</f>
        <v>36892</v>
      </c>
      <c r="B712" s="6" t="str">
        <f>IFERROR(__xludf.DUMMYFUNCTION("""COMPUTED_VALUE"""),"gpc_obras_sociales_prestaciones_pib")</f>
        <v>gpc_obras_sociales_prestaciones_pib</v>
      </c>
      <c r="C712" s="6">
        <f>IFERROR(__xludf.DUMMYFUNCTION("""COMPUTED_VALUE"""),0.146718979639761)</f>
        <v>0.1467189796</v>
      </c>
    </row>
    <row r="713">
      <c r="A713" s="5">
        <f>IFERROR(__xludf.DUMMYFUNCTION("""COMPUTED_VALUE"""),36892.0)</f>
        <v>36892</v>
      </c>
      <c r="B713" s="6" t="str">
        <f>IFERROR(__xludf.DUMMYFUNCTION("""COMPUTED_VALUE"""),"gpc_inssjyp_prestaciones_pib")</f>
        <v>gpc_inssjyp_prestaciones_pib</v>
      </c>
      <c r="C713" s="6">
        <f>IFERROR(__xludf.DUMMYFUNCTION("""COMPUTED_VALUE"""),0.0998312549781269)</f>
        <v>0.09983125498</v>
      </c>
    </row>
    <row r="714">
      <c r="A714" s="5">
        <f>IFERROR(__xludf.DUMMYFUNCTION("""COMPUTED_VALUE"""),36892.0)</f>
        <v>36892</v>
      </c>
      <c r="B714" s="6" t="str">
        <f>IFERROR(__xludf.DUMMYFUNCTION("""COMPUTED_VALUE"""),"gpc_prevision_social_pib")</f>
        <v>gpc_prevision_social_pib</v>
      </c>
      <c r="C714" s="6">
        <f>IFERROR(__xludf.DUMMYFUNCTION("""COMPUTED_VALUE"""),8.16520463077483)</f>
        <v>8.165204631</v>
      </c>
    </row>
    <row r="715">
      <c r="A715" s="5">
        <f>IFERROR(__xludf.DUMMYFUNCTION("""COMPUTED_VALUE"""),36892.0)</f>
        <v>36892</v>
      </c>
      <c r="B715" s="6" t="str">
        <f>IFERROR(__xludf.DUMMYFUNCTION("""COMPUTED_VALUE"""),"gpc_programas_empleo_pib")</f>
        <v>gpc_programas_empleo_pib</v>
      </c>
      <c r="C715" s="6">
        <f>IFERROR(__xludf.DUMMYFUNCTION("""COMPUTED_VALUE"""),0.408042657916452)</f>
        <v>0.4080426579</v>
      </c>
    </row>
    <row r="716">
      <c r="A716" s="5">
        <f>IFERROR(__xludf.DUMMYFUNCTION("""COMPUTED_VALUE"""),36892.0)</f>
        <v>36892</v>
      </c>
      <c r="B716" s="6" t="str">
        <f>IFERROR(__xludf.DUMMYFUNCTION("""COMPUTED_VALUE"""),"gpc_asignaciones_familiares_pib")</f>
        <v>gpc_asignaciones_familiares_pib</v>
      </c>
      <c r="C716" s="6">
        <f>IFERROR(__xludf.DUMMYFUNCTION("""COMPUTED_VALUE"""),0.674632638875778)</f>
        <v>0.6746326389</v>
      </c>
    </row>
    <row r="717">
      <c r="A717" s="5">
        <f>IFERROR(__xludf.DUMMYFUNCTION("""COMPUTED_VALUE"""),36892.0)</f>
        <v>36892</v>
      </c>
      <c r="B717" s="6" t="str">
        <f>IFERROR(__xludf.DUMMYFUNCTION("""COMPUTED_VALUE"""),"gpc_otros_servicios_urbanos_pib")</f>
        <v>gpc_otros_servicios_urbanos_pib</v>
      </c>
      <c r="C717" s="6">
        <f>IFERROR(__xludf.DUMMYFUNCTION("""COMPUTED_VALUE"""),0.792274987016127)</f>
        <v>0.792274987</v>
      </c>
    </row>
    <row r="718">
      <c r="A718" s="5">
        <f>IFERROR(__xludf.DUMMYFUNCTION("""COMPUTED_VALUE"""),36892.0)</f>
        <v>36892</v>
      </c>
      <c r="B718" s="6" t="str">
        <f>IFERROR(__xludf.DUMMYFUNCTION("""COMPUTED_VALUE"""),"gpc_servicios_economicos_pib")</f>
        <v>gpc_servicios_economicos_pib</v>
      </c>
      <c r="C718" s="6">
        <f>IFERROR(__xludf.DUMMYFUNCTION("""COMPUTED_VALUE"""),1.72247638525068)</f>
        <v>1.722476385</v>
      </c>
    </row>
    <row r="719">
      <c r="A719" s="5">
        <f>IFERROR(__xludf.DUMMYFUNCTION("""COMPUTED_VALUE"""),36892.0)</f>
        <v>36892</v>
      </c>
      <c r="B719" s="6" t="str">
        <f>IFERROR(__xludf.DUMMYFUNCTION("""COMPUTED_VALUE"""),"gpc_produccion_primaria_pib")</f>
        <v>gpc_produccion_primaria_pib</v>
      </c>
      <c r="C719" s="6">
        <f>IFERROR(__xludf.DUMMYFUNCTION("""COMPUTED_VALUE"""),0.334162558863183)</f>
        <v>0.3341625589</v>
      </c>
    </row>
    <row r="720">
      <c r="A720" s="5">
        <f>IFERROR(__xludf.DUMMYFUNCTION("""COMPUTED_VALUE"""),36892.0)</f>
        <v>36892</v>
      </c>
      <c r="B720" s="6" t="str">
        <f>IFERROR(__xludf.DUMMYFUNCTION("""COMPUTED_VALUE"""),"gpc_energia_combustible_pib")</f>
        <v>gpc_energia_combustible_pib</v>
      </c>
      <c r="C720" s="6">
        <f>IFERROR(__xludf.DUMMYFUNCTION("""COMPUTED_VALUE"""),0.211457251086594)</f>
        <v>0.2114572511</v>
      </c>
    </row>
    <row r="721">
      <c r="A721" s="5">
        <f>IFERROR(__xludf.DUMMYFUNCTION("""COMPUTED_VALUE"""),36892.0)</f>
        <v>36892</v>
      </c>
      <c r="B721" s="6" t="str">
        <f>IFERROR(__xludf.DUMMYFUNCTION("""COMPUTED_VALUE"""),"gpc_industria_pib")</f>
        <v>gpc_industria_pib</v>
      </c>
      <c r="C721" s="6">
        <f>IFERROR(__xludf.DUMMYFUNCTION("""COMPUTED_VALUE"""),0.0641645911998202)</f>
        <v>0.0641645912</v>
      </c>
    </row>
    <row r="722">
      <c r="A722" s="5">
        <f>IFERROR(__xludf.DUMMYFUNCTION("""COMPUTED_VALUE"""),36892.0)</f>
        <v>36892</v>
      </c>
      <c r="B722" s="6" t="str">
        <f>IFERROR(__xludf.DUMMYFUNCTION("""COMPUTED_VALUE"""),"gpc_transporte_pib")</f>
        <v>gpc_transporte_pib</v>
      </c>
      <c r="C722" s="6">
        <f>IFERROR(__xludf.DUMMYFUNCTION("""COMPUTED_VALUE"""),0.827801980597702)</f>
        <v>0.8278019806</v>
      </c>
    </row>
    <row r="723">
      <c r="A723" s="5">
        <f>IFERROR(__xludf.DUMMYFUNCTION("""COMPUTED_VALUE"""),36892.0)</f>
        <v>36892</v>
      </c>
      <c r="B723" s="6" t="str">
        <f>IFERROR(__xludf.DUMMYFUNCTION("""COMPUTED_VALUE"""),"gpc_comunicaciones_pib")</f>
        <v>gpc_comunicaciones_pib</v>
      </c>
      <c r="C723" s="6">
        <f>IFERROR(__xludf.DUMMYFUNCTION("""COMPUTED_VALUE"""),0.0764241118106132)</f>
        <v>0.07642411181</v>
      </c>
    </row>
    <row r="724">
      <c r="A724" s="5">
        <f>IFERROR(__xludf.DUMMYFUNCTION("""COMPUTED_VALUE"""),36892.0)</f>
        <v>36892</v>
      </c>
      <c r="B724" s="6" t="str">
        <f>IFERROR(__xludf.DUMMYFUNCTION("""COMPUTED_VALUE"""),"gpc_otros_servicios_economicos_pib")</f>
        <v>gpc_otros_servicios_economicos_pib</v>
      </c>
      <c r="C724" s="6">
        <f>IFERROR(__xludf.DUMMYFUNCTION("""COMPUTED_VALUE"""),0.208465891692773)</f>
        <v>0.2084658917</v>
      </c>
    </row>
    <row r="725">
      <c r="A725" s="5">
        <f>IFERROR(__xludf.DUMMYFUNCTION("""COMPUTED_VALUE"""),36892.0)</f>
        <v>36892</v>
      </c>
      <c r="B725" s="6" t="str">
        <f>IFERROR(__xludf.DUMMYFUNCTION("""COMPUTED_VALUE"""),"gpc_servicios_deuda_publica_pib")</f>
        <v>gpc_servicios_deuda_publica_pib</v>
      </c>
      <c r="C725" s="6">
        <f>IFERROR(__xludf.DUMMYFUNCTION("""COMPUTED_VALUE"""),5.31808401718817)</f>
        <v>5.318084017</v>
      </c>
    </row>
    <row r="726">
      <c r="A726" s="5">
        <f>IFERROR(__xludf.DUMMYFUNCTION("""COMPUTED_VALUE"""),36892.0)</f>
        <v>36892</v>
      </c>
      <c r="B726" s="6"/>
      <c r="C726" s="6"/>
    </row>
    <row r="727">
      <c r="A727" s="5">
        <f>IFERROR(__xludf.DUMMYFUNCTION("""COMPUTED_VALUE"""),36892.0)</f>
        <v>36892</v>
      </c>
      <c r="B727" s="6"/>
      <c r="C727" s="6"/>
    </row>
    <row r="728">
      <c r="A728" s="5">
        <f>IFERROR(__xludf.DUMMYFUNCTION("""COMPUTED_VALUE"""),37257.0)</f>
        <v>37257</v>
      </c>
      <c r="B728" s="6" t="str">
        <f>IFERROR(__xludf.DUMMYFUNCTION("""COMPUTED_VALUE"""),"gpc_pib")</f>
        <v>gpc_pib</v>
      </c>
      <c r="C728" s="6">
        <f>IFERROR(__xludf.DUMMYFUNCTION("""COMPUTED_VALUE"""),29.1075300062972)</f>
        <v>29.10753001</v>
      </c>
    </row>
    <row r="729">
      <c r="A729" s="5">
        <f>IFERROR(__xludf.DUMMYFUNCTION("""COMPUTED_VALUE"""),37257.0)</f>
        <v>37257</v>
      </c>
      <c r="B729" s="6" t="str">
        <f>IFERROR(__xludf.DUMMYFUNCTION("""COMPUTED_VALUE"""),"gpc_funcionamiento_estado_pib")</f>
        <v>gpc_funcionamiento_estado_pib</v>
      </c>
      <c r="C729" s="6">
        <f>IFERROR(__xludf.DUMMYFUNCTION("""COMPUTED_VALUE"""),5.28322253661596)</f>
        <v>5.283222537</v>
      </c>
    </row>
    <row r="730">
      <c r="A730" s="5">
        <f>IFERROR(__xludf.DUMMYFUNCTION("""COMPUTED_VALUE"""),37257.0)</f>
        <v>37257</v>
      </c>
      <c r="B730" s="6" t="str">
        <f>IFERROR(__xludf.DUMMYFUNCTION("""COMPUTED_VALUE"""),"gpc_administracion_general_pib")</f>
        <v>gpc_administracion_general_pib</v>
      </c>
      <c r="C730" s="6">
        <f>IFERROR(__xludf.DUMMYFUNCTION("""COMPUTED_VALUE"""),2.27138870048097)</f>
        <v>2.2713887</v>
      </c>
    </row>
    <row r="731">
      <c r="A731" s="5">
        <f>IFERROR(__xludf.DUMMYFUNCTION("""COMPUTED_VALUE"""),37257.0)</f>
        <v>37257</v>
      </c>
      <c r="B731" s="6" t="str">
        <f>IFERROR(__xludf.DUMMYFUNCTION("""COMPUTED_VALUE"""),"gpc_justicia_pib")</f>
        <v>gpc_justicia_pib</v>
      </c>
      <c r="C731" s="6">
        <f>IFERROR(__xludf.DUMMYFUNCTION("""COMPUTED_VALUE"""),0.813898980776701)</f>
        <v>0.8138989808</v>
      </c>
    </row>
    <row r="732">
      <c r="A732" s="5">
        <f>IFERROR(__xludf.DUMMYFUNCTION("""COMPUTED_VALUE"""),37257.0)</f>
        <v>37257</v>
      </c>
      <c r="B732" s="6" t="str">
        <f>IFERROR(__xludf.DUMMYFUNCTION("""COMPUTED_VALUE"""),"gpc_defensa_seguridad_pib")</f>
        <v>gpc_defensa_seguridad_pib</v>
      </c>
      <c r="C732" s="6">
        <f>IFERROR(__xludf.DUMMYFUNCTION("""COMPUTED_VALUE"""),2.19793485535829)</f>
        <v>2.197934855</v>
      </c>
    </row>
    <row r="733">
      <c r="A733" s="5">
        <f>IFERROR(__xludf.DUMMYFUNCTION("""COMPUTED_VALUE"""),37257.0)</f>
        <v>37257</v>
      </c>
      <c r="B733" s="6" t="str">
        <f>IFERROR(__xludf.DUMMYFUNCTION("""COMPUTED_VALUE"""),"gpc_servicios_sociales_pib")</f>
        <v>gpc_servicios_sociales_pib</v>
      </c>
      <c r="C733" s="6">
        <f>IFERROR(__xludf.DUMMYFUNCTION("""COMPUTED_VALUE"""),19.841962190755)</f>
        <v>19.84196219</v>
      </c>
    </row>
    <row r="734">
      <c r="A734" s="5">
        <f>IFERROR(__xludf.DUMMYFUNCTION("""COMPUTED_VALUE"""),37257.0)</f>
        <v>37257</v>
      </c>
      <c r="B734" s="6" t="str">
        <f>IFERROR(__xludf.DUMMYFUNCTION("""COMPUTED_VALUE"""),"gpc_educacion_basica_pib")</f>
        <v>gpc_educacion_basica_pib</v>
      </c>
      <c r="C734" s="6">
        <f>IFERROR(__xludf.DUMMYFUNCTION("""COMPUTED_VALUE"""),2.91396926335604)</f>
        <v>2.913969263</v>
      </c>
    </row>
    <row r="735">
      <c r="A735" s="5">
        <f>IFERROR(__xludf.DUMMYFUNCTION("""COMPUTED_VALUE"""),37257.0)</f>
        <v>37257</v>
      </c>
      <c r="B735" s="6" t="str">
        <f>IFERROR(__xludf.DUMMYFUNCTION("""COMPUTED_VALUE"""),"gpc_educacion_universitaria_pib")</f>
        <v>gpc_educacion_universitaria_pib</v>
      </c>
      <c r="C735" s="6">
        <f>IFERROR(__xludf.DUMMYFUNCTION("""COMPUTED_VALUE"""),0.805739470352617)</f>
        <v>0.8057394704</v>
      </c>
    </row>
    <row r="736">
      <c r="A736" s="5">
        <f>IFERROR(__xludf.DUMMYFUNCTION("""COMPUTED_VALUE"""),37257.0)</f>
        <v>37257</v>
      </c>
      <c r="B736" s="6" t="str">
        <f>IFERROR(__xludf.DUMMYFUNCTION("""COMPUTED_VALUE"""),"gpc_ciencia_tecnica_pib")</f>
        <v>gpc_ciencia_tecnica_pib</v>
      </c>
      <c r="C736" s="6">
        <f>IFERROR(__xludf.DUMMYFUNCTION("""COMPUTED_VALUE"""),0.182512636992074)</f>
        <v>0.182512637</v>
      </c>
    </row>
    <row r="737">
      <c r="A737" s="5">
        <f>IFERROR(__xludf.DUMMYFUNCTION("""COMPUTED_VALUE"""),37257.0)</f>
        <v>37257</v>
      </c>
      <c r="B737" s="6" t="str">
        <f>IFERROR(__xludf.DUMMYFUNCTION("""COMPUTED_VALUE"""),"gpc_cultura_pib")</f>
        <v>gpc_cultura_pib</v>
      </c>
      <c r="C737" s="6">
        <f>IFERROR(__xludf.DUMMYFUNCTION("""COMPUTED_VALUE"""),0.155057452259974)</f>
        <v>0.1550574523</v>
      </c>
    </row>
    <row r="738">
      <c r="A738" s="5">
        <f>IFERROR(__xludf.DUMMYFUNCTION("""COMPUTED_VALUE"""),37257.0)</f>
        <v>37257</v>
      </c>
      <c r="B738" s="6" t="str">
        <f>IFERROR(__xludf.DUMMYFUNCTION("""COMPUTED_VALUE"""),"gpc_educacion_cultura_sin_discriminar_pib")</f>
        <v>gpc_educacion_cultura_sin_discriminar_pib</v>
      </c>
      <c r="C738" s="6">
        <f>IFERROR(__xludf.DUMMYFUNCTION("""COMPUTED_VALUE"""),0.306009218847177)</f>
        <v>0.3060092188</v>
      </c>
    </row>
    <row r="739">
      <c r="A739" s="5">
        <f>IFERROR(__xludf.DUMMYFUNCTION("""COMPUTED_VALUE"""),37257.0)</f>
        <v>37257</v>
      </c>
      <c r="B739" s="6" t="str">
        <f>IFERROR(__xludf.DUMMYFUNCTION("""COMPUTED_VALUE"""),"gpc_atencion_salud_pib")</f>
        <v>gpc_atencion_salud_pib</v>
      </c>
      <c r="C739" s="6">
        <f>IFERROR(__xludf.DUMMYFUNCTION("""COMPUTED_VALUE"""),1.88267626846122)</f>
        <v>1.882676268</v>
      </c>
    </row>
    <row r="740">
      <c r="A740" s="5">
        <f>IFERROR(__xludf.DUMMYFUNCTION("""COMPUTED_VALUE"""),37257.0)</f>
        <v>37257</v>
      </c>
      <c r="B740" s="6" t="str">
        <f>IFERROR(__xludf.DUMMYFUNCTION("""COMPUTED_VALUE"""),"gpc_obras_sociales_salud_pib")</f>
        <v>gpc_obras_sociales_salud_pib</v>
      </c>
      <c r="C740" s="6">
        <f>IFERROR(__xludf.DUMMYFUNCTION("""COMPUTED_VALUE"""),1.90845634984155)</f>
        <v>1.90845635</v>
      </c>
    </row>
    <row r="741">
      <c r="A741" s="5">
        <f>IFERROR(__xludf.DUMMYFUNCTION("""COMPUTED_VALUE"""),37257.0)</f>
        <v>37257</v>
      </c>
      <c r="B741" s="6" t="str">
        <f>IFERROR(__xludf.DUMMYFUNCTION("""COMPUTED_VALUE"""),"gpc_inssjyp_salud_pib")</f>
        <v>gpc_inssjyp_salud_pib</v>
      </c>
      <c r="C741" s="6">
        <f>IFERROR(__xludf.DUMMYFUNCTION("""COMPUTED_VALUE"""),0.652531566936166)</f>
        <v>0.6525315669</v>
      </c>
    </row>
    <row r="742">
      <c r="A742" s="5">
        <f>IFERROR(__xludf.DUMMYFUNCTION("""COMPUTED_VALUE"""),37257.0)</f>
        <v>37257</v>
      </c>
      <c r="B742" s="6" t="str">
        <f>IFERROR(__xludf.DUMMYFUNCTION("""COMPUTED_VALUE"""),"gpc_agua_alcantarillado_pib")</f>
        <v>gpc_agua_alcantarillado_pib</v>
      </c>
      <c r="C742" s="6">
        <f>IFERROR(__xludf.DUMMYFUNCTION("""COMPUTED_VALUE"""),0.189656145309624)</f>
        <v>0.1896561453</v>
      </c>
    </row>
    <row r="743">
      <c r="A743" s="5">
        <f>IFERROR(__xludf.DUMMYFUNCTION("""COMPUTED_VALUE"""),37257.0)</f>
        <v>37257</v>
      </c>
      <c r="B743" s="6" t="str">
        <f>IFERROR(__xludf.DUMMYFUNCTION("""COMPUTED_VALUE"""),"gpc_vivienda_urbanismo_pib")</f>
        <v>gpc_vivienda_urbanismo_pib</v>
      </c>
      <c r="C743" s="6">
        <f>IFERROR(__xludf.DUMMYFUNCTION("""COMPUTED_VALUE"""),0.522681063028782)</f>
        <v>0.522681063</v>
      </c>
    </row>
    <row r="744">
      <c r="A744" s="5">
        <f>IFERROR(__xludf.DUMMYFUNCTION("""COMPUTED_VALUE"""),37257.0)</f>
        <v>37257</v>
      </c>
      <c r="B744" s="6" t="str">
        <f>IFERROR(__xludf.DUMMYFUNCTION("""COMPUTED_VALUE"""),"gpc_promocion_asistencia_social_pib")</f>
        <v>gpc_promocion_asistencia_social_pib</v>
      </c>
      <c r="C744" s="6">
        <f>IFERROR(__xludf.DUMMYFUNCTION("""COMPUTED_VALUE"""),0.868453074359239)</f>
        <v>0.8684530744</v>
      </c>
    </row>
    <row r="745">
      <c r="A745" s="5">
        <f>IFERROR(__xludf.DUMMYFUNCTION("""COMPUTED_VALUE"""),37257.0)</f>
        <v>37257</v>
      </c>
      <c r="B745" s="6" t="str">
        <f>IFERROR(__xludf.DUMMYFUNCTION("""COMPUTED_VALUE"""),"gpc_obras_sociales_prestaciones_pib")</f>
        <v>gpc_obras_sociales_prestaciones_pib</v>
      </c>
      <c r="C745" s="6">
        <f>IFERROR(__xludf.DUMMYFUNCTION("""COMPUTED_VALUE"""),0.103956957525991)</f>
        <v>0.1039569575</v>
      </c>
    </row>
    <row r="746">
      <c r="A746" s="5">
        <f>IFERROR(__xludf.DUMMYFUNCTION("""COMPUTED_VALUE"""),37257.0)</f>
        <v>37257</v>
      </c>
      <c r="B746" s="6" t="str">
        <f>IFERROR(__xludf.DUMMYFUNCTION("""COMPUTED_VALUE"""),"gpc_inssjyp_prestaciones_pib")</f>
        <v>gpc_inssjyp_prestaciones_pib</v>
      </c>
      <c r="C746" s="6">
        <f>IFERROR(__xludf.DUMMYFUNCTION("""COMPUTED_VALUE"""),0.0805077297789019)</f>
        <v>0.08050772978</v>
      </c>
    </row>
    <row r="747">
      <c r="A747" s="5">
        <f>IFERROR(__xludf.DUMMYFUNCTION("""COMPUTED_VALUE"""),37257.0)</f>
        <v>37257</v>
      </c>
      <c r="B747" s="6" t="str">
        <f>IFERROR(__xludf.DUMMYFUNCTION("""COMPUTED_VALUE"""),"gpc_prevision_social_pib")</f>
        <v>gpc_prevision_social_pib</v>
      </c>
      <c r="C747" s="6">
        <f>IFERROR(__xludf.DUMMYFUNCTION("""COMPUTED_VALUE"""),7.09194742235367)</f>
        <v>7.091947422</v>
      </c>
    </row>
    <row r="748">
      <c r="A748" s="5">
        <f>IFERROR(__xludf.DUMMYFUNCTION("""COMPUTED_VALUE"""),37257.0)</f>
        <v>37257</v>
      </c>
      <c r="B748" s="6" t="str">
        <f>IFERROR(__xludf.DUMMYFUNCTION("""COMPUTED_VALUE"""),"gpc_programas_empleo_pib")</f>
        <v>gpc_programas_empleo_pib</v>
      </c>
      <c r="C748" s="6">
        <f>IFERROR(__xludf.DUMMYFUNCTION("""COMPUTED_VALUE"""),1.03558473939052)</f>
        <v>1.035584739</v>
      </c>
    </row>
    <row r="749">
      <c r="A749" s="5">
        <f>IFERROR(__xludf.DUMMYFUNCTION("""COMPUTED_VALUE"""),37257.0)</f>
        <v>37257</v>
      </c>
      <c r="B749" s="6" t="str">
        <f>IFERROR(__xludf.DUMMYFUNCTION("""COMPUTED_VALUE"""),"gpc_asignaciones_familiares_pib")</f>
        <v>gpc_asignaciones_familiares_pib</v>
      </c>
      <c r="C749" s="6">
        <f>IFERROR(__xludf.DUMMYFUNCTION("""COMPUTED_VALUE"""),0.509661626440251)</f>
        <v>0.5096616264</v>
      </c>
    </row>
    <row r="750">
      <c r="A750" s="5">
        <f>IFERROR(__xludf.DUMMYFUNCTION("""COMPUTED_VALUE"""),37257.0)</f>
        <v>37257</v>
      </c>
      <c r="B750" s="6" t="str">
        <f>IFERROR(__xludf.DUMMYFUNCTION("""COMPUTED_VALUE"""),"gpc_otros_servicios_urbanos_pib")</f>
        <v>gpc_otros_servicios_urbanos_pib</v>
      </c>
      <c r="C750" s="6">
        <f>IFERROR(__xludf.DUMMYFUNCTION("""COMPUTED_VALUE"""),0.63256120552121)</f>
        <v>0.6325612055</v>
      </c>
    </row>
    <row r="751">
      <c r="A751" s="5">
        <f>IFERROR(__xludf.DUMMYFUNCTION("""COMPUTED_VALUE"""),37257.0)</f>
        <v>37257</v>
      </c>
      <c r="B751" s="6" t="str">
        <f>IFERROR(__xludf.DUMMYFUNCTION("""COMPUTED_VALUE"""),"gpc_servicios_economicos_pib")</f>
        <v>gpc_servicios_economicos_pib</v>
      </c>
      <c r="C751" s="6">
        <f>IFERROR(__xludf.DUMMYFUNCTION("""COMPUTED_VALUE"""),1.34736882879082)</f>
        <v>1.347368829</v>
      </c>
    </row>
    <row r="752">
      <c r="A752" s="5">
        <f>IFERROR(__xludf.DUMMYFUNCTION("""COMPUTED_VALUE"""),37257.0)</f>
        <v>37257</v>
      </c>
      <c r="B752" s="6" t="str">
        <f>IFERROR(__xludf.DUMMYFUNCTION("""COMPUTED_VALUE"""),"gpc_produccion_primaria_pib")</f>
        <v>gpc_produccion_primaria_pib</v>
      </c>
      <c r="C752" s="6">
        <f>IFERROR(__xludf.DUMMYFUNCTION("""COMPUTED_VALUE"""),0.286841331308963)</f>
        <v>0.2868413313</v>
      </c>
    </row>
    <row r="753">
      <c r="A753" s="5">
        <f>IFERROR(__xludf.DUMMYFUNCTION("""COMPUTED_VALUE"""),37257.0)</f>
        <v>37257</v>
      </c>
      <c r="B753" s="6" t="str">
        <f>IFERROR(__xludf.DUMMYFUNCTION("""COMPUTED_VALUE"""),"gpc_energia_combustible_pib")</f>
        <v>gpc_energia_combustible_pib</v>
      </c>
      <c r="C753" s="6">
        <f>IFERROR(__xludf.DUMMYFUNCTION("""COMPUTED_VALUE"""),0.205485581343293)</f>
        <v>0.2054855813</v>
      </c>
    </row>
    <row r="754">
      <c r="A754" s="5">
        <f>IFERROR(__xludf.DUMMYFUNCTION("""COMPUTED_VALUE"""),37257.0)</f>
        <v>37257</v>
      </c>
      <c r="B754" s="6" t="str">
        <f>IFERROR(__xludf.DUMMYFUNCTION("""COMPUTED_VALUE"""),"gpc_industria_pib")</f>
        <v>gpc_industria_pib</v>
      </c>
      <c r="C754" s="6">
        <f>IFERROR(__xludf.DUMMYFUNCTION("""COMPUTED_VALUE"""),0.0502151215575739)</f>
        <v>0.05021512156</v>
      </c>
    </row>
    <row r="755">
      <c r="A755" s="5">
        <f>IFERROR(__xludf.DUMMYFUNCTION("""COMPUTED_VALUE"""),37257.0)</f>
        <v>37257</v>
      </c>
      <c r="B755" s="6" t="str">
        <f>IFERROR(__xludf.DUMMYFUNCTION("""COMPUTED_VALUE"""),"gpc_transporte_pib")</f>
        <v>gpc_transporte_pib</v>
      </c>
      <c r="C755" s="6">
        <f>IFERROR(__xludf.DUMMYFUNCTION("""COMPUTED_VALUE"""),0.587142480171199)</f>
        <v>0.5871424802</v>
      </c>
    </row>
    <row r="756">
      <c r="A756" s="5">
        <f>IFERROR(__xludf.DUMMYFUNCTION("""COMPUTED_VALUE"""),37257.0)</f>
        <v>37257</v>
      </c>
      <c r="B756" s="6" t="str">
        <f>IFERROR(__xludf.DUMMYFUNCTION("""COMPUTED_VALUE"""),"gpc_comunicaciones_pib")</f>
        <v>gpc_comunicaciones_pib</v>
      </c>
      <c r="C756" s="6">
        <f>IFERROR(__xludf.DUMMYFUNCTION("""COMPUTED_VALUE"""),0.0530643195168731)</f>
        <v>0.05306431952</v>
      </c>
    </row>
    <row r="757">
      <c r="A757" s="5">
        <f>IFERROR(__xludf.DUMMYFUNCTION("""COMPUTED_VALUE"""),37257.0)</f>
        <v>37257</v>
      </c>
      <c r="B757" s="6" t="str">
        <f>IFERROR(__xludf.DUMMYFUNCTION("""COMPUTED_VALUE"""),"gpc_otros_servicios_economicos_pib")</f>
        <v>gpc_otros_servicios_economicos_pib</v>
      </c>
      <c r="C757" s="6">
        <f>IFERROR(__xludf.DUMMYFUNCTION("""COMPUTED_VALUE"""),0.164619994892919)</f>
        <v>0.1646199949</v>
      </c>
    </row>
    <row r="758">
      <c r="A758" s="5">
        <f>IFERROR(__xludf.DUMMYFUNCTION("""COMPUTED_VALUE"""),37257.0)</f>
        <v>37257</v>
      </c>
      <c r="B758" s="6" t="str">
        <f>IFERROR(__xludf.DUMMYFUNCTION("""COMPUTED_VALUE"""),"gpc_servicios_deuda_publica_pib")</f>
        <v>gpc_servicios_deuda_publica_pib</v>
      </c>
      <c r="C758" s="6">
        <f>IFERROR(__xludf.DUMMYFUNCTION("""COMPUTED_VALUE"""),2.63497645013537)</f>
        <v>2.63497645</v>
      </c>
    </row>
    <row r="759">
      <c r="A759" s="5">
        <f>IFERROR(__xludf.DUMMYFUNCTION("""COMPUTED_VALUE"""),37257.0)</f>
        <v>37257</v>
      </c>
      <c r="B759" s="6"/>
      <c r="C759" s="6"/>
    </row>
    <row r="760">
      <c r="A760" s="5">
        <f>IFERROR(__xludf.DUMMYFUNCTION("""COMPUTED_VALUE"""),37257.0)</f>
        <v>37257</v>
      </c>
      <c r="B760" s="6"/>
      <c r="C760" s="6"/>
    </row>
    <row r="761">
      <c r="A761" s="5">
        <f>IFERROR(__xludf.DUMMYFUNCTION("""COMPUTED_VALUE"""),37622.0)</f>
        <v>37622</v>
      </c>
      <c r="B761" s="6" t="str">
        <f>IFERROR(__xludf.DUMMYFUNCTION("""COMPUTED_VALUE"""),"gpc_pib")</f>
        <v>gpc_pib</v>
      </c>
      <c r="C761" s="6">
        <f>IFERROR(__xludf.DUMMYFUNCTION("""COMPUTED_VALUE"""),29.449469668082)</f>
        <v>29.44946967</v>
      </c>
    </row>
    <row r="762">
      <c r="A762" s="5">
        <f>IFERROR(__xludf.DUMMYFUNCTION("""COMPUTED_VALUE"""),37622.0)</f>
        <v>37622</v>
      </c>
      <c r="B762" s="6" t="str">
        <f>IFERROR(__xludf.DUMMYFUNCTION("""COMPUTED_VALUE"""),"gpc_funcionamiento_estado_pib")</f>
        <v>gpc_funcionamiento_estado_pib</v>
      </c>
      <c r="C762" s="6">
        <f>IFERROR(__xludf.DUMMYFUNCTION("""COMPUTED_VALUE"""),5.26216322911255)</f>
        <v>5.262163229</v>
      </c>
    </row>
    <row r="763">
      <c r="A763" s="5">
        <f>IFERROR(__xludf.DUMMYFUNCTION("""COMPUTED_VALUE"""),37622.0)</f>
        <v>37622</v>
      </c>
      <c r="B763" s="6" t="str">
        <f>IFERROR(__xludf.DUMMYFUNCTION("""COMPUTED_VALUE"""),"gpc_administracion_general_pib")</f>
        <v>gpc_administracion_general_pib</v>
      </c>
      <c r="C763" s="6">
        <f>IFERROR(__xludf.DUMMYFUNCTION("""COMPUTED_VALUE"""),2.36876916045601)</f>
        <v>2.36876916</v>
      </c>
    </row>
    <row r="764">
      <c r="A764" s="5">
        <f>IFERROR(__xludf.DUMMYFUNCTION("""COMPUTED_VALUE"""),37622.0)</f>
        <v>37622</v>
      </c>
      <c r="B764" s="6" t="str">
        <f>IFERROR(__xludf.DUMMYFUNCTION("""COMPUTED_VALUE"""),"gpc_justicia_pib")</f>
        <v>gpc_justicia_pib</v>
      </c>
      <c r="C764" s="6">
        <f>IFERROR(__xludf.DUMMYFUNCTION("""COMPUTED_VALUE"""),0.728412689643543)</f>
        <v>0.7284126896</v>
      </c>
    </row>
    <row r="765">
      <c r="A765" s="5">
        <f>IFERROR(__xludf.DUMMYFUNCTION("""COMPUTED_VALUE"""),37622.0)</f>
        <v>37622</v>
      </c>
      <c r="B765" s="6" t="str">
        <f>IFERROR(__xludf.DUMMYFUNCTION("""COMPUTED_VALUE"""),"gpc_defensa_seguridad_pib")</f>
        <v>gpc_defensa_seguridad_pib</v>
      </c>
      <c r="C765" s="6">
        <f>IFERROR(__xludf.DUMMYFUNCTION("""COMPUTED_VALUE"""),2.16498137901299)</f>
        <v>2.164981379</v>
      </c>
    </row>
    <row r="766">
      <c r="A766" s="5">
        <f>IFERROR(__xludf.DUMMYFUNCTION("""COMPUTED_VALUE"""),37622.0)</f>
        <v>37622</v>
      </c>
      <c r="B766" s="6" t="str">
        <f>IFERROR(__xludf.DUMMYFUNCTION("""COMPUTED_VALUE"""),"gpc_servicios_sociales_pib")</f>
        <v>gpc_servicios_sociales_pib</v>
      </c>
      <c r="C766" s="6">
        <f>IFERROR(__xludf.DUMMYFUNCTION("""COMPUTED_VALUE"""),19.368209731017)</f>
        <v>19.36820973</v>
      </c>
    </row>
    <row r="767">
      <c r="A767" s="5">
        <f>IFERROR(__xludf.DUMMYFUNCTION("""COMPUTED_VALUE"""),37622.0)</f>
        <v>37622</v>
      </c>
      <c r="B767" s="6" t="str">
        <f>IFERROR(__xludf.DUMMYFUNCTION("""COMPUTED_VALUE"""),"gpc_educacion_basica_pib")</f>
        <v>gpc_educacion_basica_pib</v>
      </c>
      <c r="C767" s="6">
        <f>IFERROR(__xludf.DUMMYFUNCTION("""COMPUTED_VALUE"""),2.63322094259698)</f>
        <v>2.633220943</v>
      </c>
    </row>
    <row r="768">
      <c r="A768" s="5">
        <f>IFERROR(__xludf.DUMMYFUNCTION("""COMPUTED_VALUE"""),37622.0)</f>
        <v>37622</v>
      </c>
      <c r="B768" s="6" t="str">
        <f>IFERROR(__xludf.DUMMYFUNCTION("""COMPUTED_VALUE"""),"gpc_educacion_universitaria_pib")</f>
        <v>gpc_educacion_universitaria_pib</v>
      </c>
      <c r="C768" s="6">
        <f>IFERROR(__xludf.DUMMYFUNCTION("""COMPUTED_VALUE"""),0.796707283399211)</f>
        <v>0.7967072834</v>
      </c>
    </row>
    <row r="769">
      <c r="A769" s="5">
        <f>IFERROR(__xludf.DUMMYFUNCTION("""COMPUTED_VALUE"""),37622.0)</f>
        <v>37622</v>
      </c>
      <c r="B769" s="6" t="str">
        <f>IFERROR(__xludf.DUMMYFUNCTION("""COMPUTED_VALUE"""),"gpc_ciencia_tecnica_pib")</f>
        <v>gpc_ciencia_tecnica_pib</v>
      </c>
      <c r="C769" s="6">
        <f>IFERROR(__xludf.DUMMYFUNCTION("""COMPUTED_VALUE"""),0.20240558233151)</f>
        <v>0.2024055823</v>
      </c>
    </row>
    <row r="770">
      <c r="A770" s="5">
        <f>IFERROR(__xludf.DUMMYFUNCTION("""COMPUTED_VALUE"""),37622.0)</f>
        <v>37622</v>
      </c>
      <c r="B770" s="6" t="str">
        <f>IFERROR(__xludf.DUMMYFUNCTION("""COMPUTED_VALUE"""),"gpc_cultura_pib")</f>
        <v>gpc_cultura_pib</v>
      </c>
      <c r="C770" s="6">
        <f>IFERROR(__xludf.DUMMYFUNCTION("""COMPUTED_VALUE"""),0.150815562413374)</f>
        <v>0.1508155624</v>
      </c>
    </row>
    <row r="771">
      <c r="A771" s="5">
        <f>IFERROR(__xludf.DUMMYFUNCTION("""COMPUTED_VALUE"""),37622.0)</f>
        <v>37622</v>
      </c>
      <c r="B771" s="6" t="str">
        <f>IFERROR(__xludf.DUMMYFUNCTION("""COMPUTED_VALUE"""),"gpc_educacion_cultura_sin_discriminar_pib")</f>
        <v>gpc_educacion_cultura_sin_discriminar_pib</v>
      </c>
      <c r="C771" s="6">
        <f>IFERROR(__xludf.DUMMYFUNCTION("""COMPUTED_VALUE"""),0.287537540745402)</f>
        <v>0.2875375407</v>
      </c>
    </row>
    <row r="772">
      <c r="A772" s="5">
        <f>IFERROR(__xludf.DUMMYFUNCTION("""COMPUTED_VALUE"""),37622.0)</f>
        <v>37622</v>
      </c>
      <c r="B772" s="6" t="str">
        <f>IFERROR(__xludf.DUMMYFUNCTION("""COMPUTED_VALUE"""),"gpc_atencion_salud_pib")</f>
        <v>gpc_atencion_salud_pib</v>
      </c>
      <c r="C772" s="6">
        <f>IFERROR(__xludf.DUMMYFUNCTION("""COMPUTED_VALUE"""),1.89534654695372)</f>
        <v>1.895346547</v>
      </c>
    </row>
    <row r="773">
      <c r="A773" s="5">
        <f>IFERROR(__xludf.DUMMYFUNCTION("""COMPUTED_VALUE"""),37622.0)</f>
        <v>37622</v>
      </c>
      <c r="B773" s="6" t="str">
        <f>IFERROR(__xludf.DUMMYFUNCTION("""COMPUTED_VALUE"""),"gpc_obras_sociales_salud_pib")</f>
        <v>gpc_obras_sociales_salud_pib</v>
      </c>
      <c r="C773" s="6">
        <f>IFERROR(__xludf.DUMMYFUNCTION("""COMPUTED_VALUE"""),1.79099779689391)</f>
        <v>1.790997797</v>
      </c>
    </row>
    <row r="774">
      <c r="A774" s="5">
        <f>IFERROR(__xludf.DUMMYFUNCTION("""COMPUTED_VALUE"""),37622.0)</f>
        <v>37622</v>
      </c>
      <c r="B774" s="6" t="str">
        <f>IFERROR(__xludf.DUMMYFUNCTION("""COMPUTED_VALUE"""),"gpc_inssjyp_salud_pib")</f>
        <v>gpc_inssjyp_salud_pib</v>
      </c>
      <c r="C774" s="6">
        <f>IFERROR(__xludf.DUMMYFUNCTION("""COMPUTED_VALUE"""),0.566510853189058)</f>
        <v>0.5665108532</v>
      </c>
    </row>
    <row r="775">
      <c r="A775" s="5">
        <f>IFERROR(__xludf.DUMMYFUNCTION("""COMPUTED_VALUE"""),37622.0)</f>
        <v>37622</v>
      </c>
      <c r="B775" s="6" t="str">
        <f>IFERROR(__xludf.DUMMYFUNCTION("""COMPUTED_VALUE"""),"gpc_agua_alcantarillado_pib")</f>
        <v>gpc_agua_alcantarillado_pib</v>
      </c>
      <c r="C775" s="6">
        <f>IFERROR(__xludf.DUMMYFUNCTION("""COMPUTED_VALUE"""),0.205207273772716)</f>
        <v>0.2052072738</v>
      </c>
    </row>
    <row r="776">
      <c r="A776" s="5">
        <f>IFERROR(__xludf.DUMMYFUNCTION("""COMPUTED_VALUE"""),37622.0)</f>
        <v>37622</v>
      </c>
      <c r="B776" s="6" t="str">
        <f>IFERROR(__xludf.DUMMYFUNCTION("""COMPUTED_VALUE"""),"gpc_vivienda_urbanismo_pib")</f>
        <v>gpc_vivienda_urbanismo_pib</v>
      </c>
      <c r="C776" s="6">
        <f>IFERROR(__xludf.DUMMYFUNCTION("""COMPUTED_VALUE"""),0.604258754557556)</f>
        <v>0.6042587546</v>
      </c>
    </row>
    <row r="777">
      <c r="A777" s="5">
        <f>IFERROR(__xludf.DUMMYFUNCTION("""COMPUTED_VALUE"""),37622.0)</f>
        <v>37622</v>
      </c>
      <c r="B777" s="6" t="str">
        <f>IFERROR(__xludf.DUMMYFUNCTION("""COMPUTED_VALUE"""),"gpc_promocion_asistencia_social_pib")</f>
        <v>gpc_promocion_asistencia_social_pib</v>
      </c>
      <c r="C777" s="6">
        <f>IFERROR(__xludf.DUMMYFUNCTION("""COMPUTED_VALUE"""),1.07543795334203)</f>
        <v>1.075437953</v>
      </c>
    </row>
    <row r="778">
      <c r="A778" s="5">
        <f>IFERROR(__xludf.DUMMYFUNCTION("""COMPUTED_VALUE"""),37622.0)</f>
        <v>37622</v>
      </c>
      <c r="B778" s="6" t="str">
        <f>IFERROR(__xludf.DUMMYFUNCTION("""COMPUTED_VALUE"""),"gpc_obras_sociales_prestaciones_pib")</f>
        <v>gpc_obras_sociales_prestaciones_pib</v>
      </c>
      <c r="C778" s="6">
        <f>IFERROR(__xludf.DUMMYFUNCTION("""COMPUTED_VALUE"""),0.0992253019922977)</f>
        <v>0.09922530199</v>
      </c>
    </row>
    <row r="779">
      <c r="A779" s="5">
        <f>IFERROR(__xludf.DUMMYFUNCTION("""COMPUTED_VALUE"""),37622.0)</f>
        <v>37622</v>
      </c>
      <c r="B779" s="6" t="str">
        <f>IFERROR(__xludf.DUMMYFUNCTION("""COMPUTED_VALUE"""),"gpc_inssjyp_prestaciones_pib")</f>
        <v>gpc_inssjyp_prestaciones_pib</v>
      </c>
      <c r="C779" s="6">
        <f>IFERROR(__xludf.DUMMYFUNCTION("""COMPUTED_VALUE"""),0.0910080973226729)</f>
        <v>0.09100809732</v>
      </c>
    </row>
    <row r="780">
      <c r="A780" s="5">
        <f>IFERROR(__xludf.DUMMYFUNCTION("""COMPUTED_VALUE"""),37622.0)</f>
        <v>37622</v>
      </c>
      <c r="B780" s="6" t="str">
        <f>IFERROR(__xludf.DUMMYFUNCTION("""COMPUTED_VALUE"""),"gpc_prevision_social_pib")</f>
        <v>gpc_prevision_social_pib</v>
      </c>
      <c r="C780" s="6">
        <f>IFERROR(__xludf.DUMMYFUNCTION("""COMPUTED_VALUE"""),6.5855647434991)</f>
        <v>6.585564743</v>
      </c>
    </row>
    <row r="781">
      <c r="A781" s="5">
        <f>IFERROR(__xludf.DUMMYFUNCTION("""COMPUTED_VALUE"""),37622.0)</f>
        <v>37622</v>
      </c>
      <c r="B781" s="6" t="str">
        <f>IFERROR(__xludf.DUMMYFUNCTION("""COMPUTED_VALUE"""),"gpc_programas_empleo_pib")</f>
        <v>gpc_programas_empleo_pib</v>
      </c>
      <c r="C781" s="6">
        <f>IFERROR(__xludf.DUMMYFUNCTION("""COMPUTED_VALUE"""),1.27060188560371)</f>
        <v>1.270601886</v>
      </c>
    </row>
    <row r="782">
      <c r="A782" s="5">
        <f>IFERROR(__xludf.DUMMYFUNCTION("""COMPUTED_VALUE"""),37622.0)</f>
        <v>37622</v>
      </c>
      <c r="B782" s="6" t="str">
        <f>IFERROR(__xludf.DUMMYFUNCTION("""COMPUTED_VALUE"""),"gpc_asignaciones_familiares_pib")</f>
        <v>gpc_asignaciones_familiares_pib</v>
      </c>
      <c r="C782" s="6">
        <f>IFERROR(__xludf.DUMMYFUNCTION("""COMPUTED_VALUE"""),0.465899071685656)</f>
        <v>0.4658990717</v>
      </c>
    </row>
    <row r="783">
      <c r="A783" s="5">
        <f>IFERROR(__xludf.DUMMYFUNCTION("""COMPUTED_VALUE"""),37622.0)</f>
        <v>37622</v>
      </c>
      <c r="B783" s="6" t="str">
        <f>IFERROR(__xludf.DUMMYFUNCTION("""COMPUTED_VALUE"""),"gpc_otros_servicios_urbanos_pib")</f>
        <v>gpc_otros_servicios_urbanos_pib</v>
      </c>
      <c r="C783" s="6">
        <f>IFERROR(__xludf.DUMMYFUNCTION("""COMPUTED_VALUE"""),0.647464540718077)</f>
        <v>0.6474645407</v>
      </c>
    </row>
    <row r="784">
      <c r="A784" s="5">
        <f>IFERROR(__xludf.DUMMYFUNCTION("""COMPUTED_VALUE"""),37622.0)</f>
        <v>37622</v>
      </c>
      <c r="B784" s="6" t="str">
        <f>IFERROR(__xludf.DUMMYFUNCTION("""COMPUTED_VALUE"""),"gpc_servicios_economicos_pib")</f>
        <v>gpc_servicios_economicos_pib</v>
      </c>
      <c r="C784" s="6">
        <f>IFERROR(__xludf.DUMMYFUNCTION("""COMPUTED_VALUE"""),2.40033312174111)</f>
        <v>2.400333122</v>
      </c>
    </row>
    <row r="785">
      <c r="A785" s="5">
        <f>IFERROR(__xludf.DUMMYFUNCTION("""COMPUTED_VALUE"""),37622.0)</f>
        <v>37622</v>
      </c>
      <c r="B785" s="6" t="str">
        <f>IFERROR(__xludf.DUMMYFUNCTION("""COMPUTED_VALUE"""),"gpc_produccion_primaria_pib")</f>
        <v>gpc_produccion_primaria_pib</v>
      </c>
      <c r="C785" s="6">
        <f>IFERROR(__xludf.DUMMYFUNCTION("""COMPUTED_VALUE"""),0.316202653516207)</f>
        <v>0.3162026535</v>
      </c>
    </row>
    <row r="786">
      <c r="A786" s="5">
        <f>IFERROR(__xludf.DUMMYFUNCTION("""COMPUTED_VALUE"""),37622.0)</f>
        <v>37622</v>
      </c>
      <c r="B786" s="6" t="str">
        <f>IFERROR(__xludf.DUMMYFUNCTION("""COMPUTED_VALUE"""),"gpc_energia_combustible_pib")</f>
        <v>gpc_energia_combustible_pib</v>
      </c>
      <c r="C786" s="6">
        <f>IFERROR(__xludf.DUMMYFUNCTION("""COMPUTED_VALUE"""),0.189074854306026)</f>
        <v>0.1890748543</v>
      </c>
    </row>
    <row r="787">
      <c r="A787" s="5">
        <f>IFERROR(__xludf.DUMMYFUNCTION("""COMPUTED_VALUE"""),37622.0)</f>
        <v>37622</v>
      </c>
      <c r="B787" s="6" t="str">
        <f>IFERROR(__xludf.DUMMYFUNCTION("""COMPUTED_VALUE"""),"gpc_industria_pib")</f>
        <v>gpc_industria_pib</v>
      </c>
      <c r="C787" s="6">
        <f>IFERROR(__xludf.DUMMYFUNCTION("""COMPUTED_VALUE"""),0.0592321876072065)</f>
        <v>0.05923218761</v>
      </c>
    </row>
    <row r="788">
      <c r="A788" s="5">
        <f>IFERROR(__xludf.DUMMYFUNCTION("""COMPUTED_VALUE"""),37622.0)</f>
        <v>37622</v>
      </c>
      <c r="B788" s="6" t="str">
        <f>IFERROR(__xludf.DUMMYFUNCTION("""COMPUTED_VALUE"""),"gpc_transporte_pib")</f>
        <v>gpc_transporte_pib</v>
      </c>
      <c r="C788" s="6">
        <f>IFERROR(__xludf.DUMMYFUNCTION("""COMPUTED_VALUE"""),0.792434387147131)</f>
        <v>0.7924343871</v>
      </c>
    </row>
    <row r="789">
      <c r="A789" s="5">
        <f>IFERROR(__xludf.DUMMYFUNCTION("""COMPUTED_VALUE"""),37622.0)</f>
        <v>37622</v>
      </c>
      <c r="B789" s="6" t="str">
        <f>IFERROR(__xludf.DUMMYFUNCTION("""COMPUTED_VALUE"""),"gpc_comunicaciones_pib")</f>
        <v>gpc_comunicaciones_pib</v>
      </c>
      <c r="C789" s="6">
        <f>IFERROR(__xludf.DUMMYFUNCTION("""COMPUTED_VALUE"""),0.0539655730402505)</f>
        <v>0.05396557304</v>
      </c>
    </row>
    <row r="790">
      <c r="A790" s="5">
        <f>IFERROR(__xludf.DUMMYFUNCTION("""COMPUTED_VALUE"""),37622.0)</f>
        <v>37622</v>
      </c>
      <c r="B790" s="6" t="str">
        <f>IFERROR(__xludf.DUMMYFUNCTION("""COMPUTED_VALUE"""),"gpc_otros_servicios_economicos_pib")</f>
        <v>gpc_otros_servicios_economicos_pib</v>
      </c>
      <c r="C790" s="6">
        <f>IFERROR(__xludf.DUMMYFUNCTION("""COMPUTED_VALUE"""),0.989423466124293)</f>
        <v>0.9894234661</v>
      </c>
    </row>
    <row r="791">
      <c r="A791" s="5">
        <f>IFERROR(__xludf.DUMMYFUNCTION("""COMPUTED_VALUE"""),37622.0)</f>
        <v>37622</v>
      </c>
      <c r="B791" s="6" t="str">
        <f>IFERROR(__xludf.DUMMYFUNCTION("""COMPUTED_VALUE"""),"gpc_servicios_deuda_publica_pib")</f>
        <v>gpc_servicios_deuda_publica_pib</v>
      </c>
      <c r="C791" s="6">
        <f>IFERROR(__xludf.DUMMYFUNCTION("""COMPUTED_VALUE"""),2.41876358621131)</f>
        <v>2.418763586</v>
      </c>
    </row>
    <row r="792">
      <c r="A792" s="5">
        <f>IFERROR(__xludf.DUMMYFUNCTION("""COMPUTED_VALUE"""),37622.0)</f>
        <v>37622</v>
      </c>
      <c r="B792" s="6"/>
      <c r="C792" s="6"/>
    </row>
    <row r="793">
      <c r="A793" s="5">
        <f>IFERROR(__xludf.DUMMYFUNCTION("""COMPUTED_VALUE"""),37622.0)</f>
        <v>37622</v>
      </c>
      <c r="B793" s="6"/>
      <c r="C793" s="6"/>
    </row>
    <row r="794">
      <c r="A794" s="5">
        <f>IFERROR(__xludf.DUMMYFUNCTION("""COMPUTED_VALUE"""),37987.0)</f>
        <v>37987</v>
      </c>
      <c r="B794" s="6" t="str">
        <f>IFERROR(__xludf.DUMMYFUNCTION("""COMPUTED_VALUE"""),"gpc_pib")</f>
        <v>gpc_pib</v>
      </c>
      <c r="C794" s="6">
        <f>IFERROR(__xludf.DUMMYFUNCTION("""COMPUTED_VALUE"""),26.6001728242416)</f>
        <v>26.60017282</v>
      </c>
    </row>
    <row r="795">
      <c r="A795" s="5">
        <f>IFERROR(__xludf.DUMMYFUNCTION("""COMPUTED_VALUE"""),37987.0)</f>
        <v>37987</v>
      </c>
      <c r="B795" s="6" t="str">
        <f>IFERROR(__xludf.DUMMYFUNCTION("""COMPUTED_VALUE"""),"gpc_funcionamiento_estado_pib")</f>
        <v>gpc_funcionamiento_estado_pib</v>
      </c>
      <c r="C795" s="6">
        <f>IFERROR(__xludf.DUMMYFUNCTION("""COMPUTED_VALUE"""),4.99306707233424)</f>
        <v>4.993067072</v>
      </c>
    </row>
    <row r="796">
      <c r="A796" s="5">
        <f>IFERROR(__xludf.DUMMYFUNCTION("""COMPUTED_VALUE"""),37987.0)</f>
        <v>37987</v>
      </c>
      <c r="B796" s="6" t="str">
        <f>IFERROR(__xludf.DUMMYFUNCTION("""COMPUTED_VALUE"""),"gpc_administracion_general_pib")</f>
        <v>gpc_administracion_general_pib</v>
      </c>
      <c r="C796" s="6">
        <f>IFERROR(__xludf.DUMMYFUNCTION("""COMPUTED_VALUE"""),2.32266306105917)</f>
        <v>2.322663061</v>
      </c>
    </row>
    <row r="797">
      <c r="A797" s="5">
        <f>IFERROR(__xludf.DUMMYFUNCTION("""COMPUTED_VALUE"""),37987.0)</f>
        <v>37987</v>
      </c>
      <c r="B797" s="6" t="str">
        <f>IFERROR(__xludf.DUMMYFUNCTION("""COMPUTED_VALUE"""),"gpc_justicia_pib")</f>
        <v>gpc_justicia_pib</v>
      </c>
      <c r="C797" s="6">
        <f>IFERROR(__xludf.DUMMYFUNCTION("""COMPUTED_VALUE"""),0.684065966324079)</f>
        <v>0.6840659663</v>
      </c>
    </row>
    <row r="798">
      <c r="A798" s="5">
        <f>IFERROR(__xludf.DUMMYFUNCTION("""COMPUTED_VALUE"""),37987.0)</f>
        <v>37987</v>
      </c>
      <c r="B798" s="6" t="str">
        <f>IFERROR(__xludf.DUMMYFUNCTION("""COMPUTED_VALUE"""),"gpc_defensa_seguridad_pib")</f>
        <v>gpc_defensa_seguridad_pib</v>
      </c>
      <c r="C798" s="6">
        <f>IFERROR(__xludf.DUMMYFUNCTION("""COMPUTED_VALUE"""),1.98633804495098)</f>
        <v>1.986338045</v>
      </c>
    </row>
    <row r="799">
      <c r="A799" s="5">
        <f>IFERROR(__xludf.DUMMYFUNCTION("""COMPUTED_VALUE"""),37987.0)</f>
        <v>37987</v>
      </c>
      <c r="B799" s="6" t="str">
        <f>IFERROR(__xludf.DUMMYFUNCTION("""COMPUTED_VALUE"""),"gpc_servicios_sociales_pib")</f>
        <v>gpc_servicios_sociales_pib</v>
      </c>
      <c r="C799" s="6">
        <f>IFERROR(__xludf.DUMMYFUNCTION("""COMPUTED_VALUE"""),17.6665625345741)</f>
        <v>17.66656253</v>
      </c>
    </row>
    <row r="800">
      <c r="A800" s="5">
        <f>IFERROR(__xludf.DUMMYFUNCTION("""COMPUTED_VALUE"""),37987.0)</f>
        <v>37987</v>
      </c>
      <c r="B800" s="6" t="str">
        <f>IFERROR(__xludf.DUMMYFUNCTION("""COMPUTED_VALUE"""),"gpc_educacion_basica_pib")</f>
        <v>gpc_educacion_basica_pib</v>
      </c>
      <c r="C800" s="6">
        <f>IFERROR(__xludf.DUMMYFUNCTION("""COMPUTED_VALUE"""),2.54007001761106)</f>
        <v>2.540070018</v>
      </c>
    </row>
    <row r="801">
      <c r="A801" s="5">
        <f>IFERROR(__xludf.DUMMYFUNCTION("""COMPUTED_VALUE"""),37987.0)</f>
        <v>37987</v>
      </c>
      <c r="B801" s="6" t="str">
        <f>IFERROR(__xludf.DUMMYFUNCTION("""COMPUTED_VALUE"""),"gpc_educacion_universitaria_pib")</f>
        <v>gpc_educacion_universitaria_pib</v>
      </c>
      <c r="C801" s="6">
        <f>IFERROR(__xludf.DUMMYFUNCTION("""COMPUTED_VALUE"""),0.686631306500537)</f>
        <v>0.6866313065</v>
      </c>
    </row>
    <row r="802">
      <c r="A802" s="5">
        <f>IFERROR(__xludf.DUMMYFUNCTION("""COMPUTED_VALUE"""),37987.0)</f>
        <v>37987</v>
      </c>
      <c r="B802" s="6" t="str">
        <f>IFERROR(__xludf.DUMMYFUNCTION("""COMPUTED_VALUE"""),"gpc_ciencia_tecnica_pib")</f>
        <v>gpc_ciencia_tecnica_pib</v>
      </c>
      <c r="C802" s="6">
        <f>IFERROR(__xludf.DUMMYFUNCTION("""COMPUTED_VALUE"""),0.186908452574093)</f>
        <v>0.1869084526</v>
      </c>
    </row>
    <row r="803">
      <c r="A803" s="5">
        <f>IFERROR(__xludf.DUMMYFUNCTION("""COMPUTED_VALUE"""),37987.0)</f>
        <v>37987</v>
      </c>
      <c r="B803" s="6" t="str">
        <f>IFERROR(__xludf.DUMMYFUNCTION("""COMPUTED_VALUE"""),"gpc_cultura_pib")</f>
        <v>gpc_cultura_pib</v>
      </c>
      <c r="C803" s="6">
        <f>IFERROR(__xludf.DUMMYFUNCTION("""COMPUTED_VALUE"""),0.1430807800125)</f>
        <v>0.14308078</v>
      </c>
    </row>
    <row r="804">
      <c r="A804" s="5">
        <f>IFERROR(__xludf.DUMMYFUNCTION("""COMPUTED_VALUE"""),37987.0)</f>
        <v>37987</v>
      </c>
      <c r="B804" s="6" t="str">
        <f>IFERROR(__xludf.DUMMYFUNCTION("""COMPUTED_VALUE"""),"gpc_educacion_cultura_sin_discriminar_pib")</f>
        <v>gpc_educacion_cultura_sin_discriminar_pib</v>
      </c>
      <c r="C804" s="6">
        <f>IFERROR(__xludf.DUMMYFUNCTION("""COMPUTED_VALUE"""),0.306089053127933)</f>
        <v>0.3060890531</v>
      </c>
    </row>
    <row r="805">
      <c r="A805" s="5">
        <f>IFERROR(__xludf.DUMMYFUNCTION("""COMPUTED_VALUE"""),37987.0)</f>
        <v>37987</v>
      </c>
      <c r="B805" s="6" t="str">
        <f>IFERROR(__xludf.DUMMYFUNCTION("""COMPUTED_VALUE"""),"gpc_atencion_salud_pib")</f>
        <v>gpc_atencion_salud_pib</v>
      </c>
      <c r="C805" s="6">
        <f>IFERROR(__xludf.DUMMYFUNCTION("""COMPUTED_VALUE"""),1.74275769115267)</f>
        <v>1.742757691</v>
      </c>
    </row>
    <row r="806">
      <c r="A806" s="5">
        <f>IFERROR(__xludf.DUMMYFUNCTION("""COMPUTED_VALUE"""),37987.0)</f>
        <v>37987</v>
      </c>
      <c r="B806" s="6" t="str">
        <f>IFERROR(__xludf.DUMMYFUNCTION("""COMPUTED_VALUE"""),"gpc_obras_sociales_salud_pib")</f>
        <v>gpc_obras_sociales_salud_pib</v>
      </c>
      <c r="C806" s="6">
        <f>IFERROR(__xludf.DUMMYFUNCTION("""COMPUTED_VALUE"""),1.65126884579078)</f>
        <v>1.651268846</v>
      </c>
    </row>
    <row r="807">
      <c r="A807" s="5">
        <f>IFERROR(__xludf.DUMMYFUNCTION("""COMPUTED_VALUE"""),37987.0)</f>
        <v>37987</v>
      </c>
      <c r="B807" s="6" t="str">
        <f>IFERROR(__xludf.DUMMYFUNCTION("""COMPUTED_VALUE"""),"gpc_inssjyp_salud_pib")</f>
        <v>gpc_inssjyp_salud_pib</v>
      </c>
      <c r="C807" s="6">
        <f>IFERROR(__xludf.DUMMYFUNCTION("""COMPUTED_VALUE"""),0.496252743001023)</f>
        <v>0.496252743</v>
      </c>
    </row>
    <row r="808">
      <c r="A808" s="5">
        <f>IFERROR(__xludf.DUMMYFUNCTION("""COMPUTED_VALUE"""),37987.0)</f>
        <v>37987</v>
      </c>
      <c r="B808" s="6" t="str">
        <f>IFERROR(__xludf.DUMMYFUNCTION("""COMPUTED_VALUE"""),"gpc_agua_alcantarillado_pib")</f>
        <v>gpc_agua_alcantarillado_pib</v>
      </c>
      <c r="C808" s="6">
        <f>IFERROR(__xludf.DUMMYFUNCTION("""COMPUTED_VALUE"""),0.208586133602061)</f>
        <v>0.2085861336</v>
      </c>
    </row>
    <row r="809">
      <c r="A809" s="5">
        <f>IFERROR(__xludf.DUMMYFUNCTION("""COMPUTED_VALUE"""),37987.0)</f>
        <v>37987</v>
      </c>
      <c r="B809" s="6" t="str">
        <f>IFERROR(__xludf.DUMMYFUNCTION("""COMPUTED_VALUE"""),"gpc_vivienda_urbanismo_pib")</f>
        <v>gpc_vivienda_urbanismo_pib</v>
      </c>
      <c r="C809" s="6">
        <f>IFERROR(__xludf.DUMMYFUNCTION("""COMPUTED_VALUE"""),0.647250567943044)</f>
        <v>0.6472505679</v>
      </c>
    </row>
    <row r="810">
      <c r="A810" s="5">
        <f>IFERROR(__xludf.DUMMYFUNCTION("""COMPUTED_VALUE"""),37987.0)</f>
        <v>37987</v>
      </c>
      <c r="B810" s="6" t="str">
        <f>IFERROR(__xludf.DUMMYFUNCTION("""COMPUTED_VALUE"""),"gpc_promocion_asistencia_social_pib")</f>
        <v>gpc_promocion_asistencia_social_pib</v>
      </c>
      <c r="C810" s="6">
        <f>IFERROR(__xludf.DUMMYFUNCTION("""COMPUTED_VALUE"""),1.00741407087651)</f>
        <v>1.007414071</v>
      </c>
    </row>
    <row r="811">
      <c r="A811" s="5">
        <f>IFERROR(__xludf.DUMMYFUNCTION("""COMPUTED_VALUE"""),37987.0)</f>
        <v>37987</v>
      </c>
      <c r="B811" s="6" t="str">
        <f>IFERROR(__xludf.DUMMYFUNCTION("""COMPUTED_VALUE"""),"gpc_obras_sociales_prestaciones_pib")</f>
        <v>gpc_obras_sociales_prestaciones_pib</v>
      </c>
      <c r="C811" s="6">
        <f>IFERROR(__xludf.DUMMYFUNCTION("""COMPUTED_VALUE"""),0.0893690072387651)</f>
        <v>0.08936900724</v>
      </c>
    </row>
    <row r="812">
      <c r="A812" s="5">
        <f>IFERROR(__xludf.DUMMYFUNCTION("""COMPUTED_VALUE"""),37987.0)</f>
        <v>37987</v>
      </c>
      <c r="B812" s="6" t="str">
        <f>IFERROR(__xludf.DUMMYFUNCTION("""COMPUTED_VALUE"""),"gpc_inssjyp_prestaciones_pib")</f>
        <v>gpc_inssjyp_prestaciones_pib</v>
      </c>
      <c r="C812" s="6">
        <f>IFERROR(__xludf.DUMMYFUNCTION("""COMPUTED_VALUE"""),0.0898215844652507)</f>
        <v>0.08982158447</v>
      </c>
    </row>
    <row r="813">
      <c r="A813" s="5">
        <f>IFERROR(__xludf.DUMMYFUNCTION("""COMPUTED_VALUE"""),37987.0)</f>
        <v>37987</v>
      </c>
      <c r="B813" s="6" t="str">
        <f>IFERROR(__xludf.DUMMYFUNCTION("""COMPUTED_VALUE"""),"gpc_prevision_social_pib")</f>
        <v>gpc_prevision_social_pib</v>
      </c>
      <c r="C813" s="6">
        <f>IFERROR(__xludf.DUMMYFUNCTION("""COMPUTED_VALUE"""),5.85120566071794)</f>
        <v>5.851205661</v>
      </c>
    </row>
    <row r="814">
      <c r="A814" s="5">
        <f>IFERROR(__xludf.DUMMYFUNCTION("""COMPUTED_VALUE"""),37987.0)</f>
        <v>37987</v>
      </c>
      <c r="B814" s="6" t="str">
        <f>IFERROR(__xludf.DUMMYFUNCTION("""COMPUTED_VALUE"""),"gpc_programas_empleo_pib")</f>
        <v>gpc_programas_empleo_pib</v>
      </c>
      <c r="C814" s="6">
        <f>IFERROR(__xludf.DUMMYFUNCTION("""COMPUTED_VALUE"""),0.978522546457257)</f>
        <v>0.9785225465</v>
      </c>
    </row>
    <row r="815">
      <c r="A815" s="5">
        <f>IFERROR(__xludf.DUMMYFUNCTION("""COMPUTED_VALUE"""),37987.0)</f>
        <v>37987</v>
      </c>
      <c r="B815" s="6" t="str">
        <f>IFERROR(__xludf.DUMMYFUNCTION("""COMPUTED_VALUE"""),"gpc_asignaciones_familiares_pib")</f>
        <v>gpc_asignaciones_familiares_pib</v>
      </c>
      <c r="C815" s="6">
        <f>IFERROR(__xludf.DUMMYFUNCTION("""COMPUTED_VALUE"""),0.401099790577216)</f>
        <v>0.4010997906</v>
      </c>
    </row>
    <row r="816">
      <c r="A816" s="5">
        <f>IFERROR(__xludf.DUMMYFUNCTION("""COMPUTED_VALUE"""),37987.0)</f>
        <v>37987</v>
      </c>
      <c r="B816" s="6" t="str">
        <f>IFERROR(__xludf.DUMMYFUNCTION("""COMPUTED_VALUE"""),"gpc_otros_servicios_urbanos_pib")</f>
        <v>gpc_otros_servicios_urbanos_pib</v>
      </c>
      <c r="C816" s="6">
        <f>IFERROR(__xludf.DUMMYFUNCTION("""COMPUTED_VALUE"""),0.640234282925473)</f>
        <v>0.6402342829</v>
      </c>
    </row>
    <row r="817">
      <c r="A817" s="5">
        <f>IFERROR(__xludf.DUMMYFUNCTION("""COMPUTED_VALUE"""),37987.0)</f>
        <v>37987</v>
      </c>
      <c r="B817" s="6" t="str">
        <f>IFERROR(__xludf.DUMMYFUNCTION("""COMPUTED_VALUE"""),"gpc_servicios_economicos_pib")</f>
        <v>gpc_servicios_economicos_pib</v>
      </c>
      <c r="C817" s="6">
        <f>IFERROR(__xludf.DUMMYFUNCTION("""COMPUTED_VALUE"""),2.36319882795653)</f>
        <v>2.363198828</v>
      </c>
    </row>
    <row r="818">
      <c r="A818" s="5">
        <f>IFERROR(__xludf.DUMMYFUNCTION("""COMPUTED_VALUE"""),37987.0)</f>
        <v>37987</v>
      </c>
      <c r="B818" s="6" t="str">
        <f>IFERROR(__xludf.DUMMYFUNCTION("""COMPUTED_VALUE"""),"gpc_produccion_primaria_pib")</f>
        <v>gpc_produccion_primaria_pib</v>
      </c>
      <c r="C818" s="6">
        <f>IFERROR(__xludf.DUMMYFUNCTION("""COMPUTED_VALUE"""),0.323162440550595)</f>
        <v>0.3231624406</v>
      </c>
    </row>
    <row r="819">
      <c r="A819" s="5">
        <f>IFERROR(__xludf.DUMMYFUNCTION("""COMPUTED_VALUE"""),37987.0)</f>
        <v>37987</v>
      </c>
      <c r="B819" s="6" t="str">
        <f>IFERROR(__xludf.DUMMYFUNCTION("""COMPUTED_VALUE"""),"gpc_energia_combustible_pib")</f>
        <v>gpc_energia_combustible_pib</v>
      </c>
      <c r="C819" s="6">
        <f>IFERROR(__xludf.DUMMYFUNCTION("""COMPUTED_VALUE"""),0.615235204733717)</f>
        <v>0.6152352047</v>
      </c>
    </row>
    <row r="820">
      <c r="A820" s="5">
        <f>IFERROR(__xludf.DUMMYFUNCTION("""COMPUTED_VALUE"""),37987.0)</f>
        <v>37987</v>
      </c>
      <c r="B820" s="6" t="str">
        <f>IFERROR(__xludf.DUMMYFUNCTION("""COMPUTED_VALUE"""),"gpc_industria_pib")</f>
        <v>gpc_industria_pib</v>
      </c>
      <c r="C820" s="6">
        <f>IFERROR(__xludf.DUMMYFUNCTION("""COMPUTED_VALUE"""),0.0539995492908254)</f>
        <v>0.05399954929</v>
      </c>
    </row>
    <row r="821">
      <c r="A821" s="5">
        <f>IFERROR(__xludf.DUMMYFUNCTION("""COMPUTED_VALUE"""),37987.0)</f>
        <v>37987</v>
      </c>
      <c r="B821" s="6" t="str">
        <f>IFERROR(__xludf.DUMMYFUNCTION("""COMPUTED_VALUE"""),"gpc_transporte_pib")</f>
        <v>gpc_transporte_pib</v>
      </c>
      <c r="C821" s="6">
        <f>IFERROR(__xludf.DUMMYFUNCTION("""COMPUTED_VALUE"""),0.921782906692642)</f>
        <v>0.9217829067</v>
      </c>
    </row>
    <row r="822">
      <c r="A822" s="5">
        <f>IFERROR(__xludf.DUMMYFUNCTION("""COMPUTED_VALUE"""),37987.0)</f>
        <v>37987</v>
      </c>
      <c r="B822" s="6" t="str">
        <f>IFERROR(__xludf.DUMMYFUNCTION("""COMPUTED_VALUE"""),"gpc_comunicaciones_pib")</f>
        <v>gpc_comunicaciones_pib</v>
      </c>
      <c r="C822" s="6">
        <f>IFERROR(__xludf.DUMMYFUNCTION("""COMPUTED_VALUE"""),0.0600618574236033)</f>
        <v>0.06006185742</v>
      </c>
    </row>
    <row r="823">
      <c r="A823" s="5">
        <f>IFERROR(__xludf.DUMMYFUNCTION("""COMPUTED_VALUE"""),37987.0)</f>
        <v>37987</v>
      </c>
      <c r="B823" s="6" t="str">
        <f>IFERROR(__xludf.DUMMYFUNCTION("""COMPUTED_VALUE"""),"gpc_otros_servicios_economicos_pib")</f>
        <v>gpc_otros_servicios_economicos_pib</v>
      </c>
      <c r="C823" s="6">
        <f>IFERROR(__xludf.DUMMYFUNCTION("""COMPUTED_VALUE"""),0.388956869265153)</f>
        <v>0.3889568693</v>
      </c>
    </row>
    <row r="824">
      <c r="A824" s="5">
        <f>IFERROR(__xludf.DUMMYFUNCTION("""COMPUTED_VALUE"""),37987.0)</f>
        <v>37987</v>
      </c>
      <c r="B824" s="6" t="str">
        <f>IFERROR(__xludf.DUMMYFUNCTION("""COMPUTED_VALUE"""),"gpc_servicios_deuda_publica_pib")</f>
        <v>gpc_servicios_deuda_publica_pib</v>
      </c>
      <c r="C824" s="6">
        <f>IFERROR(__xludf.DUMMYFUNCTION("""COMPUTED_VALUE"""),1.57734438937671)</f>
        <v>1.577344389</v>
      </c>
    </row>
    <row r="825">
      <c r="A825" s="5">
        <f>IFERROR(__xludf.DUMMYFUNCTION("""COMPUTED_VALUE"""),37987.0)</f>
        <v>37987</v>
      </c>
      <c r="B825" s="6"/>
      <c r="C825" s="6"/>
    </row>
    <row r="826">
      <c r="A826" s="5">
        <f>IFERROR(__xludf.DUMMYFUNCTION("""COMPUTED_VALUE"""),37987.0)</f>
        <v>37987</v>
      </c>
      <c r="B826" s="6"/>
      <c r="C826" s="6"/>
    </row>
    <row r="827">
      <c r="A827" s="5">
        <f>IFERROR(__xludf.DUMMYFUNCTION("""COMPUTED_VALUE"""),38353.0)</f>
        <v>38353</v>
      </c>
      <c r="B827" s="6" t="str">
        <f>IFERROR(__xludf.DUMMYFUNCTION("""COMPUTED_VALUE"""),"gpc_pib")</f>
        <v>gpc_pib</v>
      </c>
      <c r="C827" s="6">
        <f>IFERROR(__xludf.DUMMYFUNCTION("""COMPUTED_VALUE"""),29.0570548582002)</f>
        <v>29.05705486</v>
      </c>
    </row>
    <row r="828">
      <c r="A828" s="5">
        <f>IFERROR(__xludf.DUMMYFUNCTION("""COMPUTED_VALUE"""),38353.0)</f>
        <v>38353</v>
      </c>
      <c r="B828" s="6" t="str">
        <f>IFERROR(__xludf.DUMMYFUNCTION("""COMPUTED_VALUE"""),"gpc_funcionamiento_estado_pib")</f>
        <v>gpc_funcionamiento_estado_pib</v>
      </c>
      <c r="C828" s="6">
        <f>IFERROR(__xludf.DUMMYFUNCTION("""COMPUTED_VALUE"""),5.16860837881259)</f>
        <v>5.168608379</v>
      </c>
    </row>
    <row r="829">
      <c r="A829" s="5">
        <f>IFERROR(__xludf.DUMMYFUNCTION("""COMPUTED_VALUE"""),38353.0)</f>
        <v>38353</v>
      </c>
      <c r="B829" s="6" t="str">
        <f>IFERROR(__xludf.DUMMYFUNCTION("""COMPUTED_VALUE"""),"gpc_administracion_general_pib")</f>
        <v>gpc_administracion_general_pib</v>
      </c>
      <c r="C829" s="6">
        <f>IFERROR(__xludf.DUMMYFUNCTION("""COMPUTED_VALUE"""),2.43718144310059)</f>
        <v>2.437181443</v>
      </c>
    </row>
    <row r="830">
      <c r="A830" s="5">
        <f>IFERROR(__xludf.DUMMYFUNCTION("""COMPUTED_VALUE"""),38353.0)</f>
        <v>38353</v>
      </c>
      <c r="B830" s="6" t="str">
        <f>IFERROR(__xludf.DUMMYFUNCTION("""COMPUTED_VALUE"""),"gpc_justicia_pib")</f>
        <v>gpc_justicia_pib</v>
      </c>
      <c r="C830" s="6">
        <f>IFERROR(__xludf.DUMMYFUNCTION("""COMPUTED_VALUE"""),0.702529784759953)</f>
        <v>0.7025297848</v>
      </c>
    </row>
    <row r="831">
      <c r="A831" s="5">
        <f>IFERROR(__xludf.DUMMYFUNCTION("""COMPUTED_VALUE"""),38353.0)</f>
        <v>38353</v>
      </c>
      <c r="B831" s="6" t="str">
        <f>IFERROR(__xludf.DUMMYFUNCTION("""COMPUTED_VALUE"""),"gpc_defensa_seguridad_pib")</f>
        <v>gpc_defensa_seguridad_pib</v>
      </c>
      <c r="C831" s="6">
        <f>IFERROR(__xludf.DUMMYFUNCTION("""COMPUTED_VALUE"""),2.02889715095205)</f>
        <v>2.028897151</v>
      </c>
    </row>
    <row r="832">
      <c r="A832" s="5">
        <f>IFERROR(__xludf.DUMMYFUNCTION("""COMPUTED_VALUE"""),38353.0)</f>
        <v>38353</v>
      </c>
      <c r="B832" s="6" t="str">
        <f>IFERROR(__xludf.DUMMYFUNCTION("""COMPUTED_VALUE"""),"gpc_servicios_sociales_pib")</f>
        <v>gpc_servicios_sociales_pib</v>
      </c>
      <c r="C832" s="6">
        <f>IFERROR(__xludf.DUMMYFUNCTION("""COMPUTED_VALUE"""),18.4083610921152)</f>
        <v>18.40836109</v>
      </c>
    </row>
    <row r="833">
      <c r="A833" s="5">
        <f>IFERROR(__xludf.DUMMYFUNCTION("""COMPUTED_VALUE"""),38353.0)</f>
        <v>38353</v>
      </c>
      <c r="B833" s="6" t="str">
        <f>IFERROR(__xludf.DUMMYFUNCTION("""COMPUTED_VALUE"""),"gpc_educacion_basica_pib")</f>
        <v>gpc_educacion_basica_pib</v>
      </c>
      <c r="C833" s="6">
        <f>IFERROR(__xludf.DUMMYFUNCTION("""COMPUTED_VALUE"""),2.85793190710685)</f>
        <v>2.857931907</v>
      </c>
    </row>
    <row r="834">
      <c r="A834" s="5">
        <f>IFERROR(__xludf.DUMMYFUNCTION("""COMPUTED_VALUE"""),38353.0)</f>
        <v>38353</v>
      </c>
      <c r="B834" s="6" t="str">
        <f>IFERROR(__xludf.DUMMYFUNCTION("""COMPUTED_VALUE"""),"gpc_educacion_universitaria_pib")</f>
        <v>gpc_educacion_universitaria_pib</v>
      </c>
      <c r="C834" s="6">
        <f>IFERROR(__xludf.DUMMYFUNCTION("""COMPUTED_VALUE"""),0.776437795176917)</f>
        <v>0.7764377952</v>
      </c>
    </row>
    <row r="835">
      <c r="A835" s="5">
        <f>IFERROR(__xludf.DUMMYFUNCTION("""COMPUTED_VALUE"""),38353.0)</f>
        <v>38353</v>
      </c>
      <c r="B835" s="6" t="str">
        <f>IFERROR(__xludf.DUMMYFUNCTION("""COMPUTED_VALUE"""),"gpc_ciencia_tecnica_pib")</f>
        <v>gpc_ciencia_tecnica_pib</v>
      </c>
      <c r="C835" s="6">
        <f>IFERROR(__xludf.DUMMYFUNCTION("""COMPUTED_VALUE"""),0.20397241132323)</f>
        <v>0.2039724113</v>
      </c>
    </row>
    <row r="836">
      <c r="A836" s="5">
        <f>IFERROR(__xludf.DUMMYFUNCTION("""COMPUTED_VALUE"""),38353.0)</f>
        <v>38353</v>
      </c>
      <c r="B836" s="6" t="str">
        <f>IFERROR(__xludf.DUMMYFUNCTION("""COMPUTED_VALUE"""),"gpc_cultura_pib")</f>
        <v>gpc_cultura_pib</v>
      </c>
      <c r="C836" s="6">
        <f>IFERROR(__xludf.DUMMYFUNCTION("""COMPUTED_VALUE"""),0.156843995618162)</f>
        <v>0.1568439956</v>
      </c>
    </row>
    <row r="837">
      <c r="A837" s="5">
        <f>IFERROR(__xludf.DUMMYFUNCTION("""COMPUTED_VALUE"""),38353.0)</f>
        <v>38353</v>
      </c>
      <c r="B837" s="6" t="str">
        <f>IFERROR(__xludf.DUMMYFUNCTION("""COMPUTED_VALUE"""),"gpc_educacion_cultura_sin_discriminar_pib")</f>
        <v>gpc_educacion_cultura_sin_discriminar_pib</v>
      </c>
      <c r="C837" s="6">
        <f>IFERROR(__xludf.DUMMYFUNCTION("""COMPUTED_VALUE"""),0.357103301544042)</f>
        <v>0.3571033015</v>
      </c>
    </row>
    <row r="838">
      <c r="A838" s="5">
        <f>IFERROR(__xludf.DUMMYFUNCTION("""COMPUTED_VALUE"""),38353.0)</f>
        <v>38353</v>
      </c>
      <c r="B838" s="6" t="str">
        <f>IFERROR(__xludf.DUMMYFUNCTION("""COMPUTED_VALUE"""),"gpc_atencion_salud_pib")</f>
        <v>gpc_atencion_salud_pib</v>
      </c>
      <c r="C838" s="6">
        <f>IFERROR(__xludf.DUMMYFUNCTION("""COMPUTED_VALUE"""),1.79538489513491)</f>
        <v>1.795384895</v>
      </c>
    </row>
    <row r="839">
      <c r="A839" s="5">
        <f>IFERROR(__xludf.DUMMYFUNCTION("""COMPUTED_VALUE"""),38353.0)</f>
        <v>38353</v>
      </c>
      <c r="B839" s="6" t="str">
        <f>IFERROR(__xludf.DUMMYFUNCTION("""COMPUTED_VALUE"""),"gpc_obras_sociales_salud_pib")</f>
        <v>gpc_obras_sociales_salud_pib</v>
      </c>
      <c r="C839" s="6">
        <f>IFERROR(__xludf.DUMMYFUNCTION("""COMPUTED_VALUE"""),1.74967596137666)</f>
        <v>1.749675961</v>
      </c>
    </row>
    <row r="840">
      <c r="A840" s="5">
        <f>IFERROR(__xludf.DUMMYFUNCTION("""COMPUTED_VALUE"""),38353.0)</f>
        <v>38353</v>
      </c>
      <c r="B840" s="6" t="str">
        <f>IFERROR(__xludf.DUMMYFUNCTION("""COMPUTED_VALUE"""),"gpc_inssjyp_salud_pib")</f>
        <v>gpc_inssjyp_salud_pib</v>
      </c>
      <c r="C840" s="6">
        <f>IFERROR(__xludf.DUMMYFUNCTION("""COMPUTED_VALUE"""),0.491009290829001)</f>
        <v>0.4910092908</v>
      </c>
    </row>
    <row r="841">
      <c r="A841" s="5">
        <f>IFERROR(__xludf.DUMMYFUNCTION("""COMPUTED_VALUE"""),38353.0)</f>
        <v>38353</v>
      </c>
      <c r="B841" s="6" t="str">
        <f>IFERROR(__xludf.DUMMYFUNCTION("""COMPUTED_VALUE"""),"gpc_agua_alcantarillado_pib")</f>
        <v>gpc_agua_alcantarillado_pib</v>
      </c>
      <c r="C841" s="6">
        <f>IFERROR(__xludf.DUMMYFUNCTION("""COMPUTED_VALUE"""),0.217161260938343)</f>
        <v>0.2171612609</v>
      </c>
    </row>
    <row r="842">
      <c r="A842" s="5">
        <f>IFERROR(__xludf.DUMMYFUNCTION("""COMPUTED_VALUE"""),38353.0)</f>
        <v>38353</v>
      </c>
      <c r="B842" s="6" t="str">
        <f>IFERROR(__xludf.DUMMYFUNCTION("""COMPUTED_VALUE"""),"gpc_vivienda_urbanismo_pib")</f>
        <v>gpc_vivienda_urbanismo_pib</v>
      </c>
      <c r="C842" s="6">
        <f>IFERROR(__xludf.DUMMYFUNCTION("""COMPUTED_VALUE"""),0.961194144692435)</f>
        <v>0.9611941447</v>
      </c>
    </row>
    <row r="843">
      <c r="A843" s="5">
        <f>IFERROR(__xludf.DUMMYFUNCTION("""COMPUTED_VALUE"""),38353.0)</f>
        <v>38353</v>
      </c>
      <c r="B843" s="6" t="str">
        <f>IFERROR(__xludf.DUMMYFUNCTION("""COMPUTED_VALUE"""),"gpc_promocion_asistencia_social_pib")</f>
        <v>gpc_promocion_asistencia_social_pib</v>
      </c>
      <c r="C843" s="6">
        <f>IFERROR(__xludf.DUMMYFUNCTION("""COMPUTED_VALUE"""),1.07541591648545)</f>
        <v>1.075415916</v>
      </c>
    </row>
    <row r="844">
      <c r="A844" s="5">
        <f>IFERROR(__xludf.DUMMYFUNCTION("""COMPUTED_VALUE"""),38353.0)</f>
        <v>38353</v>
      </c>
      <c r="B844" s="6" t="str">
        <f>IFERROR(__xludf.DUMMYFUNCTION("""COMPUTED_VALUE"""),"gpc_obras_sociales_prestaciones_pib")</f>
        <v>gpc_obras_sociales_prestaciones_pib</v>
      </c>
      <c r="C844" s="6">
        <f>IFERROR(__xludf.DUMMYFUNCTION("""COMPUTED_VALUE"""),0.0885698479022335)</f>
        <v>0.0885698479</v>
      </c>
    </row>
    <row r="845">
      <c r="A845" s="5">
        <f>IFERROR(__xludf.DUMMYFUNCTION("""COMPUTED_VALUE"""),38353.0)</f>
        <v>38353</v>
      </c>
      <c r="B845" s="6" t="str">
        <f>IFERROR(__xludf.DUMMYFUNCTION("""COMPUTED_VALUE"""),"gpc_inssjyp_prestaciones_pib")</f>
        <v>gpc_inssjyp_prestaciones_pib</v>
      </c>
      <c r="C845" s="6">
        <f>IFERROR(__xludf.DUMMYFUNCTION("""COMPUTED_VALUE"""),0.125137537072081)</f>
        <v>0.1251375371</v>
      </c>
    </row>
    <row r="846">
      <c r="A846" s="5">
        <f>IFERROR(__xludf.DUMMYFUNCTION("""COMPUTED_VALUE"""),38353.0)</f>
        <v>38353</v>
      </c>
      <c r="B846" s="6" t="str">
        <f>IFERROR(__xludf.DUMMYFUNCTION("""COMPUTED_VALUE"""),"gpc_prevision_social_pib")</f>
        <v>gpc_prevision_social_pib</v>
      </c>
      <c r="C846" s="6">
        <f>IFERROR(__xludf.DUMMYFUNCTION("""COMPUTED_VALUE"""),5.61542962424661)</f>
        <v>5.615429624</v>
      </c>
    </row>
    <row r="847">
      <c r="A847" s="5">
        <f>IFERROR(__xludf.DUMMYFUNCTION("""COMPUTED_VALUE"""),38353.0)</f>
        <v>38353</v>
      </c>
      <c r="B847" s="6" t="str">
        <f>IFERROR(__xludf.DUMMYFUNCTION("""COMPUTED_VALUE"""),"gpc_programas_empleo_pib")</f>
        <v>gpc_programas_empleo_pib</v>
      </c>
      <c r="C847" s="6">
        <f>IFERROR(__xludf.DUMMYFUNCTION("""COMPUTED_VALUE"""),0.782044707750431)</f>
        <v>0.7820447078</v>
      </c>
    </row>
    <row r="848">
      <c r="A848" s="5">
        <f>IFERROR(__xludf.DUMMYFUNCTION("""COMPUTED_VALUE"""),38353.0)</f>
        <v>38353</v>
      </c>
      <c r="B848" s="6" t="str">
        <f>IFERROR(__xludf.DUMMYFUNCTION("""COMPUTED_VALUE"""),"gpc_asignaciones_familiares_pib")</f>
        <v>gpc_asignaciones_familiares_pib</v>
      </c>
      <c r="C848" s="6">
        <f>IFERROR(__xludf.DUMMYFUNCTION("""COMPUTED_VALUE"""),0.467626106043242)</f>
        <v>0.467626106</v>
      </c>
    </row>
    <row r="849">
      <c r="A849" s="5">
        <f>IFERROR(__xludf.DUMMYFUNCTION("""COMPUTED_VALUE"""),38353.0)</f>
        <v>38353</v>
      </c>
      <c r="B849" s="6" t="str">
        <f>IFERROR(__xludf.DUMMYFUNCTION("""COMPUTED_VALUE"""),"gpc_otros_servicios_urbanos_pib")</f>
        <v>gpc_otros_servicios_urbanos_pib</v>
      </c>
      <c r="C849" s="6">
        <f>IFERROR(__xludf.DUMMYFUNCTION("""COMPUTED_VALUE"""),0.687422388874606)</f>
        <v>0.6874223889</v>
      </c>
    </row>
    <row r="850">
      <c r="A850" s="5">
        <f>IFERROR(__xludf.DUMMYFUNCTION("""COMPUTED_VALUE"""),38353.0)</f>
        <v>38353</v>
      </c>
      <c r="B850" s="6" t="str">
        <f>IFERROR(__xludf.DUMMYFUNCTION("""COMPUTED_VALUE"""),"gpc_servicios_economicos_pib")</f>
        <v>gpc_servicios_economicos_pib</v>
      </c>
      <c r="C850" s="6">
        <f>IFERROR(__xludf.DUMMYFUNCTION("""COMPUTED_VALUE"""),3.26925328332654)</f>
        <v>3.269253283</v>
      </c>
    </row>
    <row r="851">
      <c r="A851" s="5">
        <f>IFERROR(__xludf.DUMMYFUNCTION("""COMPUTED_VALUE"""),38353.0)</f>
        <v>38353</v>
      </c>
      <c r="B851" s="6" t="str">
        <f>IFERROR(__xludf.DUMMYFUNCTION("""COMPUTED_VALUE"""),"gpc_produccion_primaria_pib")</f>
        <v>gpc_produccion_primaria_pib</v>
      </c>
      <c r="C851" s="6">
        <f>IFERROR(__xludf.DUMMYFUNCTION("""COMPUTED_VALUE"""),0.339026830465738)</f>
        <v>0.3390268305</v>
      </c>
    </row>
    <row r="852">
      <c r="A852" s="5">
        <f>IFERROR(__xludf.DUMMYFUNCTION("""COMPUTED_VALUE"""),38353.0)</f>
        <v>38353</v>
      </c>
      <c r="B852" s="6" t="str">
        <f>IFERROR(__xludf.DUMMYFUNCTION("""COMPUTED_VALUE"""),"gpc_energia_combustible_pib")</f>
        <v>gpc_energia_combustible_pib</v>
      </c>
      <c r="C852" s="6">
        <f>IFERROR(__xludf.DUMMYFUNCTION("""COMPUTED_VALUE"""),0.667165567712702)</f>
        <v>0.6671655677</v>
      </c>
    </row>
    <row r="853">
      <c r="A853" s="5">
        <f>IFERROR(__xludf.DUMMYFUNCTION("""COMPUTED_VALUE"""),38353.0)</f>
        <v>38353</v>
      </c>
      <c r="B853" s="6" t="str">
        <f>IFERROR(__xludf.DUMMYFUNCTION("""COMPUTED_VALUE"""),"gpc_industria_pib")</f>
        <v>gpc_industria_pib</v>
      </c>
      <c r="C853" s="6">
        <f>IFERROR(__xludf.DUMMYFUNCTION("""COMPUTED_VALUE"""),0.0973319665107132)</f>
        <v>0.09733196651</v>
      </c>
    </row>
    <row r="854">
      <c r="A854" s="5">
        <f>IFERROR(__xludf.DUMMYFUNCTION("""COMPUTED_VALUE"""),38353.0)</f>
        <v>38353</v>
      </c>
      <c r="B854" s="6" t="str">
        <f>IFERROR(__xludf.DUMMYFUNCTION("""COMPUTED_VALUE"""),"gpc_transporte_pib")</f>
        <v>gpc_transporte_pib</v>
      </c>
      <c r="C854" s="6">
        <f>IFERROR(__xludf.DUMMYFUNCTION("""COMPUTED_VALUE"""),1.25287324668979)</f>
        <v>1.252873247</v>
      </c>
    </row>
    <row r="855">
      <c r="A855" s="5">
        <f>IFERROR(__xludf.DUMMYFUNCTION("""COMPUTED_VALUE"""),38353.0)</f>
        <v>38353</v>
      </c>
      <c r="B855" s="6" t="str">
        <f>IFERROR(__xludf.DUMMYFUNCTION("""COMPUTED_VALUE"""),"gpc_comunicaciones_pib")</f>
        <v>gpc_comunicaciones_pib</v>
      </c>
      <c r="C855" s="6">
        <f>IFERROR(__xludf.DUMMYFUNCTION("""COMPUTED_VALUE"""),0.0615279881414345)</f>
        <v>0.06152798814</v>
      </c>
    </row>
    <row r="856">
      <c r="A856" s="5">
        <f>IFERROR(__xludf.DUMMYFUNCTION("""COMPUTED_VALUE"""),38353.0)</f>
        <v>38353</v>
      </c>
      <c r="B856" s="6" t="str">
        <f>IFERROR(__xludf.DUMMYFUNCTION("""COMPUTED_VALUE"""),"gpc_otros_servicios_economicos_pib")</f>
        <v>gpc_otros_servicios_economicos_pib</v>
      </c>
      <c r="C856" s="6">
        <f>IFERROR(__xludf.DUMMYFUNCTION("""COMPUTED_VALUE"""),0.851327683806159)</f>
        <v>0.8513276838</v>
      </c>
    </row>
    <row r="857">
      <c r="A857" s="5">
        <f>IFERROR(__xludf.DUMMYFUNCTION("""COMPUTED_VALUE"""),38353.0)</f>
        <v>38353</v>
      </c>
      <c r="B857" s="6" t="str">
        <f>IFERROR(__xludf.DUMMYFUNCTION("""COMPUTED_VALUE"""),"gpc_servicios_deuda_publica_pib")</f>
        <v>gpc_servicios_deuda_publica_pib</v>
      </c>
      <c r="C857" s="6">
        <f>IFERROR(__xludf.DUMMYFUNCTION("""COMPUTED_VALUE"""),2.21083210394581)</f>
        <v>2.210832104</v>
      </c>
    </row>
    <row r="858">
      <c r="A858" s="5">
        <f>IFERROR(__xludf.DUMMYFUNCTION("""COMPUTED_VALUE"""),38353.0)</f>
        <v>38353</v>
      </c>
      <c r="B858" s="6"/>
      <c r="C858" s="6"/>
    </row>
    <row r="859">
      <c r="A859" s="5">
        <f>IFERROR(__xludf.DUMMYFUNCTION("""COMPUTED_VALUE"""),38353.0)</f>
        <v>38353</v>
      </c>
      <c r="B859" s="6"/>
      <c r="C859" s="6"/>
    </row>
    <row r="860">
      <c r="A860" s="5">
        <f>IFERROR(__xludf.DUMMYFUNCTION("""COMPUTED_VALUE"""),38718.0)</f>
        <v>38718</v>
      </c>
      <c r="B860" s="6" t="str">
        <f>IFERROR(__xludf.DUMMYFUNCTION("""COMPUTED_VALUE"""),"gpc_pib")</f>
        <v>gpc_pib</v>
      </c>
      <c r="C860" s="6">
        <f>IFERROR(__xludf.DUMMYFUNCTION("""COMPUTED_VALUE"""),29.6454784126122)</f>
        <v>29.64547841</v>
      </c>
    </row>
    <row r="861">
      <c r="A861" s="5">
        <f>IFERROR(__xludf.DUMMYFUNCTION("""COMPUTED_VALUE"""),38718.0)</f>
        <v>38718</v>
      </c>
      <c r="B861" s="6" t="str">
        <f>IFERROR(__xludf.DUMMYFUNCTION("""COMPUTED_VALUE"""),"gpc_funcionamiento_estado_pib")</f>
        <v>gpc_funcionamiento_estado_pib</v>
      </c>
      <c r="C861" s="6">
        <f>IFERROR(__xludf.DUMMYFUNCTION("""COMPUTED_VALUE"""),5.19707382514332)</f>
        <v>5.197073825</v>
      </c>
    </row>
    <row r="862">
      <c r="A862" s="5">
        <f>IFERROR(__xludf.DUMMYFUNCTION("""COMPUTED_VALUE"""),38718.0)</f>
        <v>38718</v>
      </c>
      <c r="B862" s="6" t="str">
        <f>IFERROR(__xludf.DUMMYFUNCTION("""COMPUTED_VALUE"""),"gpc_administracion_general_pib")</f>
        <v>gpc_administracion_general_pib</v>
      </c>
      <c r="C862" s="6">
        <f>IFERROR(__xludf.DUMMYFUNCTION("""COMPUTED_VALUE"""),2.50917538913654)</f>
        <v>2.509175389</v>
      </c>
    </row>
    <row r="863">
      <c r="A863" s="5">
        <f>IFERROR(__xludf.DUMMYFUNCTION("""COMPUTED_VALUE"""),38718.0)</f>
        <v>38718</v>
      </c>
      <c r="B863" s="6" t="str">
        <f>IFERROR(__xludf.DUMMYFUNCTION("""COMPUTED_VALUE"""),"gpc_justicia_pib")</f>
        <v>gpc_justicia_pib</v>
      </c>
      <c r="C863" s="6">
        <f>IFERROR(__xludf.DUMMYFUNCTION("""COMPUTED_VALUE"""),0.701279935149513)</f>
        <v>0.7012799351</v>
      </c>
    </row>
    <row r="864">
      <c r="A864" s="5">
        <f>IFERROR(__xludf.DUMMYFUNCTION("""COMPUTED_VALUE"""),38718.0)</f>
        <v>38718</v>
      </c>
      <c r="B864" s="6" t="str">
        <f>IFERROR(__xludf.DUMMYFUNCTION("""COMPUTED_VALUE"""),"gpc_defensa_seguridad_pib")</f>
        <v>gpc_defensa_seguridad_pib</v>
      </c>
      <c r="C864" s="6">
        <f>IFERROR(__xludf.DUMMYFUNCTION("""COMPUTED_VALUE"""),1.98661850085726)</f>
        <v>1.986618501</v>
      </c>
    </row>
    <row r="865">
      <c r="A865" s="5">
        <f>IFERROR(__xludf.DUMMYFUNCTION("""COMPUTED_VALUE"""),38718.0)</f>
        <v>38718</v>
      </c>
      <c r="B865" s="6" t="str">
        <f>IFERROR(__xludf.DUMMYFUNCTION("""COMPUTED_VALUE"""),"gpc_servicios_sociales_pib")</f>
        <v>gpc_servicios_sociales_pib</v>
      </c>
      <c r="C865" s="6">
        <f>IFERROR(__xludf.DUMMYFUNCTION("""COMPUTED_VALUE"""),19.1734182374744)</f>
        <v>19.17341824</v>
      </c>
    </row>
    <row r="866">
      <c r="A866" s="5">
        <f>IFERROR(__xludf.DUMMYFUNCTION("""COMPUTED_VALUE"""),38718.0)</f>
        <v>38718</v>
      </c>
      <c r="B866" s="6" t="str">
        <f>IFERROR(__xludf.DUMMYFUNCTION("""COMPUTED_VALUE"""),"gpc_educacion_basica_pib")</f>
        <v>gpc_educacion_basica_pib</v>
      </c>
      <c r="C866" s="6">
        <f>IFERROR(__xludf.DUMMYFUNCTION("""COMPUTED_VALUE"""),3.0640000217761)</f>
        <v>3.064000022</v>
      </c>
    </row>
    <row r="867">
      <c r="A867" s="5">
        <f>IFERROR(__xludf.DUMMYFUNCTION("""COMPUTED_VALUE"""),38718.0)</f>
        <v>38718</v>
      </c>
      <c r="B867" s="6" t="str">
        <f>IFERROR(__xludf.DUMMYFUNCTION("""COMPUTED_VALUE"""),"gpc_educacion_universitaria_pib")</f>
        <v>gpc_educacion_universitaria_pib</v>
      </c>
      <c r="C867" s="6">
        <f>IFERROR(__xludf.DUMMYFUNCTION("""COMPUTED_VALUE"""),0.87364521197202)</f>
        <v>0.873645212</v>
      </c>
    </row>
    <row r="868">
      <c r="A868" s="5">
        <f>IFERROR(__xludf.DUMMYFUNCTION("""COMPUTED_VALUE"""),38718.0)</f>
        <v>38718</v>
      </c>
      <c r="B868" s="6" t="str">
        <f>IFERROR(__xludf.DUMMYFUNCTION("""COMPUTED_VALUE"""),"gpc_ciencia_tecnica_pib")</f>
        <v>gpc_ciencia_tecnica_pib</v>
      </c>
      <c r="C868" s="6">
        <f>IFERROR(__xludf.DUMMYFUNCTION("""COMPUTED_VALUE"""),0.222223108508477)</f>
        <v>0.2222231085</v>
      </c>
    </row>
    <row r="869">
      <c r="A869" s="5">
        <f>IFERROR(__xludf.DUMMYFUNCTION("""COMPUTED_VALUE"""),38718.0)</f>
        <v>38718</v>
      </c>
      <c r="B869" s="6" t="str">
        <f>IFERROR(__xludf.DUMMYFUNCTION("""COMPUTED_VALUE"""),"gpc_cultura_pib")</f>
        <v>gpc_cultura_pib</v>
      </c>
      <c r="C869" s="6">
        <f>IFERROR(__xludf.DUMMYFUNCTION("""COMPUTED_VALUE"""),0.164029405966996)</f>
        <v>0.164029406</v>
      </c>
    </row>
    <row r="870">
      <c r="A870" s="5">
        <f>IFERROR(__xludf.DUMMYFUNCTION("""COMPUTED_VALUE"""),38718.0)</f>
        <v>38718</v>
      </c>
      <c r="B870" s="6" t="str">
        <f>IFERROR(__xludf.DUMMYFUNCTION("""COMPUTED_VALUE"""),"gpc_educacion_cultura_sin_discriminar_pib")</f>
        <v>gpc_educacion_cultura_sin_discriminar_pib</v>
      </c>
      <c r="C870" s="6">
        <f>IFERROR(__xludf.DUMMYFUNCTION("""COMPUTED_VALUE"""),0.39439301690383)</f>
        <v>0.3943930169</v>
      </c>
    </row>
    <row r="871">
      <c r="A871" s="5">
        <f>IFERROR(__xludf.DUMMYFUNCTION("""COMPUTED_VALUE"""),38718.0)</f>
        <v>38718</v>
      </c>
      <c r="B871" s="6" t="str">
        <f>IFERROR(__xludf.DUMMYFUNCTION("""COMPUTED_VALUE"""),"gpc_atencion_salud_pib")</f>
        <v>gpc_atencion_salud_pib</v>
      </c>
      <c r="C871" s="6">
        <f>IFERROR(__xludf.DUMMYFUNCTION("""COMPUTED_VALUE"""),1.80950226537395)</f>
        <v>1.809502265</v>
      </c>
    </row>
    <row r="872">
      <c r="A872" s="5">
        <f>IFERROR(__xludf.DUMMYFUNCTION("""COMPUTED_VALUE"""),38718.0)</f>
        <v>38718</v>
      </c>
      <c r="B872" s="6" t="str">
        <f>IFERROR(__xludf.DUMMYFUNCTION("""COMPUTED_VALUE"""),"gpc_obras_sociales_salud_pib")</f>
        <v>gpc_obras_sociales_salud_pib</v>
      </c>
      <c r="C872" s="6">
        <f>IFERROR(__xludf.DUMMYFUNCTION("""COMPUTED_VALUE"""),1.76256169668793)</f>
        <v>1.762561697</v>
      </c>
    </row>
    <row r="873">
      <c r="A873" s="5">
        <f>IFERROR(__xludf.DUMMYFUNCTION("""COMPUTED_VALUE"""),38718.0)</f>
        <v>38718</v>
      </c>
      <c r="B873" s="6" t="str">
        <f>IFERROR(__xludf.DUMMYFUNCTION("""COMPUTED_VALUE"""),"gpc_inssjyp_salud_pib")</f>
        <v>gpc_inssjyp_salud_pib</v>
      </c>
      <c r="C873" s="6">
        <f>IFERROR(__xludf.DUMMYFUNCTION("""COMPUTED_VALUE"""),0.507514006018629)</f>
        <v>0.507514006</v>
      </c>
    </row>
    <row r="874">
      <c r="A874" s="5">
        <f>IFERROR(__xludf.DUMMYFUNCTION("""COMPUTED_VALUE"""),38718.0)</f>
        <v>38718</v>
      </c>
      <c r="B874" s="6" t="str">
        <f>IFERROR(__xludf.DUMMYFUNCTION("""COMPUTED_VALUE"""),"gpc_agua_alcantarillado_pib")</f>
        <v>gpc_agua_alcantarillado_pib</v>
      </c>
      <c r="C874" s="6">
        <f>IFERROR(__xludf.DUMMYFUNCTION("""COMPUTED_VALUE"""),0.281996567281716)</f>
        <v>0.2819965673</v>
      </c>
    </row>
    <row r="875">
      <c r="A875" s="5">
        <f>IFERROR(__xludf.DUMMYFUNCTION("""COMPUTED_VALUE"""),38718.0)</f>
        <v>38718</v>
      </c>
      <c r="B875" s="6" t="str">
        <f>IFERROR(__xludf.DUMMYFUNCTION("""COMPUTED_VALUE"""),"gpc_vivienda_urbanismo_pib")</f>
        <v>gpc_vivienda_urbanismo_pib</v>
      </c>
      <c r="C875" s="6">
        <f>IFERROR(__xludf.DUMMYFUNCTION("""COMPUTED_VALUE"""),1.06852264315432)</f>
        <v>1.068522643</v>
      </c>
    </row>
    <row r="876">
      <c r="A876" s="5">
        <f>IFERROR(__xludf.DUMMYFUNCTION("""COMPUTED_VALUE"""),38718.0)</f>
        <v>38718</v>
      </c>
      <c r="B876" s="6" t="str">
        <f>IFERROR(__xludf.DUMMYFUNCTION("""COMPUTED_VALUE"""),"gpc_promocion_asistencia_social_pib")</f>
        <v>gpc_promocion_asistencia_social_pib</v>
      </c>
      <c r="C876" s="6">
        <f>IFERROR(__xludf.DUMMYFUNCTION("""COMPUTED_VALUE"""),1.11237482053964)</f>
        <v>1.112374821</v>
      </c>
    </row>
    <row r="877">
      <c r="A877" s="5">
        <f>IFERROR(__xludf.DUMMYFUNCTION("""COMPUTED_VALUE"""),38718.0)</f>
        <v>38718</v>
      </c>
      <c r="B877" s="6" t="str">
        <f>IFERROR(__xludf.DUMMYFUNCTION("""COMPUTED_VALUE"""),"gpc_obras_sociales_prestaciones_pib")</f>
        <v>gpc_obras_sociales_prestaciones_pib</v>
      </c>
      <c r="C877" s="6">
        <f>IFERROR(__xludf.DUMMYFUNCTION("""COMPUTED_VALUE"""),0.08546642077898)</f>
        <v>0.08546642078</v>
      </c>
    </row>
    <row r="878">
      <c r="A878" s="5">
        <f>IFERROR(__xludf.DUMMYFUNCTION("""COMPUTED_VALUE"""),38718.0)</f>
        <v>38718</v>
      </c>
      <c r="B878" s="6" t="str">
        <f>IFERROR(__xludf.DUMMYFUNCTION("""COMPUTED_VALUE"""),"gpc_inssjyp_prestaciones_pib")</f>
        <v>gpc_inssjyp_prestaciones_pib</v>
      </c>
      <c r="C878" s="6">
        <f>IFERROR(__xludf.DUMMYFUNCTION("""COMPUTED_VALUE"""),0.1406322490501)</f>
        <v>0.1406322491</v>
      </c>
    </row>
    <row r="879">
      <c r="A879" s="5">
        <f>IFERROR(__xludf.DUMMYFUNCTION("""COMPUTED_VALUE"""),38718.0)</f>
        <v>38718</v>
      </c>
      <c r="B879" s="6" t="str">
        <f>IFERROR(__xludf.DUMMYFUNCTION("""COMPUTED_VALUE"""),"gpc_prevision_social_pib")</f>
        <v>gpc_prevision_social_pib</v>
      </c>
      <c r="C879" s="6">
        <f>IFERROR(__xludf.DUMMYFUNCTION("""COMPUTED_VALUE"""),5.89770146651995)</f>
        <v>5.897701467</v>
      </c>
    </row>
    <row r="880">
      <c r="A880" s="5">
        <f>IFERROR(__xludf.DUMMYFUNCTION("""COMPUTED_VALUE"""),38718.0)</f>
        <v>38718</v>
      </c>
      <c r="B880" s="6" t="str">
        <f>IFERROR(__xludf.DUMMYFUNCTION("""COMPUTED_VALUE"""),"gpc_programas_empleo_pib")</f>
        <v>gpc_programas_empleo_pib</v>
      </c>
      <c r="C880" s="6">
        <f>IFERROR(__xludf.DUMMYFUNCTION("""COMPUTED_VALUE"""),0.618477882613653)</f>
        <v>0.6184778826</v>
      </c>
    </row>
    <row r="881">
      <c r="A881" s="5">
        <f>IFERROR(__xludf.DUMMYFUNCTION("""COMPUTED_VALUE"""),38718.0)</f>
        <v>38718</v>
      </c>
      <c r="B881" s="6" t="str">
        <f>IFERROR(__xludf.DUMMYFUNCTION("""COMPUTED_VALUE"""),"gpc_asignaciones_familiares_pib")</f>
        <v>gpc_asignaciones_familiares_pib</v>
      </c>
      <c r="C881" s="6">
        <f>IFERROR(__xludf.DUMMYFUNCTION("""COMPUTED_VALUE"""),0.451879871132849)</f>
        <v>0.4518798711</v>
      </c>
    </row>
    <row r="882">
      <c r="A882" s="5">
        <f>IFERROR(__xludf.DUMMYFUNCTION("""COMPUTED_VALUE"""),38718.0)</f>
        <v>38718</v>
      </c>
      <c r="B882" s="6" t="str">
        <f>IFERROR(__xludf.DUMMYFUNCTION("""COMPUTED_VALUE"""),"gpc_otros_servicios_urbanos_pib")</f>
        <v>gpc_otros_servicios_urbanos_pib</v>
      </c>
      <c r="C882" s="6">
        <f>IFERROR(__xludf.DUMMYFUNCTION("""COMPUTED_VALUE"""),0.718497583195286)</f>
        <v>0.7184975832</v>
      </c>
    </row>
    <row r="883">
      <c r="A883" s="5">
        <f>IFERROR(__xludf.DUMMYFUNCTION("""COMPUTED_VALUE"""),38718.0)</f>
        <v>38718</v>
      </c>
      <c r="B883" s="6" t="str">
        <f>IFERROR(__xludf.DUMMYFUNCTION("""COMPUTED_VALUE"""),"gpc_servicios_economicos_pib")</f>
        <v>gpc_servicios_economicos_pib</v>
      </c>
      <c r="C883" s="6">
        <f>IFERROR(__xludf.DUMMYFUNCTION("""COMPUTED_VALUE"""),3.40192989595988)</f>
        <v>3.401929896</v>
      </c>
    </row>
    <row r="884">
      <c r="A884" s="5">
        <f>IFERROR(__xludf.DUMMYFUNCTION("""COMPUTED_VALUE"""),38718.0)</f>
        <v>38718</v>
      </c>
      <c r="B884" s="6" t="str">
        <f>IFERROR(__xludf.DUMMYFUNCTION("""COMPUTED_VALUE"""),"gpc_produccion_primaria_pib")</f>
        <v>gpc_produccion_primaria_pib</v>
      </c>
      <c r="C884" s="6">
        <f>IFERROR(__xludf.DUMMYFUNCTION("""COMPUTED_VALUE"""),0.319799179176612)</f>
        <v>0.3197991792</v>
      </c>
    </row>
    <row r="885">
      <c r="A885" s="5">
        <f>IFERROR(__xludf.DUMMYFUNCTION("""COMPUTED_VALUE"""),38718.0)</f>
        <v>38718</v>
      </c>
      <c r="B885" s="6" t="str">
        <f>IFERROR(__xludf.DUMMYFUNCTION("""COMPUTED_VALUE"""),"gpc_energia_combustible_pib")</f>
        <v>gpc_energia_combustible_pib</v>
      </c>
      <c r="C885" s="6">
        <f>IFERROR(__xludf.DUMMYFUNCTION("""COMPUTED_VALUE"""),0.852637335985896)</f>
        <v>0.852637336</v>
      </c>
    </row>
    <row r="886">
      <c r="A886" s="5">
        <f>IFERROR(__xludf.DUMMYFUNCTION("""COMPUTED_VALUE"""),38718.0)</f>
        <v>38718</v>
      </c>
      <c r="B886" s="6" t="str">
        <f>IFERROR(__xludf.DUMMYFUNCTION("""COMPUTED_VALUE"""),"gpc_industria_pib")</f>
        <v>gpc_industria_pib</v>
      </c>
      <c r="C886" s="6">
        <f>IFERROR(__xludf.DUMMYFUNCTION("""COMPUTED_VALUE"""),0.0905284544184435)</f>
        <v>0.09052845442</v>
      </c>
    </row>
    <row r="887">
      <c r="A887" s="5">
        <f>IFERROR(__xludf.DUMMYFUNCTION("""COMPUTED_VALUE"""),38718.0)</f>
        <v>38718</v>
      </c>
      <c r="B887" s="6" t="str">
        <f>IFERROR(__xludf.DUMMYFUNCTION("""COMPUTED_VALUE"""),"gpc_transporte_pib")</f>
        <v>gpc_transporte_pib</v>
      </c>
      <c r="C887" s="6">
        <f>IFERROR(__xludf.DUMMYFUNCTION("""COMPUTED_VALUE"""),1.58452825727704)</f>
        <v>1.584528257</v>
      </c>
    </row>
    <row r="888">
      <c r="A888" s="5">
        <f>IFERROR(__xludf.DUMMYFUNCTION("""COMPUTED_VALUE"""),38718.0)</f>
        <v>38718</v>
      </c>
      <c r="B888" s="6" t="str">
        <f>IFERROR(__xludf.DUMMYFUNCTION("""COMPUTED_VALUE"""),"gpc_comunicaciones_pib")</f>
        <v>gpc_comunicaciones_pib</v>
      </c>
      <c r="C888" s="6">
        <f>IFERROR(__xludf.DUMMYFUNCTION("""COMPUTED_VALUE"""),0.0738940434854716)</f>
        <v>0.07389404349</v>
      </c>
    </row>
    <row r="889">
      <c r="A889" s="5">
        <f>IFERROR(__xludf.DUMMYFUNCTION("""COMPUTED_VALUE"""),38718.0)</f>
        <v>38718</v>
      </c>
      <c r="B889" s="6" t="str">
        <f>IFERROR(__xludf.DUMMYFUNCTION("""COMPUTED_VALUE"""),"gpc_otros_servicios_economicos_pib")</f>
        <v>gpc_otros_servicios_economicos_pib</v>
      </c>
      <c r="C889" s="6">
        <f>IFERROR(__xludf.DUMMYFUNCTION("""COMPUTED_VALUE"""),0.48054262561641)</f>
        <v>0.4805426256</v>
      </c>
    </row>
    <row r="890">
      <c r="A890" s="5">
        <f>IFERROR(__xludf.DUMMYFUNCTION("""COMPUTED_VALUE"""),38718.0)</f>
        <v>38718</v>
      </c>
      <c r="B890" s="6" t="str">
        <f>IFERROR(__xludf.DUMMYFUNCTION("""COMPUTED_VALUE"""),"gpc_servicios_deuda_publica_pib")</f>
        <v>gpc_servicios_deuda_publica_pib</v>
      </c>
      <c r="C890" s="6">
        <f>IFERROR(__xludf.DUMMYFUNCTION("""COMPUTED_VALUE"""),1.87305645403455)</f>
        <v>1.873056454</v>
      </c>
    </row>
    <row r="891">
      <c r="A891" s="5">
        <f>IFERROR(__xludf.DUMMYFUNCTION("""COMPUTED_VALUE"""),38718.0)</f>
        <v>38718</v>
      </c>
      <c r="B891" s="6"/>
      <c r="C891" s="6"/>
    </row>
    <row r="892">
      <c r="A892" s="5">
        <f>IFERROR(__xludf.DUMMYFUNCTION("""COMPUTED_VALUE"""),38718.0)</f>
        <v>38718</v>
      </c>
      <c r="B892" s="6"/>
      <c r="C892" s="6"/>
    </row>
    <row r="893">
      <c r="A893" s="5">
        <f>IFERROR(__xludf.DUMMYFUNCTION("""COMPUTED_VALUE"""),39083.0)</f>
        <v>39083</v>
      </c>
      <c r="B893" s="6" t="str">
        <f>IFERROR(__xludf.DUMMYFUNCTION("""COMPUTED_VALUE"""),"gpc_pib")</f>
        <v>gpc_pib</v>
      </c>
      <c r="C893" s="6">
        <f>IFERROR(__xludf.DUMMYFUNCTION("""COMPUTED_VALUE"""),32.4838211956201)</f>
        <v>32.4838212</v>
      </c>
    </row>
    <row r="894">
      <c r="A894" s="5">
        <f>IFERROR(__xludf.DUMMYFUNCTION("""COMPUTED_VALUE"""),39083.0)</f>
        <v>39083</v>
      </c>
      <c r="B894" s="6" t="str">
        <f>IFERROR(__xludf.DUMMYFUNCTION("""COMPUTED_VALUE"""),"gpc_funcionamiento_estado_pib")</f>
        <v>gpc_funcionamiento_estado_pib</v>
      </c>
      <c r="C894" s="6">
        <f>IFERROR(__xludf.DUMMYFUNCTION("""COMPUTED_VALUE"""),5.42867152021052)</f>
        <v>5.42867152</v>
      </c>
    </row>
    <row r="895">
      <c r="A895" s="5">
        <f>IFERROR(__xludf.DUMMYFUNCTION("""COMPUTED_VALUE"""),39083.0)</f>
        <v>39083</v>
      </c>
      <c r="B895" s="6" t="str">
        <f>IFERROR(__xludf.DUMMYFUNCTION("""COMPUTED_VALUE"""),"gpc_administracion_general_pib")</f>
        <v>gpc_administracion_general_pib</v>
      </c>
      <c r="C895" s="6">
        <f>IFERROR(__xludf.DUMMYFUNCTION("""COMPUTED_VALUE"""),2.69692436463669)</f>
        <v>2.696924365</v>
      </c>
    </row>
    <row r="896">
      <c r="A896" s="5">
        <f>IFERROR(__xludf.DUMMYFUNCTION("""COMPUTED_VALUE"""),39083.0)</f>
        <v>39083</v>
      </c>
      <c r="B896" s="6" t="str">
        <f>IFERROR(__xludf.DUMMYFUNCTION("""COMPUTED_VALUE"""),"gpc_justicia_pib")</f>
        <v>gpc_justicia_pib</v>
      </c>
      <c r="C896" s="6">
        <f>IFERROR(__xludf.DUMMYFUNCTION("""COMPUTED_VALUE"""),0.729575389484626)</f>
        <v>0.7295753895</v>
      </c>
    </row>
    <row r="897">
      <c r="A897" s="5">
        <f>IFERROR(__xludf.DUMMYFUNCTION("""COMPUTED_VALUE"""),39083.0)</f>
        <v>39083</v>
      </c>
      <c r="B897" s="6" t="str">
        <f>IFERROR(__xludf.DUMMYFUNCTION("""COMPUTED_VALUE"""),"gpc_defensa_seguridad_pib")</f>
        <v>gpc_defensa_seguridad_pib</v>
      </c>
      <c r="C897" s="6">
        <f>IFERROR(__xludf.DUMMYFUNCTION("""COMPUTED_VALUE"""),2.0021717660892)</f>
        <v>2.002171766</v>
      </c>
    </row>
    <row r="898">
      <c r="A898" s="5">
        <f>IFERROR(__xludf.DUMMYFUNCTION("""COMPUTED_VALUE"""),39083.0)</f>
        <v>39083</v>
      </c>
      <c r="B898" s="6" t="str">
        <f>IFERROR(__xludf.DUMMYFUNCTION("""COMPUTED_VALUE"""),"gpc_servicios_sociales_pib")</f>
        <v>gpc_servicios_sociales_pib</v>
      </c>
      <c r="C898" s="6">
        <f>IFERROR(__xludf.DUMMYFUNCTION("""COMPUTED_VALUE"""),20.8806502283659)</f>
        <v>20.88065023</v>
      </c>
    </row>
    <row r="899">
      <c r="A899" s="5">
        <f>IFERROR(__xludf.DUMMYFUNCTION("""COMPUTED_VALUE"""),39083.0)</f>
        <v>39083</v>
      </c>
      <c r="B899" s="6" t="str">
        <f>IFERROR(__xludf.DUMMYFUNCTION("""COMPUTED_VALUE"""),"gpc_educacion_basica_pib")</f>
        <v>gpc_educacion_basica_pib</v>
      </c>
      <c r="C899" s="6">
        <f>IFERROR(__xludf.DUMMYFUNCTION("""COMPUTED_VALUE"""),3.20616057419101)</f>
        <v>3.206160574</v>
      </c>
    </row>
    <row r="900">
      <c r="A900" s="5">
        <f>IFERROR(__xludf.DUMMYFUNCTION("""COMPUTED_VALUE"""),39083.0)</f>
        <v>39083</v>
      </c>
      <c r="B900" s="6" t="str">
        <f>IFERROR(__xludf.DUMMYFUNCTION("""COMPUTED_VALUE"""),"gpc_educacion_universitaria_pib")</f>
        <v>gpc_educacion_universitaria_pib</v>
      </c>
      <c r="C900" s="6">
        <f>IFERROR(__xludf.DUMMYFUNCTION("""COMPUTED_VALUE"""),0.936365273918497)</f>
        <v>0.9363652739</v>
      </c>
    </row>
    <row r="901">
      <c r="A901" s="5">
        <f>IFERROR(__xludf.DUMMYFUNCTION("""COMPUTED_VALUE"""),39083.0)</f>
        <v>39083</v>
      </c>
      <c r="B901" s="6" t="str">
        <f>IFERROR(__xludf.DUMMYFUNCTION("""COMPUTED_VALUE"""),"gpc_ciencia_tecnica_pib")</f>
        <v>gpc_ciencia_tecnica_pib</v>
      </c>
      <c r="C901" s="6">
        <f>IFERROR(__xludf.DUMMYFUNCTION("""COMPUTED_VALUE"""),0.236289205498617)</f>
        <v>0.2362892055</v>
      </c>
    </row>
    <row r="902">
      <c r="A902" s="5">
        <f>IFERROR(__xludf.DUMMYFUNCTION("""COMPUTED_VALUE"""),39083.0)</f>
        <v>39083</v>
      </c>
      <c r="B902" s="6" t="str">
        <f>IFERROR(__xludf.DUMMYFUNCTION("""COMPUTED_VALUE"""),"gpc_cultura_pib")</f>
        <v>gpc_cultura_pib</v>
      </c>
      <c r="C902" s="6">
        <f>IFERROR(__xludf.DUMMYFUNCTION("""COMPUTED_VALUE"""),0.176823329433976)</f>
        <v>0.1768233294</v>
      </c>
    </row>
    <row r="903">
      <c r="A903" s="5">
        <f>IFERROR(__xludf.DUMMYFUNCTION("""COMPUTED_VALUE"""),39083.0)</f>
        <v>39083</v>
      </c>
      <c r="B903" s="6" t="str">
        <f>IFERROR(__xludf.DUMMYFUNCTION("""COMPUTED_VALUE"""),"gpc_educacion_cultura_sin_discriminar_pib")</f>
        <v>gpc_educacion_cultura_sin_discriminar_pib</v>
      </c>
      <c r="C903" s="6">
        <f>IFERROR(__xludf.DUMMYFUNCTION("""COMPUTED_VALUE"""),0.442292623196718)</f>
        <v>0.4422926232</v>
      </c>
    </row>
    <row r="904">
      <c r="A904" s="5">
        <f>IFERROR(__xludf.DUMMYFUNCTION("""COMPUTED_VALUE"""),39083.0)</f>
        <v>39083</v>
      </c>
      <c r="B904" s="6" t="str">
        <f>IFERROR(__xludf.DUMMYFUNCTION("""COMPUTED_VALUE"""),"gpc_atencion_salud_pib")</f>
        <v>gpc_atencion_salud_pib</v>
      </c>
      <c r="C904" s="6">
        <f>IFERROR(__xludf.DUMMYFUNCTION("""COMPUTED_VALUE"""),1.89274467922989)</f>
        <v>1.892744679</v>
      </c>
    </row>
    <row r="905">
      <c r="A905" s="5">
        <f>IFERROR(__xludf.DUMMYFUNCTION("""COMPUTED_VALUE"""),39083.0)</f>
        <v>39083</v>
      </c>
      <c r="B905" s="6" t="str">
        <f>IFERROR(__xludf.DUMMYFUNCTION("""COMPUTED_VALUE"""),"gpc_obras_sociales_salud_pib")</f>
        <v>gpc_obras_sociales_salud_pib</v>
      </c>
      <c r="C905" s="6">
        <f>IFERROR(__xludf.DUMMYFUNCTION("""COMPUTED_VALUE"""),1.82041604381129)</f>
        <v>1.820416044</v>
      </c>
    </row>
    <row r="906">
      <c r="A906" s="5">
        <f>IFERROR(__xludf.DUMMYFUNCTION("""COMPUTED_VALUE"""),39083.0)</f>
        <v>39083</v>
      </c>
      <c r="B906" s="6" t="str">
        <f>IFERROR(__xludf.DUMMYFUNCTION("""COMPUTED_VALUE"""),"gpc_inssjyp_salud_pib")</f>
        <v>gpc_inssjyp_salud_pib</v>
      </c>
      <c r="C906" s="6">
        <f>IFERROR(__xludf.DUMMYFUNCTION("""COMPUTED_VALUE"""),0.566481542555101)</f>
        <v>0.5664815426</v>
      </c>
    </row>
    <row r="907">
      <c r="A907" s="5">
        <f>IFERROR(__xludf.DUMMYFUNCTION("""COMPUTED_VALUE"""),39083.0)</f>
        <v>39083</v>
      </c>
      <c r="B907" s="6" t="str">
        <f>IFERROR(__xludf.DUMMYFUNCTION("""COMPUTED_VALUE"""),"gpc_agua_alcantarillado_pib")</f>
        <v>gpc_agua_alcantarillado_pib</v>
      </c>
      <c r="C907" s="6">
        <f>IFERROR(__xludf.DUMMYFUNCTION("""COMPUTED_VALUE"""),0.349167889701351)</f>
        <v>0.3491678897</v>
      </c>
    </row>
    <row r="908">
      <c r="A908" s="5">
        <f>IFERROR(__xludf.DUMMYFUNCTION("""COMPUTED_VALUE"""),39083.0)</f>
        <v>39083</v>
      </c>
      <c r="B908" s="6" t="str">
        <f>IFERROR(__xludf.DUMMYFUNCTION("""COMPUTED_VALUE"""),"gpc_vivienda_urbanismo_pib")</f>
        <v>gpc_vivienda_urbanismo_pib</v>
      </c>
      <c r="C908" s="6">
        <f>IFERROR(__xludf.DUMMYFUNCTION("""COMPUTED_VALUE"""),0.975491384268947)</f>
        <v>0.9754913843</v>
      </c>
    </row>
    <row r="909">
      <c r="A909" s="5">
        <f>IFERROR(__xludf.DUMMYFUNCTION("""COMPUTED_VALUE"""),39083.0)</f>
        <v>39083</v>
      </c>
      <c r="B909" s="6" t="str">
        <f>IFERROR(__xludf.DUMMYFUNCTION("""COMPUTED_VALUE"""),"gpc_promocion_asistencia_social_pib")</f>
        <v>gpc_promocion_asistencia_social_pib</v>
      </c>
      <c r="C909" s="6">
        <f>IFERROR(__xludf.DUMMYFUNCTION("""COMPUTED_VALUE"""),1.13779655181217)</f>
        <v>1.137796552</v>
      </c>
    </row>
    <row r="910">
      <c r="A910" s="5">
        <f>IFERROR(__xludf.DUMMYFUNCTION("""COMPUTED_VALUE"""),39083.0)</f>
        <v>39083</v>
      </c>
      <c r="B910" s="6" t="str">
        <f>IFERROR(__xludf.DUMMYFUNCTION("""COMPUTED_VALUE"""),"gpc_obras_sociales_prestaciones_pib")</f>
        <v>gpc_obras_sociales_prestaciones_pib</v>
      </c>
      <c r="C910" s="6">
        <f>IFERROR(__xludf.DUMMYFUNCTION("""COMPUTED_VALUE"""),0.0856713923704984)</f>
        <v>0.08567139237</v>
      </c>
    </row>
    <row r="911">
      <c r="A911" s="5">
        <f>IFERROR(__xludf.DUMMYFUNCTION("""COMPUTED_VALUE"""),39083.0)</f>
        <v>39083</v>
      </c>
      <c r="B911" s="6" t="str">
        <f>IFERROR(__xludf.DUMMYFUNCTION("""COMPUTED_VALUE"""),"gpc_inssjyp_prestaciones_pib")</f>
        <v>gpc_inssjyp_prestaciones_pib</v>
      </c>
      <c r="C911" s="6">
        <f>IFERROR(__xludf.DUMMYFUNCTION("""COMPUTED_VALUE"""),0.14809389459232)</f>
        <v>0.1480938946</v>
      </c>
    </row>
    <row r="912">
      <c r="A912" s="5">
        <f>IFERROR(__xludf.DUMMYFUNCTION("""COMPUTED_VALUE"""),39083.0)</f>
        <v>39083</v>
      </c>
      <c r="B912" s="6" t="str">
        <f>IFERROR(__xludf.DUMMYFUNCTION("""COMPUTED_VALUE"""),"gpc_prevision_social_pib")</f>
        <v>gpc_prevision_social_pib</v>
      </c>
      <c r="C912" s="6">
        <f>IFERROR(__xludf.DUMMYFUNCTION("""COMPUTED_VALUE"""),7.18765899189452)</f>
        <v>7.187658992</v>
      </c>
    </row>
    <row r="913">
      <c r="A913" s="5">
        <f>IFERROR(__xludf.DUMMYFUNCTION("""COMPUTED_VALUE"""),39083.0)</f>
        <v>39083</v>
      </c>
      <c r="B913" s="6" t="str">
        <f>IFERROR(__xludf.DUMMYFUNCTION("""COMPUTED_VALUE"""),"gpc_programas_empleo_pib")</f>
        <v>gpc_programas_empleo_pib</v>
      </c>
      <c r="C913" s="6">
        <f>IFERROR(__xludf.DUMMYFUNCTION("""COMPUTED_VALUE"""),0.457440350702825)</f>
        <v>0.4574403507</v>
      </c>
    </row>
    <row r="914">
      <c r="A914" s="5">
        <f>IFERROR(__xludf.DUMMYFUNCTION("""COMPUTED_VALUE"""),39083.0)</f>
        <v>39083</v>
      </c>
      <c r="B914" s="6" t="str">
        <f>IFERROR(__xludf.DUMMYFUNCTION("""COMPUTED_VALUE"""),"gpc_asignaciones_familiares_pib")</f>
        <v>gpc_asignaciones_familiares_pib</v>
      </c>
      <c r="C914" s="6">
        <f>IFERROR(__xludf.DUMMYFUNCTION("""COMPUTED_VALUE"""),0.510240486746307)</f>
        <v>0.5102404867</v>
      </c>
    </row>
    <row r="915">
      <c r="A915" s="5">
        <f>IFERROR(__xludf.DUMMYFUNCTION("""COMPUTED_VALUE"""),39083.0)</f>
        <v>39083</v>
      </c>
      <c r="B915" s="6" t="str">
        <f>IFERROR(__xludf.DUMMYFUNCTION("""COMPUTED_VALUE"""),"gpc_otros_servicios_urbanos_pib")</f>
        <v>gpc_otros_servicios_urbanos_pib</v>
      </c>
      <c r="C915" s="6">
        <f>IFERROR(__xludf.DUMMYFUNCTION("""COMPUTED_VALUE"""),0.751516014441846)</f>
        <v>0.7515160144</v>
      </c>
    </row>
    <row r="916">
      <c r="A916" s="5">
        <f>IFERROR(__xludf.DUMMYFUNCTION("""COMPUTED_VALUE"""),39083.0)</f>
        <v>39083</v>
      </c>
      <c r="B916" s="6" t="str">
        <f>IFERROR(__xludf.DUMMYFUNCTION("""COMPUTED_VALUE"""),"gpc_servicios_economicos_pib")</f>
        <v>gpc_servicios_economicos_pib</v>
      </c>
      <c r="C916" s="6">
        <f>IFERROR(__xludf.DUMMYFUNCTION("""COMPUTED_VALUE"""),4.08975934518485)</f>
        <v>4.089759345</v>
      </c>
    </row>
    <row r="917">
      <c r="A917" s="5">
        <f>IFERROR(__xludf.DUMMYFUNCTION("""COMPUTED_VALUE"""),39083.0)</f>
        <v>39083</v>
      </c>
      <c r="B917" s="6" t="str">
        <f>IFERROR(__xludf.DUMMYFUNCTION("""COMPUTED_VALUE"""),"gpc_produccion_primaria_pib")</f>
        <v>gpc_produccion_primaria_pib</v>
      </c>
      <c r="C917" s="6">
        <f>IFERROR(__xludf.DUMMYFUNCTION("""COMPUTED_VALUE"""),0.456815782794325)</f>
        <v>0.4568157828</v>
      </c>
    </row>
    <row r="918">
      <c r="A918" s="5">
        <f>IFERROR(__xludf.DUMMYFUNCTION("""COMPUTED_VALUE"""),39083.0)</f>
        <v>39083</v>
      </c>
      <c r="B918" s="6" t="str">
        <f>IFERROR(__xludf.DUMMYFUNCTION("""COMPUTED_VALUE"""),"gpc_energia_combustible_pib")</f>
        <v>gpc_energia_combustible_pib</v>
      </c>
      <c r="C918" s="6">
        <f>IFERROR(__xludf.DUMMYFUNCTION("""COMPUTED_VALUE"""),1.33653292914013)</f>
        <v>1.336532929</v>
      </c>
    </row>
    <row r="919">
      <c r="A919" s="5">
        <f>IFERROR(__xludf.DUMMYFUNCTION("""COMPUTED_VALUE"""),39083.0)</f>
        <v>39083</v>
      </c>
      <c r="B919" s="6" t="str">
        <f>IFERROR(__xludf.DUMMYFUNCTION("""COMPUTED_VALUE"""),"gpc_industria_pib")</f>
        <v>gpc_industria_pib</v>
      </c>
      <c r="C919" s="6">
        <f>IFERROR(__xludf.DUMMYFUNCTION("""COMPUTED_VALUE"""),0.138675371683347)</f>
        <v>0.1386753717</v>
      </c>
    </row>
    <row r="920">
      <c r="A920" s="5">
        <f>IFERROR(__xludf.DUMMYFUNCTION("""COMPUTED_VALUE"""),39083.0)</f>
        <v>39083</v>
      </c>
      <c r="B920" s="6" t="str">
        <f>IFERROR(__xludf.DUMMYFUNCTION("""COMPUTED_VALUE"""),"gpc_transporte_pib")</f>
        <v>gpc_transporte_pib</v>
      </c>
      <c r="C920" s="6">
        <f>IFERROR(__xludf.DUMMYFUNCTION("""COMPUTED_VALUE"""),1.80411772635989)</f>
        <v>1.804117726</v>
      </c>
    </row>
    <row r="921">
      <c r="A921" s="5">
        <f>IFERROR(__xludf.DUMMYFUNCTION("""COMPUTED_VALUE"""),39083.0)</f>
        <v>39083</v>
      </c>
      <c r="B921" s="6" t="str">
        <f>IFERROR(__xludf.DUMMYFUNCTION("""COMPUTED_VALUE"""),"gpc_comunicaciones_pib")</f>
        <v>gpc_comunicaciones_pib</v>
      </c>
      <c r="C921" s="6">
        <f>IFERROR(__xludf.DUMMYFUNCTION("""COMPUTED_VALUE"""),0.0755932893829257)</f>
        <v>0.07559328938</v>
      </c>
    </row>
    <row r="922">
      <c r="A922" s="5">
        <f>IFERROR(__xludf.DUMMYFUNCTION("""COMPUTED_VALUE"""),39083.0)</f>
        <v>39083</v>
      </c>
      <c r="B922" s="6" t="str">
        <f>IFERROR(__xludf.DUMMYFUNCTION("""COMPUTED_VALUE"""),"gpc_otros_servicios_economicos_pib")</f>
        <v>gpc_otros_servicios_economicos_pib</v>
      </c>
      <c r="C922" s="6">
        <f>IFERROR(__xludf.DUMMYFUNCTION("""COMPUTED_VALUE"""),0.278024245824225)</f>
        <v>0.2780242458</v>
      </c>
    </row>
    <row r="923">
      <c r="A923" s="5">
        <f>IFERROR(__xludf.DUMMYFUNCTION("""COMPUTED_VALUE"""),39083.0)</f>
        <v>39083</v>
      </c>
      <c r="B923" s="6" t="str">
        <f>IFERROR(__xludf.DUMMYFUNCTION("""COMPUTED_VALUE"""),"gpc_servicios_deuda_publica_pib")</f>
        <v>gpc_servicios_deuda_publica_pib</v>
      </c>
      <c r="C923" s="6">
        <f>IFERROR(__xludf.DUMMYFUNCTION("""COMPUTED_VALUE"""),2.08474010185882)</f>
        <v>2.084740102</v>
      </c>
    </row>
    <row r="924">
      <c r="A924" s="5">
        <f>IFERROR(__xludf.DUMMYFUNCTION("""COMPUTED_VALUE"""),39083.0)</f>
        <v>39083</v>
      </c>
      <c r="B924" s="6"/>
      <c r="C924" s="6"/>
    </row>
    <row r="925">
      <c r="A925" s="5">
        <f>IFERROR(__xludf.DUMMYFUNCTION("""COMPUTED_VALUE"""),39083.0)</f>
        <v>39083</v>
      </c>
      <c r="B925" s="6"/>
      <c r="C925" s="6"/>
    </row>
    <row r="926">
      <c r="A926" s="5">
        <f>IFERROR(__xludf.DUMMYFUNCTION("""COMPUTED_VALUE"""),39448.0)</f>
        <v>39448</v>
      </c>
      <c r="B926" s="6" t="str">
        <f>IFERROR(__xludf.DUMMYFUNCTION("""COMPUTED_VALUE"""),"gpc_pib")</f>
        <v>gpc_pib</v>
      </c>
      <c r="C926" s="6">
        <f>IFERROR(__xludf.DUMMYFUNCTION("""COMPUTED_VALUE"""),34.3122709253903)</f>
        <v>34.31227093</v>
      </c>
    </row>
    <row r="927">
      <c r="A927" s="5">
        <f>IFERROR(__xludf.DUMMYFUNCTION("""COMPUTED_VALUE"""),39448.0)</f>
        <v>39448</v>
      </c>
      <c r="B927" s="6" t="str">
        <f>IFERROR(__xludf.DUMMYFUNCTION("""COMPUTED_VALUE"""),"gpc_funcionamiento_estado_pib")</f>
        <v>gpc_funcionamiento_estado_pib</v>
      </c>
      <c r="C927" s="6">
        <f>IFERROR(__xludf.DUMMYFUNCTION("""COMPUTED_VALUE"""),5.48780906339034)</f>
        <v>5.487809063</v>
      </c>
    </row>
    <row r="928">
      <c r="A928" s="5">
        <f>IFERROR(__xludf.DUMMYFUNCTION("""COMPUTED_VALUE"""),39448.0)</f>
        <v>39448</v>
      </c>
      <c r="B928" s="6" t="str">
        <f>IFERROR(__xludf.DUMMYFUNCTION("""COMPUTED_VALUE"""),"gpc_administracion_general_pib")</f>
        <v>gpc_administracion_general_pib</v>
      </c>
      <c r="C928" s="6">
        <f>IFERROR(__xludf.DUMMYFUNCTION("""COMPUTED_VALUE"""),2.66439966623086)</f>
        <v>2.664399666</v>
      </c>
    </row>
    <row r="929">
      <c r="A929" s="5">
        <f>IFERROR(__xludf.DUMMYFUNCTION("""COMPUTED_VALUE"""),39448.0)</f>
        <v>39448</v>
      </c>
      <c r="B929" s="6" t="str">
        <f>IFERROR(__xludf.DUMMYFUNCTION("""COMPUTED_VALUE"""),"gpc_justicia_pib")</f>
        <v>gpc_justicia_pib</v>
      </c>
      <c r="C929" s="6">
        <f>IFERROR(__xludf.DUMMYFUNCTION("""COMPUTED_VALUE"""),0.787957772930309)</f>
        <v>0.7879577729</v>
      </c>
    </row>
    <row r="930">
      <c r="A930" s="5">
        <f>IFERROR(__xludf.DUMMYFUNCTION("""COMPUTED_VALUE"""),39448.0)</f>
        <v>39448</v>
      </c>
      <c r="B930" s="6" t="str">
        <f>IFERROR(__xludf.DUMMYFUNCTION("""COMPUTED_VALUE"""),"gpc_defensa_seguridad_pib")</f>
        <v>gpc_defensa_seguridad_pib</v>
      </c>
      <c r="C930" s="6">
        <f>IFERROR(__xludf.DUMMYFUNCTION("""COMPUTED_VALUE"""),2.03545162422917)</f>
        <v>2.035451624</v>
      </c>
    </row>
    <row r="931">
      <c r="A931" s="5">
        <f>IFERROR(__xludf.DUMMYFUNCTION("""COMPUTED_VALUE"""),39448.0)</f>
        <v>39448</v>
      </c>
      <c r="B931" s="6" t="str">
        <f>IFERROR(__xludf.DUMMYFUNCTION("""COMPUTED_VALUE"""),"gpc_servicios_sociales_pib")</f>
        <v>gpc_servicios_sociales_pib</v>
      </c>
      <c r="C931" s="6">
        <f>IFERROR(__xludf.DUMMYFUNCTION("""COMPUTED_VALUE"""),21.7096765135007)</f>
        <v>21.70967651</v>
      </c>
    </row>
    <row r="932">
      <c r="A932" s="5">
        <f>IFERROR(__xludf.DUMMYFUNCTION("""COMPUTED_VALUE"""),39448.0)</f>
        <v>39448</v>
      </c>
      <c r="B932" s="6" t="str">
        <f>IFERROR(__xludf.DUMMYFUNCTION("""COMPUTED_VALUE"""),"gpc_educacion_basica_pib")</f>
        <v>gpc_educacion_basica_pib</v>
      </c>
      <c r="C932" s="6">
        <f>IFERROR(__xludf.DUMMYFUNCTION("""COMPUTED_VALUE"""),3.37383135930142)</f>
        <v>3.373831359</v>
      </c>
    </row>
    <row r="933">
      <c r="A933" s="5">
        <f>IFERROR(__xludf.DUMMYFUNCTION("""COMPUTED_VALUE"""),39448.0)</f>
        <v>39448</v>
      </c>
      <c r="B933" s="6" t="str">
        <f>IFERROR(__xludf.DUMMYFUNCTION("""COMPUTED_VALUE"""),"gpc_educacion_universitaria_pib")</f>
        <v>gpc_educacion_universitaria_pib</v>
      </c>
      <c r="C933" s="6">
        <f>IFERROR(__xludf.DUMMYFUNCTION("""COMPUTED_VALUE"""),0.994412973274662)</f>
        <v>0.9944129733</v>
      </c>
    </row>
    <row r="934">
      <c r="A934" s="5">
        <f>IFERROR(__xludf.DUMMYFUNCTION("""COMPUTED_VALUE"""),39448.0)</f>
        <v>39448</v>
      </c>
      <c r="B934" s="6" t="str">
        <f>IFERROR(__xludf.DUMMYFUNCTION("""COMPUTED_VALUE"""),"gpc_ciencia_tecnica_pib")</f>
        <v>gpc_ciencia_tecnica_pib</v>
      </c>
      <c r="C934" s="6">
        <f>IFERROR(__xludf.DUMMYFUNCTION("""COMPUTED_VALUE"""),0.237905497884278)</f>
        <v>0.2379054979</v>
      </c>
    </row>
    <row r="935">
      <c r="A935" s="5">
        <f>IFERROR(__xludf.DUMMYFUNCTION("""COMPUTED_VALUE"""),39448.0)</f>
        <v>39448</v>
      </c>
      <c r="B935" s="6" t="str">
        <f>IFERROR(__xludf.DUMMYFUNCTION("""COMPUTED_VALUE"""),"gpc_cultura_pib")</f>
        <v>gpc_cultura_pib</v>
      </c>
      <c r="C935" s="6">
        <f>IFERROR(__xludf.DUMMYFUNCTION("""COMPUTED_VALUE"""),0.168468312429542)</f>
        <v>0.1684683124</v>
      </c>
    </row>
    <row r="936">
      <c r="A936" s="5">
        <f>IFERROR(__xludf.DUMMYFUNCTION("""COMPUTED_VALUE"""),39448.0)</f>
        <v>39448</v>
      </c>
      <c r="B936" s="6" t="str">
        <f>IFERROR(__xludf.DUMMYFUNCTION("""COMPUTED_VALUE"""),"gpc_educacion_cultura_sin_discriminar_pib")</f>
        <v>gpc_educacion_cultura_sin_discriminar_pib</v>
      </c>
      <c r="C936" s="6">
        <f>IFERROR(__xludf.DUMMYFUNCTION("""COMPUTED_VALUE"""),0.539968768176282)</f>
        <v>0.5399687682</v>
      </c>
    </row>
    <row r="937">
      <c r="A937" s="5">
        <f>IFERROR(__xludf.DUMMYFUNCTION("""COMPUTED_VALUE"""),39448.0)</f>
        <v>39448</v>
      </c>
      <c r="B937" s="6" t="str">
        <f>IFERROR(__xludf.DUMMYFUNCTION("""COMPUTED_VALUE"""),"gpc_atencion_salud_pib")</f>
        <v>gpc_atencion_salud_pib</v>
      </c>
      <c r="C937" s="6">
        <f>IFERROR(__xludf.DUMMYFUNCTION("""COMPUTED_VALUE"""),1.96239499875311)</f>
        <v>1.962394999</v>
      </c>
    </row>
    <row r="938">
      <c r="A938" s="5">
        <f>IFERROR(__xludf.DUMMYFUNCTION("""COMPUTED_VALUE"""),39448.0)</f>
        <v>39448</v>
      </c>
      <c r="B938" s="6" t="str">
        <f>IFERROR(__xludf.DUMMYFUNCTION("""COMPUTED_VALUE"""),"gpc_obras_sociales_salud_pib")</f>
        <v>gpc_obras_sociales_salud_pib</v>
      </c>
      <c r="C938" s="6">
        <f>IFERROR(__xludf.DUMMYFUNCTION("""COMPUTED_VALUE"""),1.9700361078487)</f>
        <v>1.970036108</v>
      </c>
    </row>
    <row r="939">
      <c r="A939" s="5">
        <f>IFERROR(__xludf.DUMMYFUNCTION("""COMPUTED_VALUE"""),39448.0)</f>
        <v>39448</v>
      </c>
      <c r="B939" s="6" t="str">
        <f>IFERROR(__xludf.DUMMYFUNCTION("""COMPUTED_VALUE"""),"gpc_inssjyp_salud_pib")</f>
        <v>gpc_inssjyp_salud_pib</v>
      </c>
      <c r="C939" s="6">
        <f>IFERROR(__xludf.DUMMYFUNCTION("""COMPUTED_VALUE"""),0.634112742574472)</f>
        <v>0.6341127426</v>
      </c>
    </row>
    <row r="940">
      <c r="A940" s="5">
        <f>IFERROR(__xludf.DUMMYFUNCTION("""COMPUTED_VALUE"""),39448.0)</f>
        <v>39448</v>
      </c>
      <c r="B940" s="6" t="str">
        <f>IFERROR(__xludf.DUMMYFUNCTION("""COMPUTED_VALUE"""),"gpc_agua_alcantarillado_pib")</f>
        <v>gpc_agua_alcantarillado_pib</v>
      </c>
      <c r="C940" s="6">
        <f>IFERROR(__xludf.DUMMYFUNCTION("""COMPUTED_VALUE"""),0.396276633557117)</f>
        <v>0.3962766336</v>
      </c>
    </row>
    <row r="941">
      <c r="A941" s="5">
        <f>IFERROR(__xludf.DUMMYFUNCTION("""COMPUTED_VALUE"""),39448.0)</f>
        <v>39448</v>
      </c>
      <c r="B941" s="6" t="str">
        <f>IFERROR(__xludf.DUMMYFUNCTION("""COMPUTED_VALUE"""),"gpc_vivienda_urbanismo_pib")</f>
        <v>gpc_vivienda_urbanismo_pib</v>
      </c>
      <c r="C941" s="6">
        <f>IFERROR(__xludf.DUMMYFUNCTION("""COMPUTED_VALUE"""),0.848704456774765)</f>
        <v>0.8487044568</v>
      </c>
    </row>
    <row r="942">
      <c r="A942" s="5">
        <f>IFERROR(__xludf.DUMMYFUNCTION("""COMPUTED_VALUE"""),39448.0)</f>
        <v>39448</v>
      </c>
      <c r="B942" s="6" t="str">
        <f>IFERROR(__xludf.DUMMYFUNCTION("""COMPUTED_VALUE"""),"gpc_promocion_asistencia_social_pib")</f>
        <v>gpc_promocion_asistencia_social_pib</v>
      </c>
      <c r="C942" s="6">
        <f>IFERROR(__xludf.DUMMYFUNCTION("""COMPUTED_VALUE"""),1.16500387811405)</f>
        <v>1.165003878</v>
      </c>
    </row>
    <row r="943">
      <c r="A943" s="5">
        <f>IFERROR(__xludf.DUMMYFUNCTION("""COMPUTED_VALUE"""),39448.0)</f>
        <v>39448</v>
      </c>
      <c r="B943" s="6" t="str">
        <f>IFERROR(__xludf.DUMMYFUNCTION("""COMPUTED_VALUE"""),"gpc_obras_sociales_prestaciones_pib")</f>
        <v>gpc_obras_sociales_prestaciones_pib</v>
      </c>
      <c r="C943" s="6">
        <f>IFERROR(__xludf.DUMMYFUNCTION("""COMPUTED_VALUE"""),0.090523670202329)</f>
        <v>0.0905236702</v>
      </c>
    </row>
    <row r="944">
      <c r="A944" s="5">
        <f>IFERROR(__xludf.DUMMYFUNCTION("""COMPUTED_VALUE"""),39448.0)</f>
        <v>39448</v>
      </c>
      <c r="B944" s="6" t="str">
        <f>IFERROR(__xludf.DUMMYFUNCTION("""COMPUTED_VALUE"""),"gpc_inssjyp_prestaciones_pib")</f>
        <v>gpc_inssjyp_prestaciones_pib</v>
      </c>
      <c r="C944" s="6">
        <f>IFERROR(__xludf.DUMMYFUNCTION("""COMPUTED_VALUE"""),0.173788060644438)</f>
        <v>0.1737880606</v>
      </c>
    </row>
    <row r="945">
      <c r="A945" s="5">
        <f>IFERROR(__xludf.DUMMYFUNCTION("""COMPUTED_VALUE"""),39448.0)</f>
        <v>39448</v>
      </c>
      <c r="B945" s="6" t="str">
        <f>IFERROR(__xludf.DUMMYFUNCTION("""COMPUTED_VALUE"""),"gpc_prevision_social_pib")</f>
        <v>gpc_prevision_social_pib</v>
      </c>
      <c r="C945" s="6">
        <f>IFERROR(__xludf.DUMMYFUNCTION("""COMPUTED_VALUE"""),7.45324634302831)</f>
        <v>7.453246343</v>
      </c>
    </row>
    <row r="946">
      <c r="A946" s="5">
        <f>IFERROR(__xludf.DUMMYFUNCTION("""COMPUTED_VALUE"""),39448.0)</f>
        <v>39448</v>
      </c>
      <c r="B946" s="6" t="str">
        <f>IFERROR(__xludf.DUMMYFUNCTION("""COMPUTED_VALUE"""),"gpc_programas_empleo_pib")</f>
        <v>gpc_programas_empleo_pib</v>
      </c>
      <c r="C946" s="6">
        <f>IFERROR(__xludf.DUMMYFUNCTION("""COMPUTED_VALUE"""),0.368630218000629)</f>
        <v>0.368630218</v>
      </c>
    </row>
    <row r="947">
      <c r="A947" s="5">
        <f>IFERROR(__xludf.DUMMYFUNCTION("""COMPUTED_VALUE"""),39448.0)</f>
        <v>39448</v>
      </c>
      <c r="B947" s="6" t="str">
        <f>IFERROR(__xludf.DUMMYFUNCTION("""COMPUTED_VALUE"""),"gpc_asignaciones_familiares_pib")</f>
        <v>gpc_asignaciones_familiares_pib</v>
      </c>
      <c r="C947" s="6">
        <f>IFERROR(__xludf.DUMMYFUNCTION("""COMPUTED_VALUE"""),0.559033148398323)</f>
        <v>0.5590331484</v>
      </c>
    </row>
    <row r="948">
      <c r="A948" s="5">
        <f>IFERROR(__xludf.DUMMYFUNCTION("""COMPUTED_VALUE"""),39448.0)</f>
        <v>39448</v>
      </c>
      <c r="B948" s="6" t="str">
        <f>IFERROR(__xludf.DUMMYFUNCTION("""COMPUTED_VALUE"""),"gpc_otros_servicios_urbanos_pib")</f>
        <v>gpc_otros_servicios_urbanos_pib</v>
      </c>
      <c r="C948" s="6">
        <f>IFERROR(__xludf.DUMMYFUNCTION("""COMPUTED_VALUE"""),0.773339344538261)</f>
        <v>0.7733393445</v>
      </c>
    </row>
    <row r="949">
      <c r="A949" s="5">
        <f>IFERROR(__xludf.DUMMYFUNCTION("""COMPUTED_VALUE"""),39448.0)</f>
        <v>39448</v>
      </c>
      <c r="B949" s="6" t="str">
        <f>IFERROR(__xludf.DUMMYFUNCTION("""COMPUTED_VALUE"""),"gpc_servicios_economicos_pib")</f>
        <v>gpc_servicios_economicos_pib</v>
      </c>
      <c r="C949" s="6">
        <f>IFERROR(__xludf.DUMMYFUNCTION("""COMPUTED_VALUE"""),5.09930597378636)</f>
        <v>5.099305974</v>
      </c>
    </row>
    <row r="950">
      <c r="A950" s="5">
        <f>IFERROR(__xludf.DUMMYFUNCTION("""COMPUTED_VALUE"""),39448.0)</f>
        <v>39448</v>
      </c>
      <c r="B950" s="6" t="str">
        <f>IFERROR(__xludf.DUMMYFUNCTION("""COMPUTED_VALUE"""),"gpc_produccion_primaria_pib")</f>
        <v>gpc_produccion_primaria_pib</v>
      </c>
      <c r="C950" s="6">
        <f>IFERROR(__xludf.DUMMYFUNCTION("""COMPUTED_VALUE"""),0.683599065561913)</f>
        <v>0.6835990656</v>
      </c>
    </row>
    <row r="951">
      <c r="A951" s="5">
        <f>IFERROR(__xludf.DUMMYFUNCTION("""COMPUTED_VALUE"""),39448.0)</f>
        <v>39448</v>
      </c>
      <c r="B951" s="6" t="str">
        <f>IFERROR(__xludf.DUMMYFUNCTION("""COMPUTED_VALUE"""),"gpc_energia_combustible_pib")</f>
        <v>gpc_energia_combustible_pib</v>
      </c>
      <c r="C951" s="6">
        <f>IFERROR(__xludf.DUMMYFUNCTION("""COMPUTED_VALUE"""),1.85724238236106)</f>
        <v>1.857242382</v>
      </c>
    </row>
    <row r="952">
      <c r="A952" s="5">
        <f>IFERROR(__xludf.DUMMYFUNCTION("""COMPUTED_VALUE"""),39448.0)</f>
        <v>39448</v>
      </c>
      <c r="B952" s="6" t="str">
        <f>IFERROR(__xludf.DUMMYFUNCTION("""COMPUTED_VALUE"""),"gpc_industria_pib")</f>
        <v>gpc_industria_pib</v>
      </c>
      <c r="C952" s="6">
        <f>IFERROR(__xludf.DUMMYFUNCTION("""COMPUTED_VALUE"""),0.0918328410148723)</f>
        <v>0.09183284101</v>
      </c>
    </row>
    <row r="953">
      <c r="A953" s="5">
        <f>IFERROR(__xludf.DUMMYFUNCTION("""COMPUTED_VALUE"""),39448.0)</f>
        <v>39448</v>
      </c>
      <c r="B953" s="6" t="str">
        <f>IFERROR(__xludf.DUMMYFUNCTION("""COMPUTED_VALUE"""),"gpc_transporte_pib")</f>
        <v>gpc_transporte_pib</v>
      </c>
      <c r="C953" s="6">
        <f>IFERROR(__xludf.DUMMYFUNCTION("""COMPUTED_VALUE"""),2.15307156496892)</f>
        <v>2.153071565</v>
      </c>
    </row>
    <row r="954">
      <c r="A954" s="5">
        <f>IFERROR(__xludf.DUMMYFUNCTION("""COMPUTED_VALUE"""),39448.0)</f>
        <v>39448</v>
      </c>
      <c r="B954" s="6" t="str">
        <f>IFERROR(__xludf.DUMMYFUNCTION("""COMPUTED_VALUE"""),"gpc_comunicaciones_pib")</f>
        <v>gpc_comunicaciones_pib</v>
      </c>
      <c r="C954" s="6">
        <f>IFERROR(__xludf.DUMMYFUNCTION("""COMPUTED_VALUE"""),0.0852742170327872)</f>
        <v>0.08527421703</v>
      </c>
    </row>
    <row r="955">
      <c r="A955" s="5">
        <f>IFERROR(__xludf.DUMMYFUNCTION("""COMPUTED_VALUE"""),39448.0)</f>
        <v>39448</v>
      </c>
      <c r="B955" s="6" t="str">
        <f>IFERROR(__xludf.DUMMYFUNCTION("""COMPUTED_VALUE"""),"gpc_otros_servicios_economicos_pib")</f>
        <v>gpc_otros_servicios_economicos_pib</v>
      </c>
      <c r="C955" s="6">
        <f>IFERROR(__xludf.DUMMYFUNCTION("""COMPUTED_VALUE"""),0.228285902846799)</f>
        <v>0.2282859028</v>
      </c>
    </row>
    <row r="956">
      <c r="A956" s="5">
        <f>IFERROR(__xludf.DUMMYFUNCTION("""COMPUTED_VALUE"""),39448.0)</f>
        <v>39448</v>
      </c>
      <c r="B956" s="6" t="str">
        <f>IFERROR(__xludf.DUMMYFUNCTION("""COMPUTED_VALUE"""),"gpc_servicios_deuda_publica_pib")</f>
        <v>gpc_servicios_deuda_publica_pib</v>
      </c>
      <c r="C956" s="6">
        <f>IFERROR(__xludf.DUMMYFUNCTION("""COMPUTED_VALUE"""),2.01547937471286)</f>
        <v>2.015479375</v>
      </c>
    </row>
    <row r="957">
      <c r="A957" s="5">
        <f>IFERROR(__xludf.DUMMYFUNCTION("""COMPUTED_VALUE"""),39448.0)</f>
        <v>39448</v>
      </c>
      <c r="B957" s="6"/>
      <c r="C957" s="6"/>
    </row>
    <row r="958">
      <c r="A958" s="5">
        <f>IFERROR(__xludf.DUMMYFUNCTION("""COMPUTED_VALUE"""),39448.0)</f>
        <v>39448</v>
      </c>
      <c r="B958" s="6"/>
      <c r="C958" s="6"/>
    </row>
    <row r="959">
      <c r="A959" s="5">
        <f>IFERROR(__xludf.DUMMYFUNCTION("""COMPUTED_VALUE"""),39814.0)</f>
        <v>39814</v>
      </c>
      <c r="B959" s="6" t="str">
        <f>IFERROR(__xludf.DUMMYFUNCTION("""COMPUTED_VALUE"""),"gpc_pib")</f>
        <v>gpc_pib</v>
      </c>
      <c r="C959" s="6">
        <f>IFERROR(__xludf.DUMMYFUNCTION("""COMPUTED_VALUE"""),39.864566260578)</f>
        <v>39.86456626</v>
      </c>
    </row>
    <row r="960">
      <c r="A960" s="5">
        <f>IFERROR(__xludf.DUMMYFUNCTION("""COMPUTED_VALUE"""),39814.0)</f>
        <v>39814</v>
      </c>
      <c r="B960" s="6" t="str">
        <f>IFERROR(__xludf.DUMMYFUNCTION("""COMPUTED_VALUE"""),"gpc_funcionamiento_estado_pib")</f>
        <v>gpc_funcionamiento_estado_pib</v>
      </c>
      <c r="C960" s="6">
        <f>IFERROR(__xludf.DUMMYFUNCTION("""COMPUTED_VALUE"""),6.45830778578436)</f>
        <v>6.458307786</v>
      </c>
    </row>
    <row r="961">
      <c r="A961" s="5">
        <f>IFERROR(__xludf.DUMMYFUNCTION("""COMPUTED_VALUE"""),39814.0)</f>
        <v>39814</v>
      </c>
      <c r="B961" s="6" t="str">
        <f>IFERROR(__xludf.DUMMYFUNCTION("""COMPUTED_VALUE"""),"gpc_administracion_general_pib")</f>
        <v>gpc_administracion_general_pib</v>
      </c>
      <c r="C961" s="6">
        <f>IFERROR(__xludf.DUMMYFUNCTION("""COMPUTED_VALUE"""),3.15003210498031)</f>
        <v>3.150032105</v>
      </c>
    </row>
    <row r="962">
      <c r="A962" s="5">
        <f>IFERROR(__xludf.DUMMYFUNCTION("""COMPUTED_VALUE"""),39814.0)</f>
        <v>39814</v>
      </c>
      <c r="B962" s="6" t="str">
        <f>IFERROR(__xludf.DUMMYFUNCTION("""COMPUTED_VALUE"""),"gpc_justicia_pib")</f>
        <v>gpc_justicia_pib</v>
      </c>
      <c r="C962" s="6">
        <f>IFERROR(__xludf.DUMMYFUNCTION("""COMPUTED_VALUE"""),0.902811245055187)</f>
        <v>0.9028112451</v>
      </c>
    </row>
    <row r="963">
      <c r="A963" s="5">
        <f>IFERROR(__xludf.DUMMYFUNCTION("""COMPUTED_VALUE"""),39814.0)</f>
        <v>39814</v>
      </c>
      <c r="B963" s="6" t="str">
        <f>IFERROR(__xludf.DUMMYFUNCTION("""COMPUTED_VALUE"""),"gpc_defensa_seguridad_pib")</f>
        <v>gpc_defensa_seguridad_pib</v>
      </c>
      <c r="C963" s="6">
        <f>IFERROR(__xludf.DUMMYFUNCTION("""COMPUTED_VALUE"""),2.40546443574886)</f>
        <v>2.405464436</v>
      </c>
    </row>
    <row r="964">
      <c r="A964" s="5">
        <f>IFERROR(__xludf.DUMMYFUNCTION("""COMPUTED_VALUE"""),39814.0)</f>
        <v>39814</v>
      </c>
      <c r="B964" s="6" t="str">
        <f>IFERROR(__xludf.DUMMYFUNCTION("""COMPUTED_VALUE"""),"gpc_servicios_sociales_pib")</f>
        <v>gpc_servicios_sociales_pib</v>
      </c>
      <c r="C964" s="6">
        <f>IFERROR(__xludf.DUMMYFUNCTION("""COMPUTED_VALUE"""),25.9314126004414)</f>
        <v>25.9314126</v>
      </c>
    </row>
    <row r="965">
      <c r="A965" s="5">
        <f>IFERROR(__xludf.DUMMYFUNCTION("""COMPUTED_VALUE"""),39814.0)</f>
        <v>39814</v>
      </c>
      <c r="B965" s="6" t="str">
        <f>IFERROR(__xludf.DUMMYFUNCTION("""COMPUTED_VALUE"""),"gpc_educacion_basica_pib")</f>
        <v>gpc_educacion_basica_pib</v>
      </c>
      <c r="C965" s="6">
        <f>IFERROR(__xludf.DUMMYFUNCTION("""COMPUTED_VALUE"""),3.80999962793811)</f>
        <v>3.809999628</v>
      </c>
    </row>
    <row r="966">
      <c r="A966" s="5">
        <f>IFERROR(__xludf.DUMMYFUNCTION("""COMPUTED_VALUE"""),39814.0)</f>
        <v>39814</v>
      </c>
      <c r="B966" s="6" t="str">
        <f>IFERROR(__xludf.DUMMYFUNCTION("""COMPUTED_VALUE"""),"gpc_educacion_universitaria_pib")</f>
        <v>gpc_educacion_universitaria_pib</v>
      </c>
      <c r="C966" s="6">
        <f>IFERROR(__xludf.DUMMYFUNCTION("""COMPUTED_VALUE"""),1.20885333733865)</f>
        <v>1.208853337</v>
      </c>
    </row>
    <row r="967">
      <c r="A967" s="5">
        <f>IFERROR(__xludf.DUMMYFUNCTION("""COMPUTED_VALUE"""),39814.0)</f>
        <v>39814</v>
      </c>
      <c r="B967" s="6" t="str">
        <f>IFERROR(__xludf.DUMMYFUNCTION("""COMPUTED_VALUE"""),"gpc_ciencia_tecnica_pib")</f>
        <v>gpc_ciencia_tecnica_pib</v>
      </c>
      <c r="C967" s="6">
        <f>IFERROR(__xludf.DUMMYFUNCTION("""COMPUTED_VALUE"""),0.289465386320847)</f>
        <v>0.2894653863</v>
      </c>
    </row>
    <row r="968">
      <c r="A968" s="5">
        <f>IFERROR(__xludf.DUMMYFUNCTION("""COMPUTED_VALUE"""),39814.0)</f>
        <v>39814</v>
      </c>
      <c r="B968" s="6" t="str">
        <f>IFERROR(__xludf.DUMMYFUNCTION("""COMPUTED_VALUE"""),"gpc_cultura_pib")</f>
        <v>gpc_cultura_pib</v>
      </c>
      <c r="C968" s="6">
        <f>IFERROR(__xludf.DUMMYFUNCTION("""COMPUTED_VALUE"""),0.206248151544321)</f>
        <v>0.2062481515</v>
      </c>
    </row>
    <row r="969">
      <c r="A969" s="5">
        <f>IFERROR(__xludf.DUMMYFUNCTION("""COMPUTED_VALUE"""),39814.0)</f>
        <v>39814</v>
      </c>
      <c r="B969" s="6" t="str">
        <f>IFERROR(__xludf.DUMMYFUNCTION("""COMPUTED_VALUE"""),"gpc_educacion_cultura_sin_discriminar_pib")</f>
        <v>gpc_educacion_cultura_sin_discriminar_pib</v>
      </c>
      <c r="C969" s="6">
        <f>IFERROR(__xludf.DUMMYFUNCTION("""COMPUTED_VALUE"""),0.603714211983509)</f>
        <v>0.603714212</v>
      </c>
    </row>
    <row r="970">
      <c r="A970" s="5">
        <f>IFERROR(__xludf.DUMMYFUNCTION("""COMPUTED_VALUE"""),39814.0)</f>
        <v>39814</v>
      </c>
      <c r="B970" s="6" t="str">
        <f>IFERROR(__xludf.DUMMYFUNCTION("""COMPUTED_VALUE"""),"gpc_atencion_salud_pib")</f>
        <v>gpc_atencion_salud_pib</v>
      </c>
      <c r="C970" s="6">
        <f>IFERROR(__xludf.DUMMYFUNCTION("""COMPUTED_VALUE"""),2.37174815136425)</f>
        <v>2.371748151</v>
      </c>
    </row>
    <row r="971">
      <c r="A971" s="5">
        <f>IFERROR(__xludf.DUMMYFUNCTION("""COMPUTED_VALUE"""),39814.0)</f>
        <v>39814</v>
      </c>
      <c r="B971" s="6" t="str">
        <f>IFERROR(__xludf.DUMMYFUNCTION("""COMPUTED_VALUE"""),"gpc_obras_sociales_salud_pib")</f>
        <v>gpc_obras_sociales_salud_pib</v>
      </c>
      <c r="C971" s="6">
        <f>IFERROR(__xludf.DUMMYFUNCTION("""COMPUTED_VALUE"""),2.58085636276935)</f>
        <v>2.580856363</v>
      </c>
    </row>
    <row r="972">
      <c r="A972" s="5">
        <f>IFERROR(__xludf.DUMMYFUNCTION("""COMPUTED_VALUE"""),39814.0)</f>
        <v>39814</v>
      </c>
      <c r="B972" s="6" t="str">
        <f>IFERROR(__xludf.DUMMYFUNCTION("""COMPUTED_VALUE"""),"gpc_inssjyp_salud_pib")</f>
        <v>gpc_inssjyp_salud_pib</v>
      </c>
      <c r="C972" s="6">
        <f>IFERROR(__xludf.DUMMYFUNCTION("""COMPUTED_VALUE"""),0.847111435503241)</f>
        <v>0.8471114355</v>
      </c>
    </row>
    <row r="973">
      <c r="A973" s="5">
        <f>IFERROR(__xludf.DUMMYFUNCTION("""COMPUTED_VALUE"""),39814.0)</f>
        <v>39814</v>
      </c>
      <c r="B973" s="6" t="str">
        <f>IFERROR(__xludf.DUMMYFUNCTION("""COMPUTED_VALUE"""),"gpc_agua_alcantarillado_pib")</f>
        <v>gpc_agua_alcantarillado_pib</v>
      </c>
      <c r="C973" s="6">
        <f>IFERROR(__xludf.DUMMYFUNCTION("""COMPUTED_VALUE"""),0.510411742013139)</f>
        <v>0.510411742</v>
      </c>
    </row>
    <row r="974">
      <c r="A974" s="5">
        <f>IFERROR(__xludf.DUMMYFUNCTION("""COMPUTED_VALUE"""),39814.0)</f>
        <v>39814</v>
      </c>
      <c r="B974" s="6" t="str">
        <f>IFERROR(__xludf.DUMMYFUNCTION("""COMPUTED_VALUE"""),"gpc_vivienda_urbanismo_pib")</f>
        <v>gpc_vivienda_urbanismo_pib</v>
      </c>
      <c r="C974" s="6">
        <f>IFERROR(__xludf.DUMMYFUNCTION("""COMPUTED_VALUE"""),1.04292529029561)</f>
        <v>1.04292529</v>
      </c>
    </row>
    <row r="975">
      <c r="A975" s="5">
        <f>IFERROR(__xludf.DUMMYFUNCTION("""COMPUTED_VALUE"""),39814.0)</f>
        <v>39814</v>
      </c>
      <c r="B975" s="6" t="str">
        <f>IFERROR(__xludf.DUMMYFUNCTION("""COMPUTED_VALUE"""),"gpc_promocion_asistencia_social_pib")</f>
        <v>gpc_promocion_asistencia_social_pib</v>
      </c>
      <c r="C975" s="6">
        <f>IFERROR(__xludf.DUMMYFUNCTION("""COMPUTED_VALUE"""),1.38537371633097)</f>
        <v>1.385373716</v>
      </c>
    </row>
    <row r="976">
      <c r="A976" s="5">
        <f>IFERROR(__xludf.DUMMYFUNCTION("""COMPUTED_VALUE"""),39814.0)</f>
        <v>39814</v>
      </c>
      <c r="B976" s="6" t="str">
        <f>IFERROR(__xludf.DUMMYFUNCTION("""COMPUTED_VALUE"""),"gpc_obras_sociales_prestaciones_pib")</f>
        <v>gpc_obras_sociales_prestaciones_pib</v>
      </c>
      <c r="C976" s="6">
        <f>IFERROR(__xludf.DUMMYFUNCTION("""COMPUTED_VALUE"""),0.127036713476017)</f>
        <v>0.1270367135</v>
      </c>
    </row>
    <row r="977">
      <c r="A977" s="5">
        <f>IFERROR(__xludf.DUMMYFUNCTION("""COMPUTED_VALUE"""),39814.0)</f>
        <v>39814</v>
      </c>
      <c r="B977" s="6" t="str">
        <f>IFERROR(__xludf.DUMMYFUNCTION("""COMPUTED_VALUE"""),"gpc_inssjyp_prestaciones_pib")</f>
        <v>gpc_inssjyp_prestaciones_pib</v>
      </c>
      <c r="C977" s="6">
        <f>IFERROR(__xludf.DUMMYFUNCTION("""COMPUTED_VALUE"""),0.197058320305484)</f>
        <v>0.1970583203</v>
      </c>
    </row>
    <row r="978">
      <c r="A978" s="5">
        <f>IFERROR(__xludf.DUMMYFUNCTION("""COMPUTED_VALUE"""),39814.0)</f>
        <v>39814</v>
      </c>
      <c r="B978" s="6" t="str">
        <f>IFERROR(__xludf.DUMMYFUNCTION("""COMPUTED_VALUE"""),"gpc_prevision_social_pib")</f>
        <v>gpc_prevision_social_pib</v>
      </c>
      <c r="C978" s="6">
        <f>IFERROR(__xludf.DUMMYFUNCTION("""COMPUTED_VALUE"""),8.83054647749482)</f>
        <v>8.830546477</v>
      </c>
    </row>
    <row r="979">
      <c r="A979" s="5">
        <f>IFERROR(__xludf.DUMMYFUNCTION("""COMPUTED_VALUE"""),39814.0)</f>
        <v>39814</v>
      </c>
      <c r="B979" s="6" t="str">
        <f>IFERROR(__xludf.DUMMYFUNCTION("""COMPUTED_VALUE"""),"gpc_programas_empleo_pib")</f>
        <v>gpc_programas_empleo_pib</v>
      </c>
      <c r="C979" s="6">
        <f>IFERROR(__xludf.DUMMYFUNCTION("""COMPUTED_VALUE"""),0.398414546049386)</f>
        <v>0.398414546</v>
      </c>
    </row>
    <row r="980">
      <c r="A980" s="5">
        <f>IFERROR(__xludf.DUMMYFUNCTION("""COMPUTED_VALUE"""),39814.0)</f>
        <v>39814</v>
      </c>
      <c r="B980" s="6" t="str">
        <f>IFERROR(__xludf.DUMMYFUNCTION("""COMPUTED_VALUE"""),"gpc_asignaciones_familiares_pib")</f>
        <v>gpc_asignaciones_familiares_pib</v>
      </c>
      <c r="C980" s="6">
        <f>IFERROR(__xludf.DUMMYFUNCTION("""COMPUTED_VALUE"""),0.689048592526543)</f>
        <v>0.6890485925</v>
      </c>
    </row>
    <row r="981">
      <c r="A981" s="5">
        <f>IFERROR(__xludf.DUMMYFUNCTION("""COMPUTED_VALUE"""),39814.0)</f>
        <v>39814</v>
      </c>
      <c r="B981" s="6" t="str">
        <f>IFERROR(__xludf.DUMMYFUNCTION("""COMPUTED_VALUE"""),"gpc_otros_servicios_urbanos_pib")</f>
        <v>gpc_otros_servicios_urbanos_pib</v>
      </c>
      <c r="C981" s="6">
        <f>IFERROR(__xludf.DUMMYFUNCTION("""COMPUTED_VALUE"""),0.832600537187116)</f>
        <v>0.8326005372</v>
      </c>
    </row>
    <row r="982">
      <c r="A982" s="5">
        <f>IFERROR(__xludf.DUMMYFUNCTION("""COMPUTED_VALUE"""),39814.0)</f>
        <v>39814</v>
      </c>
      <c r="B982" s="6" t="str">
        <f>IFERROR(__xludf.DUMMYFUNCTION("""COMPUTED_VALUE"""),"gpc_servicios_economicos_pib")</f>
        <v>gpc_servicios_economicos_pib</v>
      </c>
      <c r="C982" s="6">
        <f>IFERROR(__xludf.DUMMYFUNCTION("""COMPUTED_VALUE"""),5.21951456648154)</f>
        <v>5.219514566</v>
      </c>
    </row>
    <row r="983">
      <c r="A983" s="5">
        <f>IFERROR(__xludf.DUMMYFUNCTION("""COMPUTED_VALUE"""),39814.0)</f>
        <v>39814</v>
      </c>
      <c r="B983" s="6" t="str">
        <f>IFERROR(__xludf.DUMMYFUNCTION("""COMPUTED_VALUE"""),"gpc_produccion_primaria_pib")</f>
        <v>gpc_produccion_primaria_pib</v>
      </c>
      <c r="C983" s="6">
        <f>IFERROR(__xludf.DUMMYFUNCTION("""COMPUTED_VALUE"""),0.617234208112189)</f>
        <v>0.6172342081</v>
      </c>
    </row>
    <row r="984">
      <c r="A984" s="5">
        <f>IFERROR(__xludf.DUMMYFUNCTION("""COMPUTED_VALUE"""),39814.0)</f>
        <v>39814</v>
      </c>
      <c r="B984" s="6" t="str">
        <f>IFERROR(__xludf.DUMMYFUNCTION("""COMPUTED_VALUE"""),"gpc_energia_combustible_pib")</f>
        <v>gpc_energia_combustible_pib</v>
      </c>
      <c r="C984" s="6">
        <f>IFERROR(__xludf.DUMMYFUNCTION("""COMPUTED_VALUE"""),1.64282105025245)</f>
        <v>1.64282105</v>
      </c>
    </row>
    <row r="985">
      <c r="A985" s="5">
        <f>IFERROR(__xludf.DUMMYFUNCTION("""COMPUTED_VALUE"""),39814.0)</f>
        <v>39814</v>
      </c>
      <c r="B985" s="6" t="str">
        <f>IFERROR(__xludf.DUMMYFUNCTION("""COMPUTED_VALUE"""),"gpc_industria_pib")</f>
        <v>gpc_industria_pib</v>
      </c>
      <c r="C985" s="6">
        <f>IFERROR(__xludf.DUMMYFUNCTION("""COMPUTED_VALUE"""),0.103371486364576)</f>
        <v>0.1033714864</v>
      </c>
    </row>
    <row r="986">
      <c r="A986" s="5">
        <f>IFERROR(__xludf.DUMMYFUNCTION("""COMPUTED_VALUE"""),39814.0)</f>
        <v>39814</v>
      </c>
      <c r="B986" s="6" t="str">
        <f>IFERROR(__xludf.DUMMYFUNCTION("""COMPUTED_VALUE"""),"gpc_transporte_pib")</f>
        <v>gpc_transporte_pib</v>
      </c>
      <c r="C986" s="6">
        <f>IFERROR(__xludf.DUMMYFUNCTION("""COMPUTED_VALUE"""),2.50387238696864)</f>
        <v>2.503872387</v>
      </c>
    </row>
    <row r="987">
      <c r="A987" s="5">
        <f>IFERROR(__xludf.DUMMYFUNCTION("""COMPUTED_VALUE"""),39814.0)</f>
        <v>39814</v>
      </c>
      <c r="B987" s="6" t="str">
        <f>IFERROR(__xludf.DUMMYFUNCTION("""COMPUTED_VALUE"""),"gpc_comunicaciones_pib")</f>
        <v>gpc_comunicaciones_pib</v>
      </c>
      <c r="C987" s="6">
        <f>IFERROR(__xludf.DUMMYFUNCTION("""COMPUTED_VALUE"""),0.126999575528308)</f>
        <v>0.1269995755</v>
      </c>
    </row>
    <row r="988">
      <c r="A988" s="5">
        <f>IFERROR(__xludf.DUMMYFUNCTION("""COMPUTED_VALUE"""),39814.0)</f>
        <v>39814</v>
      </c>
      <c r="B988" s="6" t="str">
        <f>IFERROR(__xludf.DUMMYFUNCTION("""COMPUTED_VALUE"""),"gpc_otros_servicios_economicos_pib")</f>
        <v>gpc_otros_servicios_economicos_pib</v>
      </c>
      <c r="C988" s="6">
        <f>IFERROR(__xludf.DUMMYFUNCTION("""COMPUTED_VALUE"""),0.225215859255372)</f>
        <v>0.2252158593</v>
      </c>
    </row>
    <row r="989">
      <c r="A989" s="5">
        <f>IFERROR(__xludf.DUMMYFUNCTION("""COMPUTED_VALUE"""),39814.0)</f>
        <v>39814</v>
      </c>
      <c r="B989" s="6" t="str">
        <f>IFERROR(__xludf.DUMMYFUNCTION("""COMPUTED_VALUE"""),"gpc_servicios_deuda_publica_pib")</f>
        <v>gpc_servicios_deuda_publica_pib</v>
      </c>
      <c r="C989" s="6">
        <f>IFERROR(__xludf.DUMMYFUNCTION("""COMPUTED_VALUE"""),2.25533130787075)</f>
        <v>2.255331308</v>
      </c>
    </row>
    <row r="990">
      <c r="A990" s="5">
        <f>IFERROR(__xludf.DUMMYFUNCTION("""COMPUTED_VALUE"""),39814.0)</f>
        <v>39814</v>
      </c>
      <c r="B990" s="6"/>
      <c r="C990" s="6"/>
    </row>
    <row r="991">
      <c r="A991" s="5">
        <f>IFERROR(__xludf.DUMMYFUNCTION("""COMPUTED_VALUE"""),39814.0)</f>
        <v>39814</v>
      </c>
      <c r="B991" s="6"/>
      <c r="C991" s="6"/>
    </row>
    <row r="992">
      <c r="A992" s="5">
        <f>IFERROR(__xludf.DUMMYFUNCTION("""COMPUTED_VALUE"""),40179.0)</f>
        <v>40179</v>
      </c>
      <c r="B992" s="6" t="str">
        <f>IFERROR(__xludf.DUMMYFUNCTION("""COMPUTED_VALUE"""),"gpc_pib")</f>
        <v>gpc_pib</v>
      </c>
      <c r="C992" s="6">
        <f>IFERROR(__xludf.DUMMYFUNCTION("""COMPUTED_VALUE"""),38.2701152914514)</f>
        <v>38.27011529</v>
      </c>
    </row>
    <row r="993">
      <c r="A993" s="5">
        <f>IFERROR(__xludf.DUMMYFUNCTION("""COMPUTED_VALUE"""),40179.0)</f>
        <v>40179</v>
      </c>
      <c r="B993" s="6" t="str">
        <f>IFERROR(__xludf.DUMMYFUNCTION("""COMPUTED_VALUE"""),"gpc_funcionamiento_estado_pib")</f>
        <v>gpc_funcionamiento_estado_pib</v>
      </c>
      <c r="C993" s="6">
        <f>IFERROR(__xludf.DUMMYFUNCTION("""COMPUTED_VALUE"""),6.19765678837581)</f>
        <v>6.197656788</v>
      </c>
    </row>
    <row r="994">
      <c r="A994" s="5">
        <f>IFERROR(__xludf.DUMMYFUNCTION("""COMPUTED_VALUE"""),40179.0)</f>
        <v>40179</v>
      </c>
      <c r="B994" s="6" t="str">
        <f>IFERROR(__xludf.DUMMYFUNCTION("""COMPUTED_VALUE"""),"gpc_administracion_general_pib")</f>
        <v>gpc_administracion_general_pib</v>
      </c>
      <c r="C994" s="6">
        <f>IFERROR(__xludf.DUMMYFUNCTION("""COMPUTED_VALUE"""),2.94750955018514)</f>
        <v>2.94750955</v>
      </c>
    </row>
    <row r="995">
      <c r="A995" s="5">
        <f>IFERROR(__xludf.DUMMYFUNCTION("""COMPUTED_VALUE"""),40179.0)</f>
        <v>40179</v>
      </c>
      <c r="B995" s="6" t="str">
        <f>IFERROR(__xludf.DUMMYFUNCTION("""COMPUTED_VALUE"""),"gpc_justicia_pib")</f>
        <v>gpc_justicia_pib</v>
      </c>
      <c r="C995" s="6">
        <f>IFERROR(__xludf.DUMMYFUNCTION("""COMPUTED_VALUE"""),0.871806163518575)</f>
        <v>0.8718061635</v>
      </c>
    </row>
    <row r="996">
      <c r="A996" s="5">
        <f>IFERROR(__xludf.DUMMYFUNCTION("""COMPUTED_VALUE"""),40179.0)</f>
        <v>40179</v>
      </c>
      <c r="B996" s="6" t="str">
        <f>IFERROR(__xludf.DUMMYFUNCTION("""COMPUTED_VALUE"""),"gpc_defensa_seguridad_pib")</f>
        <v>gpc_defensa_seguridad_pib</v>
      </c>
      <c r="C996" s="6">
        <f>IFERROR(__xludf.DUMMYFUNCTION("""COMPUTED_VALUE"""),2.37834107467209)</f>
        <v>2.378341075</v>
      </c>
    </row>
    <row r="997">
      <c r="A997" s="5">
        <f>IFERROR(__xludf.DUMMYFUNCTION("""COMPUTED_VALUE"""),40179.0)</f>
        <v>40179</v>
      </c>
      <c r="B997" s="6" t="str">
        <f>IFERROR(__xludf.DUMMYFUNCTION("""COMPUTED_VALUE"""),"gpc_servicios_sociales_pib")</f>
        <v>gpc_servicios_sociales_pib</v>
      </c>
      <c r="C997" s="6">
        <f>IFERROR(__xludf.DUMMYFUNCTION("""COMPUTED_VALUE"""),24.7640475901848)</f>
        <v>24.76404759</v>
      </c>
    </row>
    <row r="998">
      <c r="A998" s="5">
        <f>IFERROR(__xludf.DUMMYFUNCTION("""COMPUTED_VALUE"""),40179.0)</f>
        <v>40179</v>
      </c>
      <c r="B998" s="6" t="str">
        <f>IFERROR(__xludf.DUMMYFUNCTION("""COMPUTED_VALUE"""),"gpc_educacion_basica_pib")</f>
        <v>gpc_educacion_basica_pib</v>
      </c>
      <c r="C998" s="6">
        <f>IFERROR(__xludf.DUMMYFUNCTION("""COMPUTED_VALUE"""),3.48812956054585)</f>
        <v>3.488129561</v>
      </c>
    </row>
    <row r="999">
      <c r="A999" s="5">
        <f>IFERROR(__xludf.DUMMYFUNCTION("""COMPUTED_VALUE"""),40179.0)</f>
        <v>40179</v>
      </c>
      <c r="B999" s="6" t="str">
        <f>IFERROR(__xludf.DUMMYFUNCTION("""COMPUTED_VALUE"""),"gpc_educacion_universitaria_pib")</f>
        <v>gpc_educacion_universitaria_pib</v>
      </c>
      <c r="C999" s="6">
        <f>IFERROR(__xludf.DUMMYFUNCTION("""COMPUTED_VALUE"""),1.15325165046777)</f>
        <v>1.15325165</v>
      </c>
    </row>
    <row r="1000">
      <c r="A1000" s="5">
        <f>IFERROR(__xludf.DUMMYFUNCTION("""COMPUTED_VALUE"""),40179.0)</f>
        <v>40179</v>
      </c>
      <c r="B1000" s="6" t="str">
        <f>IFERROR(__xludf.DUMMYFUNCTION("""COMPUTED_VALUE"""),"gpc_ciencia_tecnica_pib")</f>
        <v>gpc_ciencia_tecnica_pib</v>
      </c>
      <c r="C1000" s="6">
        <f>IFERROR(__xludf.DUMMYFUNCTION("""COMPUTED_VALUE"""),0.269822609921411)</f>
        <v>0.2698226099</v>
      </c>
    </row>
    <row r="1001">
      <c r="A1001" s="5">
        <f>IFERROR(__xludf.DUMMYFUNCTION("""COMPUTED_VALUE"""),40179.0)</f>
        <v>40179</v>
      </c>
      <c r="B1001" s="6" t="str">
        <f>IFERROR(__xludf.DUMMYFUNCTION("""COMPUTED_VALUE"""),"gpc_cultura_pib")</f>
        <v>gpc_cultura_pib</v>
      </c>
      <c r="C1001" s="6">
        <f>IFERROR(__xludf.DUMMYFUNCTION("""COMPUTED_VALUE"""),0.206793401316504)</f>
        <v>0.2067934013</v>
      </c>
    </row>
    <row r="1002">
      <c r="A1002" s="5">
        <f>IFERROR(__xludf.DUMMYFUNCTION("""COMPUTED_VALUE"""),40179.0)</f>
        <v>40179</v>
      </c>
      <c r="B1002" s="6" t="str">
        <f>IFERROR(__xludf.DUMMYFUNCTION("""COMPUTED_VALUE"""),"gpc_educacion_cultura_sin_discriminar_pib")</f>
        <v>gpc_educacion_cultura_sin_discriminar_pib</v>
      </c>
      <c r="C1002" s="6">
        <f>IFERROR(__xludf.DUMMYFUNCTION("""COMPUTED_VALUE"""),0.495620910207351)</f>
        <v>0.4956209102</v>
      </c>
    </row>
    <row r="1003">
      <c r="A1003" s="5">
        <f>IFERROR(__xludf.DUMMYFUNCTION("""COMPUTED_VALUE"""),40179.0)</f>
        <v>40179</v>
      </c>
      <c r="B1003" s="6" t="str">
        <f>IFERROR(__xludf.DUMMYFUNCTION("""COMPUTED_VALUE"""),"gpc_atencion_salud_pib")</f>
        <v>gpc_atencion_salud_pib</v>
      </c>
      <c r="C1003" s="6">
        <f>IFERROR(__xludf.DUMMYFUNCTION("""COMPUTED_VALUE"""),2.24890858472346)</f>
        <v>2.248908585</v>
      </c>
    </row>
    <row r="1004">
      <c r="A1004" s="5">
        <f>IFERROR(__xludf.DUMMYFUNCTION("""COMPUTED_VALUE"""),40179.0)</f>
        <v>40179</v>
      </c>
      <c r="B1004" s="6" t="str">
        <f>IFERROR(__xludf.DUMMYFUNCTION("""COMPUTED_VALUE"""),"gpc_obras_sociales_salud_pib")</f>
        <v>gpc_obras_sociales_salud_pib</v>
      </c>
      <c r="C1004" s="6">
        <f>IFERROR(__xludf.DUMMYFUNCTION("""COMPUTED_VALUE"""),2.52593312225193)</f>
        <v>2.525933122</v>
      </c>
    </row>
    <row r="1005">
      <c r="A1005" s="5">
        <f>IFERROR(__xludf.DUMMYFUNCTION("""COMPUTED_VALUE"""),40179.0)</f>
        <v>40179</v>
      </c>
      <c r="B1005" s="6" t="str">
        <f>IFERROR(__xludf.DUMMYFUNCTION("""COMPUTED_VALUE"""),"gpc_inssjyp_salud_pib")</f>
        <v>gpc_inssjyp_salud_pib</v>
      </c>
      <c r="C1005" s="6">
        <f>IFERROR(__xludf.DUMMYFUNCTION("""COMPUTED_VALUE"""),0.839372709227616)</f>
        <v>0.8393727092</v>
      </c>
    </row>
    <row r="1006">
      <c r="A1006" s="5">
        <f>IFERROR(__xludf.DUMMYFUNCTION("""COMPUTED_VALUE"""),40179.0)</f>
        <v>40179</v>
      </c>
      <c r="B1006" s="6" t="str">
        <f>IFERROR(__xludf.DUMMYFUNCTION("""COMPUTED_VALUE"""),"gpc_agua_alcantarillado_pib")</f>
        <v>gpc_agua_alcantarillado_pib</v>
      </c>
      <c r="C1006" s="6">
        <f>IFERROR(__xludf.DUMMYFUNCTION("""COMPUTED_VALUE"""),0.520247516453483)</f>
        <v>0.5202475165</v>
      </c>
    </row>
    <row r="1007">
      <c r="A1007" s="5">
        <f>IFERROR(__xludf.DUMMYFUNCTION("""COMPUTED_VALUE"""),40179.0)</f>
        <v>40179</v>
      </c>
      <c r="B1007" s="6" t="str">
        <f>IFERROR(__xludf.DUMMYFUNCTION("""COMPUTED_VALUE"""),"gpc_vivienda_urbanismo_pib")</f>
        <v>gpc_vivienda_urbanismo_pib</v>
      </c>
      <c r="C1007" s="6">
        <f>IFERROR(__xludf.DUMMYFUNCTION("""COMPUTED_VALUE"""),0.935975539257669)</f>
        <v>0.9359755393</v>
      </c>
    </row>
    <row r="1008">
      <c r="A1008" s="5">
        <f>IFERROR(__xludf.DUMMYFUNCTION("""COMPUTED_VALUE"""),40179.0)</f>
        <v>40179</v>
      </c>
      <c r="B1008" s="6" t="str">
        <f>IFERROR(__xludf.DUMMYFUNCTION("""COMPUTED_VALUE"""),"gpc_promocion_asistencia_social_pib")</f>
        <v>gpc_promocion_asistencia_social_pib</v>
      </c>
      <c r="C1008" s="6">
        <f>IFERROR(__xludf.DUMMYFUNCTION("""COMPUTED_VALUE"""),1.33854600554749)</f>
        <v>1.338546006</v>
      </c>
    </row>
    <row r="1009">
      <c r="A1009" s="5">
        <f>IFERROR(__xludf.DUMMYFUNCTION("""COMPUTED_VALUE"""),40179.0)</f>
        <v>40179</v>
      </c>
      <c r="B1009" s="6" t="str">
        <f>IFERROR(__xludf.DUMMYFUNCTION("""COMPUTED_VALUE"""),"gpc_obras_sociales_prestaciones_pib")</f>
        <v>gpc_obras_sociales_prestaciones_pib</v>
      </c>
      <c r="C1009" s="6">
        <f>IFERROR(__xludf.DUMMYFUNCTION("""COMPUTED_VALUE"""),0.124834069276533)</f>
        <v>0.1248340693</v>
      </c>
    </row>
    <row r="1010">
      <c r="A1010" s="5">
        <f>IFERROR(__xludf.DUMMYFUNCTION("""COMPUTED_VALUE"""),40179.0)</f>
        <v>40179</v>
      </c>
      <c r="B1010" s="6" t="str">
        <f>IFERROR(__xludf.DUMMYFUNCTION("""COMPUTED_VALUE"""),"gpc_inssjyp_prestaciones_pib")</f>
        <v>gpc_inssjyp_prestaciones_pib</v>
      </c>
      <c r="C1010" s="6">
        <f>IFERROR(__xludf.DUMMYFUNCTION("""COMPUTED_VALUE"""),0.184114431992099)</f>
        <v>0.184114432</v>
      </c>
    </row>
    <row r="1011">
      <c r="A1011" s="5">
        <f>IFERROR(__xludf.DUMMYFUNCTION("""COMPUTED_VALUE"""),40179.0)</f>
        <v>40179</v>
      </c>
      <c r="B1011" s="6" t="str">
        <f>IFERROR(__xludf.DUMMYFUNCTION("""COMPUTED_VALUE"""),"gpc_prevision_social_pib")</f>
        <v>gpc_prevision_social_pib</v>
      </c>
      <c r="C1011" s="6">
        <f>IFERROR(__xludf.DUMMYFUNCTION("""COMPUTED_VALUE"""),8.41209150218817)</f>
        <v>8.412091502</v>
      </c>
    </row>
    <row r="1012">
      <c r="A1012" s="5">
        <f>IFERROR(__xludf.DUMMYFUNCTION("""COMPUTED_VALUE"""),40179.0)</f>
        <v>40179</v>
      </c>
      <c r="B1012" s="6" t="str">
        <f>IFERROR(__xludf.DUMMYFUNCTION("""COMPUTED_VALUE"""),"gpc_programas_empleo_pib")</f>
        <v>gpc_programas_empleo_pib</v>
      </c>
      <c r="C1012" s="6">
        <f>IFERROR(__xludf.DUMMYFUNCTION("""COMPUTED_VALUE"""),0.285002296584542)</f>
        <v>0.2850022966</v>
      </c>
    </row>
    <row r="1013">
      <c r="A1013" s="5">
        <f>IFERROR(__xludf.DUMMYFUNCTION("""COMPUTED_VALUE"""),40179.0)</f>
        <v>40179</v>
      </c>
      <c r="B1013" s="6" t="str">
        <f>IFERROR(__xludf.DUMMYFUNCTION("""COMPUTED_VALUE"""),"gpc_asignaciones_familiares_pib")</f>
        <v>gpc_asignaciones_familiares_pib</v>
      </c>
      <c r="C1013" s="6">
        <f>IFERROR(__xludf.DUMMYFUNCTION("""COMPUTED_VALUE"""),0.909066790849425)</f>
        <v>0.9090667908</v>
      </c>
    </row>
    <row r="1014">
      <c r="A1014" s="5">
        <f>IFERROR(__xludf.DUMMYFUNCTION("""COMPUTED_VALUE"""),40179.0)</f>
        <v>40179</v>
      </c>
      <c r="B1014" s="6" t="str">
        <f>IFERROR(__xludf.DUMMYFUNCTION("""COMPUTED_VALUE"""),"gpc_otros_servicios_urbanos_pib")</f>
        <v>gpc_otros_servicios_urbanos_pib</v>
      </c>
      <c r="C1014" s="6">
        <f>IFERROR(__xludf.DUMMYFUNCTION("""COMPUTED_VALUE"""),0.826336889373487)</f>
        <v>0.8263368894</v>
      </c>
    </row>
    <row r="1015">
      <c r="A1015" s="5">
        <f>IFERROR(__xludf.DUMMYFUNCTION("""COMPUTED_VALUE"""),40179.0)</f>
        <v>40179</v>
      </c>
      <c r="B1015" s="6" t="str">
        <f>IFERROR(__xludf.DUMMYFUNCTION("""COMPUTED_VALUE"""),"gpc_servicios_economicos_pib")</f>
        <v>gpc_servicios_economicos_pib</v>
      </c>
      <c r="C1015" s="6">
        <f>IFERROR(__xludf.DUMMYFUNCTION("""COMPUTED_VALUE"""),5.7177131812187)</f>
        <v>5.717713181</v>
      </c>
    </row>
    <row r="1016">
      <c r="A1016" s="5">
        <f>IFERROR(__xludf.DUMMYFUNCTION("""COMPUTED_VALUE"""),40179.0)</f>
        <v>40179</v>
      </c>
      <c r="B1016" s="6" t="str">
        <f>IFERROR(__xludf.DUMMYFUNCTION("""COMPUTED_VALUE"""),"gpc_produccion_primaria_pib")</f>
        <v>gpc_produccion_primaria_pib</v>
      </c>
      <c r="C1016" s="6">
        <f>IFERROR(__xludf.DUMMYFUNCTION("""COMPUTED_VALUE"""),0.622283472004678)</f>
        <v>0.622283472</v>
      </c>
    </row>
    <row r="1017">
      <c r="A1017" s="5">
        <f>IFERROR(__xludf.DUMMYFUNCTION("""COMPUTED_VALUE"""),40179.0)</f>
        <v>40179</v>
      </c>
      <c r="B1017" s="6" t="str">
        <f>IFERROR(__xludf.DUMMYFUNCTION("""COMPUTED_VALUE"""),"gpc_energia_combustible_pib")</f>
        <v>gpc_energia_combustible_pib</v>
      </c>
      <c r="C1017" s="6">
        <f>IFERROR(__xludf.DUMMYFUNCTION("""COMPUTED_VALUE"""),1.92577879957479)</f>
        <v>1.9257788</v>
      </c>
    </row>
    <row r="1018">
      <c r="A1018" s="5">
        <f>IFERROR(__xludf.DUMMYFUNCTION("""COMPUTED_VALUE"""),40179.0)</f>
        <v>40179</v>
      </c>
      <c r="B1018" s="6" t="str">
        <f>IFERROR(__xludf.DUMMYFUNCTION("""COMPUTED_VALUE"""),"gpc_industria_pib")</f>
        <v>gpc_industria_pib</v>
      </c>
      <c r="C1018" s="6">
        <f>IFERROR(__xludf.DUMMYFUNCTION("""COMPUTED_VALUE"""),0.113019911356371)</f>
        <v>0.1130199114</v>
      </c>
    </row>
    <row r="1019">
      <c r="A1019" s="5">
        <f>IFERROR(__xludf.DUMMYFUNCTION("""COMPUTED_VALUE"""),40179.0)</f>
        <v>40179</v>
      </c>
      <c r="B1019" s="6" t="str">
        <f>IFERROR(__xludf.DUMMYFUNCTION("""COMPUTED_VALUE"""),"gpc_transporte_pib")</f>
        <v>gpc_transporte_pib</v>
      </c>
      <c r="C1019" s="6">
        <f>IFERROR(__xludf.DUMMYFUNCTION("""COMPUTED_VALUE"""),2.55050434245033)</f>
        <v>2.550504342</v>
      </c>
    </row>
    <row r="1020">
      <c r="A1020" s="5">
        <f>IFERROR(__xludf.DUMMYFUNCTION("""COMPUTED_VALUE"""),40179.0)</f>
        <v>40179</v>
      </c>
      <c r="B1020" s="6" t="str">
        <f>IFERROR(__xludf.DUMMYFUNCTION("""COMPUTED_VALUE"""),"gpc_comunicaciones_pib")</f>
        <v>gpc_comunicaciones_pib</v>
      </c>
      <c r="C1020" s="6">
        <f>IFERROR(__xludf.DUMMYFUNCTION("""COMPUTED_VALUE"""),0.227039106002937)</f>
        <v>0.227039106</v>
      </c>
    </row>
    <row r="1021">
      <c r="A1021" s="5">
        <f>IFERROR(__xludf.DUMMYFUNCTION("""COMPUTED_VALUE"""),40179.0)</f>
        <v>40179</v>
      </c>
      <c r="B1021" s="6" t="str">
        <f>IFERROR(__xludf.DUMMYFUNCTION("""COMPUTED_VALUE"""),"gpc_otros_servicios_economicos_pib")</f>
        <v>gpc_otros_servicios_economicos_pib</v>
      </c>
      <c r="C1021" s="6">
        <f>IFERROR(__xludf.DUMMYFUNCTION("""COMPUTED_VALUE"""),0.279087549829586)</f>
        <v>0.2790875498</v>
      </c>
    </row>
    <row r="1022">
      <c r="A1022" s="5">
        <f>IFERROR(__xludf.DUMMYFUNCTION("""COMPUTED_VALUE"""),40179.0)</f>
        <v>40179</v>
      </c>
      <c r="B1022" s="6" t="str">
        <f>IFERROR(__xludf.DUMMYFUNCTION("""COMPUTED_VALUE"""),"gpc_servicios_deuda_publica_pib")</f>
        <v>gpc_servicios_deuda_publica_pib</v>
      </c>
      <c r="C1022" s="6">
        <f>IFERROR(__xludf.DUMMYFUNCTION("""COMPUTED_VALUE"""),1.59069773167205)</f>
        <v>1.590697732</v>
      </c>
    </row>
    <row r="1023">
      <c r="A1023" s="5">
        <f>IFERROR(__xludf.DUMMYFUNCTION("""COMPUTED_VALUE"""),40179.0)</f>
        <v>40179</v>
      </c>
      <c r="B1023" s="6"/>
      <c r="C1023" s="6"/>
    </row>
    <row r="1024">
      <c r="A1024" s="5">
        <f>IFERROR(__xludf.DUMMYFUNCTION("""COMPUTED_VALUE"""),40179.0)</f>
        <v>40179</v>
      </c>
      <c r="B1024" s="6"/>
      <c r="C1024" s="6"/>
    </row>
    <row r="1025">
      <c r="A1025" s="5">
        <f>IFERROR(__xludf.DUMMYFUNCTION("""COMPUTED_VALUE"""),40544.0)</f>
        <v>40544</v>
      </c>
      <c r="B1025" s="6" t="str">
        <f>IFERROR(__xludf.DUMMYFUNCTION("""COMPUTED_VALUE"""),"gpc_pib")</f>
        <v>gpc_pib</v>
      </c>
      <c r="C1025" s="6">
        <f>IFERROR(__xludf.DUMMYFUNCTION("""COMPUTED_VALUE"""),40.0066990608701)</f>
        <v>40.00669906</v>
      </c>
    </row>
    <row r="1026">
      <c r="A1026" s="5">
        <f>IFERROR(__xludf.DUMMYFUNCTION("""COMPUTED_VALUE"""),40544.0)</f>
        <v>40544</v>
      </c>
      <c r="B1026" s="6" t="str">
        <f>IFERROR(__xludf.DUMMYFUNCTION("""COMPUTED_VALUE"""),"gpc_funcionamiento_estado_pib")</f>
        <v>gpc_funcionamiento_estado_pib</v>
      </c>
      <c r="C1026" s="6">
        <f>IFERROR(__xludf.DUMMYFUNCTION("""COMPUTED_VALUE"""),6.2306996134201)</f>
        <v>6.230699613</v>
      </c>
    </row>
    <row r="1027">
      <c r="A1027" s="5">
        <f>IFERROR(__xludf.DUMMYFUNCTION("""COMPUTED_VALUE"""),40544.0)</f>
        <v>40544</v>
      </c>
      <c r="B1027" s="6" t="str">
        <f>IFERROR(__xludf.DUMMYFUNCTION("""COMPUTED_VALUE"""),"gpc_administracion_general_pib")</f>
        <v>gpc_administracion_general_pib</v>
      </c>
      <c r="C1027" s="6">
        <f>IFERROR(__xludf.DUMMYFUNCTION("""COMPUTED_VALUE"""),2.90777863598195)</f>
        <v>2.907778636</v>
      </c>
    </row>
    <row r="1028">
      <c r="A1028" s="5">
        <f>IFERROR(__xludf.DUMMYFUNCTION("""COMPUTED_VALUE"""),40544.0)</f>
        <v>40544</v>
      </c>
      <c r="B1028" s="6" t="str">
        <f>IFERROR(__xludf.DUMMYFUNCTION("""COMPUTED_VALUE"""),"gpc_justicia_pib")</f>
        <v>gpc_justicia_pib</v>
      </c>
      <c r="C1028" s="6">
        <f>IFERROR(__xludf.DUMMYFUNCTION("""COMPUTED_VALUE"""),0.926321751433171)</f>
        <v>0.9263217514</v>
      </c>
    </row>
    <row r="1029">
      <c r="A1029" s="5">
        <f>IFERROR(__xludf.DUMMYFUNCTION("""COMPUTED_VALUE"""),40544.0)</f>
        <v>40544</v>
      </c>
      <c r="B1029" s="6" t="str">
        <f>IFERROR(__xludf.DUMMYFUNCTION("""COMPUTED_VALUE"""),"gpc_defensa_seguridad_pib")</f>
        <v>gpc_defensa_seguridad_pib</v>
      </c>
      <c r="C1029" s="6">
        <f>IFERROR(__xludf.DUMMYFUNCTION("""COMPUTED_VALUE"""),2.39659922600497)</f>
        <v>2.396599226</v>
      </c>
    </row>
    <row r="1030">
      <c r="A1030" s="5">
        <f>IFERROR(__xludf.DUMMYFUNCTION("""COMPUTED_VALUE"""),40544.0)</f>
        <v>40544</v>
      </c>
      <c r="B1030" s="6" t="str">
        <f>IFERROR(__xludf.DUMMYFUNCTION("""COMPUTED_VALUE"""),"gpc_servicios_sociales_pib")</f>
        <v>gpc_servicios_sociales_pib</v>
      </c>
      <c r="C1030" s="6">
        <f>IFERROR(__xludf.DUMMYFUNCTION("""COMPUTED_VALUE"""),25.6163463695942)</f>
        <v>25.61634637</v>
      </c>
    </row>
    <row r="1031">
      <c r="A1031" s="5">
        <f>IFERROR(__xludf.DUMMYFUNCTION("""COMPUTED_VALUE"""),40544.0)</f>
        <v>40544</v>
      </c>
      <c r="B1031" s="6" t="str">
        <f>IFERROR(__xludf.DUMMYFUNCTION("""COMPUTED_VALUE"""),"gpc_educacion_basica_pib")</f>
        <v>gpc_educacion_basica_pib</v>
      </c>
      <c r="C1031" s="6">
        <f>IFERROR(__xludf.DUMMYFUNCTION("""COMPUTED_VALUE"""),3.79508143173662)</f>
        <v>3.795081432</v>
      </c>
    </row>
    <row r="1032">
      <c r="A1032" s="5">
        <f>IFERROR(__xludf.DUMMYFUNCTION("""COMPUTED_VALUE"""),40544.0)</f>
        <v>40544</v>
      </c>
      <c r="B1032" s="6" t="str">
        <f>IFERROR(__xludf.DUMMYFUNCTION("""COMPUTED_VALUE"""),"gpc_educacion_universitaria_pib")</f>
        <v>gpc_educacion_universitaria_pib</v>
      </c>
      <c r="C1032" s="6">
        <f>IFERROR(__xludf.DUMMYFUNCTION("""COMPUTED_VALUE"""),1.17579132661573)</f>
        <v>1.175791327</v>
      </c>
    </row>
    <row r="1033">
      <c r="A1033" s="5">
        <f>IFERROR(__xludf.DUMMYFUNCTION("""COMPUTED_VALUE"""),40544.0)</f>
        <v>40544</v>
      </c>
      <c r="B1033" s="6" t="str">
        <f>IFERROR(__xludf.DUMMYFUNCTION("""COMPUTED_VALUE"""),"gpc_ciencia_tecnica_pib")</f>
        <v>gpc_ciencia_tecnica_pib</v>
      </c>
      <c r="C1033" s="6">
        <f>IFERROR(__xludf.DUMMYFUNCTION("""COMPUTED_VALUE"""),0.267019808386573)</f>
        <v>0.2670198084</v>
      </c>
    </row>
    <row r="1034">
      <c r="A1034" s="5">
        <f>IFERROR(__xludf.DUMMYFUNCTION("""COMPUTED_VALUE"""),40544.0)</f>
        <v>40544</v>
      </c>
      <c r="B1034" s="6" t="str">
        <f>IFERROR(__xludf.DUMMYFUNCTION("""COMPUTED_VALUE"""),"gpc_cultura_pib")</f>
        <v>gpc_cultura_pib</v>
      </c>
      <c r="C1034" s="6">
        <f>IFERROR(__xludf.DUMMYFUNCTION("""COMPUTED_VALUE"""),0.21060460856473)</f>
        <v>0.2106046086</v>
      </c>
    </row>
    <row r="1035">
      <c r="A1035" s="5">
        <f>IFERROR(__xludf.DUMMYFUNCTION("""COMPUTED_VALUE"""),40544.0)</f>
        <v>40544</v>
      </c>
      <c r="B1035" s="6" t="str">
        <f>IFERROR(__xludf.DUMMYFUNCTION("""COMPUTED_VALUE"""),"gpc_educacion_cultura_sin_discriminar_pib")</f>
        <v>gpc_educacion_cultura_sin_discriminar_pib</v>
      </c>
      <c r="C1035" s="6">
        <f>IFERROR(__xludf.DUMMYFUNCTION("""COMPUTED_VALUE"""),0.533993238017419)</f>
        <v>0.533993238</v>
      </c>
    </row>
    <row r="1036">
      <c r="A1036" s="5">
        <f>IFERROR(__xludf.DUMMYFUNCTION("""COMPUTED_VALUE"""),40544.0)</f>
        <v>40544</v>
      </c>
      <c r="B1036" s="6" t="str">
        <f>IFERROR(__xludf.DUMMYFUNCTION("""COMPUTED_VALUE"""),"gpc_atencion_salud_pib")</f>
        <v>gpc_atencion_salud_pib</v>
      </c>
      <c r="C1036" s="6">
        <f>IFERROR(__xludf.DUMMYFUNCTION("""COMPUTED_VALUE"""),2.33914973035098)</f>
        <v>2.33914973</v>
      </c>
    </row>
    <row r="1037">
      <c r="A1037" s="5">
        <f>IFERROR(__xludf.DUMMYFUNCTION("""COMPUTED_VALUE"""),40544.0)</f>
        <v>40544</v>
      </c>
      <c r="B1037" s="6" t="str">
        <f>IFERROR(__xludf.DUMMYFUNCTION("""COMPUTED_VALUE"""),"gpc_obras_sociales_salud_pib")</f>
        <v>gpc_obras_sociales_salud_pib</v>
      </c>
      <c r="C1037" s="6">
        <f>IFERROR(__xludf.DUMMYFUNCTION("""COMPUTED_VALUE"""),2.63952082092299)</f>
        <v>2.639520821</v>
      </c>
    </row>
    <row r="1038">
      <c r="A1038" s="5">
        <f>IFERROR(__xludf.DUMMYFUNCTION("""COMPUTED_VALUE"""),40544.0)</f>
        <v>40544</v>
      </c>
      <c r="B1038" s="6" t="str">
        <f>IFERROR(__xludf.DUMMYFUNCTION("""COMPUTED_VALUE"""),"gpc_inssjyp_salud_pib")</f>
        <v>gpc_inssjyp_salud_pib</v>
      </c>
      <c r="C1038" s="6">
        <f>IFERROR(__xludf.DUMMYFUNCTION("""COMPUTED_VALUE"""),0.808764763067436)</f>
        <v>0.8087647631</v>
      </c>
    </row>
    <row r="1039">
      <c r="A1039" s="5">
        <f>IFERROR(__xludf.DUMMYFUNCTION("""COMPUTED_VALUE"""),40544.0)</f>
        <v>40544</v>
      </c>
      <c r="B1039" s="6" t="str">
        <f>IFERROR(__xludf.DUMMYFUNCTION("""COMPUTED_VALUE"""),"gpc_agua_alcantarillado_pib")</f>
        <v>gpc_agua_alcantarillado_pib</v>
      </c>
      <c r="C1039" s="6">
        <f>IFERROR(__xludf.DUMMYFUNCTION("""COMPUTED_VALUE"""),0.592376592148648)</f>
        <v>0.5923765921</v>
      </c>
    </row>
    <row r="1040">
      <c r="A1040" s="5">
        <f>IFERROR(__xludf.DUMMYFUNCTION("""COMPUTED_VALUE"""),40544.0)</f>
        <v>40544</v>
      </c>
      <c r="B1040" s="6" t="str">
        <f>IFERROR(__xludf.DUMMYFUNCTION("""COMPUTED_VALUE"""),"gpc_vivienda_urbanismo_pib")</f>
        <v>gpc_vivienda_urbanismo_pib</v>
      </c>
      <c r="C1040" s="6">
        <f>IFERROR(__xludf.DUMMYFUNCTION("""COMPUTED_VALUE"""),0.862152709960091)</f>
        <v>0.86215271</v>
      </c>
    </row>
    <row r="1041">
      <c r="A1041" s="5">
        <f>IFERROR(__xludf.DUMMYFUNCTION("""COMPUTED_VALUE"""),40544.0)</f>
        <v>40544</v>
      </c>
      <c r="B1041" s="6" t="str">
        <f>IFERROR(__xludf.DUMMYFUNCTION("""COMPUTED_VALUE"""),"gpc_promocion_asistencia_social_pib")</f>
        <v>gpc_promocion_asistencia_social_pib</v>
      </c>
      <c r="C1041" s="6">
        <f>IFERROR(__xludf.DUMMYFUNCTION("""COMPUTED_VALUE"""),1.2981177965911)</f>
        <v>1.298117797</v>
      </c>
    </row>
    <row r="1042">
      <c r="A1042" s="5">
        <f>IFERROR(__xludf.DUMMYFUNCTION("""COMPUTED_VALUE"""),40544.0)</f>
        <v>40544</v>
      </c>
      <c r="B1042" s="6" t="str">
        <f>IFERROR(__xludf.DUMMYFUNCTION("""COMPUTED_VALUE"""),"gpc_obras_sociales_prestaciones_pib")</f>
        <v>gpc_obras_sociales_prestaciones_pib</v>
      </c>
      <c r="C1042" s="6">
        <f>IFERROR(__xludf.DUMMYFUNCTION("""COMPUTED_VALUE"""),0.13278916375936)</f>
        <v>0.1327891638</v>
      </c>
    </row>
    <row r="1043">
      <c r="A1043" s="5">
        <f>IFERROR(__xludf.DUMMYFUNCTION("""COMPUTED_VALUE"""),40544.0)</f>
        <v>40544</v>
      </c>
      <c r="B1043" s="6" t="str">
        <f>IFERROR(__xludf.DUMMYFUNCTION("""COMPUTED_VALUE"""),"gpc_inssjyp_prestaciones_pib")</f>
        <v>gpc_inssjyp_prestaciones_pib</v>
      </c>
      <c r="C1043" s="6">
        <f>IFERROR(__xludf.DUMMYFUNCTION("""COMPUTED_VALUE"""),0.267985633941978)</f>
        <v>0.2679856339</v>
      </c>
    </row>
    <row r="1044">
      <c r="A1044" s="5">
        <f>IFERROR(__xludf.DUMMYFUNCTION("""COMPUTED_VALUE"""),40544.0)</f>
        <v>40544</v>
      </c>
      <c r="B1044" s="6" t="str">
        <f>IFERROR(__xludf.DUMMYFUNCTION("""COMPUTED_VALUE"""),"gpc_prevision_social_pib")</f>
        <v>gpc_prevision_social_pib</v>
      </c>
      <c r="C1044" s="6">
        <f>IFERROR(__xludf.DUMMYFUNCTION("""COMPUTED_VALUE"""),8.69429912387795)</f>
        <v>8.694299124</v>
      </c>
    </row>
    <row r="1045">
      <c r="A1045" s="5">
        <f>IFERROR(__xludf.DUMMYFUNCTION("""COMPUTED_VALUE"""),40544.0)</f>
        <v>40544</v>
      </c>
      <c r="B1045" s="6" t="str">
        <f>IFERROR(__xludf.DUMMYFUNCTION("""COMPUTED_VALUE"""),"gpc_programas_empleo_pib")</f>
        <v>gpc_programas_empleo_pib</v>
      </c>
      <c r="C1045" s="6">
        <f>IFERROR(__xludf.DUMMYFUNCTION("""COMPUTED_VALUE"""),0.268481186689189)</f>
        <v>0.2684811867</v>
      </c>
    </row>
    <row r="1046">
      <c r="A1046" s="5">
        <f>IFERROR(__xludf.DUMMYFUNCTION("""COMPUTED_VALUE"""),40544.0)</f>
        <v>40544</v>
      </c>
      <c r="B1046" s="6" t="str">
        <f>IFERROR(__xludf.DUMMYFUNCTION("""COMPUTED_VALUE"""),"gpc_asignaciones_familiares_pib")</f>
        <v>gpc_asignaciones_familiares_pib</v>
      </c>
      <c r="C1046" s="6">
        <f>IFERROR(__xludf.DUMMYFUNCTION("""COMPUTED_VALUE"""),0.920404212129387)</f>
        <v>0.9204042121</v>
      </c>
    </row>
    <row r="1047">
      <c r="A1047" s="5">
        <f>IFERROR(__xludf.DUMMYFUNCTION("""COMPUTED_VALUE"""),40544.0)</f>
        <v>40544</v>
      </c>
      <c r="B1047" s="6" t="str">
        <f>IFERROR(__xludf.DUMMYFUNCTION("""COMPUTED_VALUE"""),"gpc_otros_servicios_urbanos_pib")</f>
        <v>gpc_otros_servicios_urbanos_pib</v>
      </c>
      <c r="C1047" s="6">
        <f>IFERROR(__xludf.DUMMYFUNCTION("""COMPUTED_VALUE"""),0.809814222834028)</f>
        <v>0.8098142228</v>
      </c>
    </row>
    <row r="1048">
      <c r="A1048" s="5">
        <f>IFERROR(__xludf.DUMMYFUNCTION("""COMPUTED_VALUE"""),40544.0)</f>
        <v>40544</v>
      </c>
      <c r="B1048" s="6" t="str">
        <f>IFERROR(__xludf.DUMMYFUNCTION("""COMPUTED_VALUE"""),"gpc_servicios_economicos_pib")</f>
        <v>gpc_servicios_economicos_pib</v>
      </c>
      <c r="C1048" s="6">
        <f>IFERROR(__xludf.DUMMYFUNCTION("""COMPUTED_VALUE"""),6.07026267691545)</f>
        <v>6.070262677</v>
      </c>
    </row>
    <row r="1049">
      <c r="A1049" s="5">
        <f>IFERROR(__xludf.DUMMYFUNCTION("""COMPUTED_VALUE"""),40544.0)</f>
        <v>40544</v>
      </c>
      <c r="B1049" s="6" t="str">
        <f>IFERROR(__xludf.DUMMYFUNCTION("""COMPUTED_VALUE"""),"gpc_produccion_primaria_pib")</f>
        <v>gpc_produccion_primaria_pib</v>
      </c>
      <c r="C1049" s="6">
        <f>IFERROR(__xludf.DUMMYFUNCTION("""COMPUTED_VALUE"""),0.527024819315639)</f>
        <v>0.5270248193</v>
      </c>
    </row>
    <row r="1050">
      <c r="A1050" s="5">
        <f>IFERROR(__xludf.DUMMYFUNCTION("""COMPUTED_VALUE"""),40544.0)</f>
        <v>40544</v>
      </c>
      <c r="B1050" s="6" t="str">
        <f>IFERROR(__xludf.DUMMYFUNCTION("""COMPUTED_VALUE"""),"gpc_energia_combustible_pib")</f>
        <v>gpc_energia_combustible_pib</v>
      </c>
      <c r="C1050" s="6">
        <f>IFERROR(__xludf.DUMMYFUNCTION("""COMPUTED_VALUE"""),2.14082342650323)</f>
        <v>2.140823427</v>
      </c>
    </row>
    <row r="1051">
      <c r="A1051" s="5">
        <f>IFERROR(__xludf.DUMMYFUNCTION("""COMPUTED_VALUE"""),40544.0)</f>
        <v>40544</v>
      </c>
      <c r="B1051" s="6" t="str">
        <f>IFERROR(__xludf.DUMMYFUNCTION("""COMPUTED_VALUE"""),"gpc_industria_pib")</f>
        <v>gpc_industria_pib</v>
      </c>
      <c r="C1051" s="6">
        <f>IFERROR(__xludf.DUMMYFUNCTION("""COMPUTED_VALUE"""),0.106799671204601)</f>
        <v>0.1067996712</v>
      </c>
    </row>
    <row r="1052">
      <c r="A1052" s="5">
        <f>IFERROR(__xludf.DUMMYFUNCTION("""COMPUTED_VALUE"""),40544.0)</f>
        <v>40544</v>
      </c>
      <c r="B1052" s="6" t="str">
        <f>IFERROR(__xludf.DUMMYFUNCTION("""COMPUTED_VALUE"""),"gpc_transporte_pib")</f>
        <v>gpc_transporte_pib</v>
      </c>
      <c r="C1052" s="6">
        <f>IFERROR(__xludf.DUMMYFUNCTION("""COMPUTED_VALUE"""),2.75967541265998)</f>
        <v>2.759675413</v>
      </c>
    </row>
    <row r="1053">
      <c r="A1053" s="5">
        <f>IFERROR(__xludf.DUMMYFUNCTION("""COMPUTED_VALUE"""),40544.0)</f>
        <v>40544</v>
      </c>
      <c r="B1053" s="6" t="str">
        <f>IFERROR(__xludf.DUMMYFUNCTION("""COMPUTED_VALUE"""),"gpc_comunicaciones_pib")</f>
        <v>gpc_comunicaciones_pib</v>
      </c>
      <c r="C1053" s="6">
        <f>IFERROR(__xludf.DUMMYFUNCTION("""COMPUTED_VALUE"""),0.239648743347799)</f>
        <v>0.2396487433</v>
      </c>
    </row>
    <row r="1054">
      <c r="A1054" s="5">
        <f>IFERROR(__xludf.DUMMYFUNCTION("""COMPUTED_VALUE"""),40544.0)</f>
        <v>40544</v>
      </c>
      <c r="B1054" s="6" t="str">
        <f>IFERROR(__xludf.DUMMYFUNCTION("""COMPUTED_VALUE"""),"gpc_otros_servicios_economicos_pib")</f>
        <v>gpc_otros_servicios_economicos_pib</v>
      </c>
      <c r="C1054" s="6">
        <f>IFERROR(__xludf.DUMMYFUNCTION("""COMPUTED_VALUE"""),0.296290603884198)</f>
        <v>0.2962906039</v>
      </c>
    </row>
    <row r="1055">
      <c r="A1055" s="5">
        <f>IFERROR(__xludf.DUMMYFUNCTION("""COMPUTED_VALUE"""),40544.0)</f>
        <v>40544</v>
      </c>
      <c r="B1055" s="6" t="str">
        <f>IFERROR(__xludf.DUMMYFUNCTION("""COMPUTED_VALUE"""),"gpc_servicios_deuda_publica_pib")</f>
        <v>gpc_servicios_deuda_publica_pib</v>
      </c>
      <c r="C1055" s="6">
        <f>IFERROR(__xludf.DUMMYFUNCTION("""COMPUTED_VALUE"""),2.08939040094036)</f>
        <v>2.089390401</v>
      </c>
    </row>
    <row r="1056">
      <c r="A1056" s="5">
        <f>IFERROR(__xludf.DUMMYFUNCTION("""COMPUTED_VALUE"""),40544.0)</f>
        <v>40544</v>
      </c>
      <c r="B1056" s="6"/>
      <c r="C1056" s="6"/>
    </row>
    <row r="1057">
      <c r="A1057" s="5">
        <f>IFERROR(__xludf.DUMMYFUNCTION("""COMPUTED_VALUE"""),40544.0)</f>
        <v>40544</v>
      </c>
      <c r="B1057" s="6"/>
      <c r="C1057" s="6"/>
    </row>
    <row r="1058">
      <c r="A1058" s="5">
        <f>IFERROR(__xludf.DUMMYFUNCTION("""COMPUTED_VALUE"""),40909.0)</f>
        <v>40909</v>
      </c>
      <c r="B1058" s="6" t="str">
        <f>IFERROR(__xludf.DUMMYFUNCTION("""COMPUTED_VALUE"""),"gpc_pib")</f>
        <v>gpc_pib</v>
      </c>
      <c r="C1058" s="6">
        <f>IFERROR(__xludf.DUMMYFUNCTION("""COMPUTED_VALUE"""),41.2792167761168)</f>
        <v>41.27921678</v>
      </c>
    </row>
    <row r="1059">
      <c r="A1059" s="5">
        <f>IFERROR(__xludf.DUMMYFUNCTION("""COMPUTED_VALUE"""),40909.0)</f>
        <v>40909</v>
      </c>
      <c r="B1059" s="6" t="str">
        <f>IFERROR(__xludf.DUMMYFUNCTION("""COMPUTED_VALUE"""),"gpc_funcionamiento_estado_pib")</f>
        <v>gpc_funcionamiento_estado_pib</v>
      </c>
      <c r="C1059" s="6">
        <f>IFERROR(__xludf.DUMMYFUNCTION("""COMPUTED_VALUE"""),6.37354153401644)</f>
        <v>6.373541534</v>
      </c>
    </row>
    <row r="1060">
      <c r="A1060" s="5">
        <f>IFERROR(__xludf.DUMMYFUNCTION("""COMPUTED_VALUE"""),40909.0)</f>
        <v>40909</v>
      </c>
      <c r="B1060" s="6" t="str">
        <f>IFERROR(__xludf.DUMMYFUNCTION("""COMPUTED_VALUE"""),"gpc_administracion_general_pib")</f>
        <v>gpc_administracion_general_pib</v>
      </c>
      <c r="C1060" s="6">
        <f>IFERROR(__xludf.DUMMYFUNCTION("""COMPUTED_VALUE"""),2.87155145028602)</f>
        <v>2.87155145</v>
      </c>
    </row>
    <row r="1061">
      <c r="A1061" s="5">
        <f>IFERROR(__xludf.DUMMYFUNCTION("""COMPUTED_VALUE"""),40909.0)</f>
        <v>40909</v>
      </c>
      <c r="B1061" s="6" t="str">
        <f>IFERROR(__xludf.DUMMYFUNCTION("""COMPUTED_VALUE"""),"gpc_justicia_pib")</f>
        <v>gpc_justicia_pib</v>
      </c>
      <c r="C1061" s="6">
        <f>IFERROR(__xludf.DUMMYFUNCTION("""COMPUTED_VALUE"""),0.999645544939294)</f>
        <v>0.9996455449</v>
      </c>
    </row>
    <row r="1062">
      <c r="A1062" s="5">
        <f>IFERROR(__xludf.DUMMYFUNCTION("""COMPUTED_VALUE"""),40909.0)</f>
        <v>40909</v>
      </c>
      <c r="B1062" s="6" t="str">
        <f>IFERROR(__xludf.DUMMYFUNCTION("""COMPUTED_VALUE"""),"gpc_defensa_seguridad_pib")</f>
        <v>gpc_defensa_seguridad_pib</v>
      </c>
      <c r="C1062" s="6">
        <f>IFERROR(__xludf.DUMMYFUNCTION("""COMPUTED_VALUE"""),2.50234453879113)</f>
        <v>2.502344539</v>
      </c>
    </row>
    <row r="1063">
      <c r="A1063" s="5">
        <f>IFERROR(__xludf.DUMMYFUNCTION("""COMPUTED_VALUE"""),40909.0)</f>
        <v>40909</v>
      </c>
      <c r="B1063" s="6" t="str">
        <f>IFERROR(__xludf.DUMMYFUNCTION("""COMPUTED_VALUE"""),"gpc_servicios_sociales_pib")</f>
        <v>gpc_servicios_sociales_pib</v>
      </c>
      <c r="C1063" s="6">
        <f>IFERROR(__xludf.DUMMYFUNCTION("""COMPUTED_VALUE"""),27.0684219147899)</f>
        <v>27.06842191</v>
      </c>
    </row>
    <row r="1064">
      <c r="A1064" s="5">
        <f>IFERROR(__xludf.DUMMYFUNCTION("""COMPUTED_VALUE"""),40909.0)</f>
        <v>40909</v>
      </c>
      <c r="B1064" s="6" t="str">
        <f>IFERROR(__xludf.DUMMYFUNCTION("""COMPUTED_VALUE"""),"gpc_educacion_basica_pib")</f>
        <v>gpc_educacion_basica_pib</v>
      </c>
      <c r="C1064" s="6">
        <f>IFERROR(__xludf.DUMMYFUNCTION("""COMPUTED_VALUE"""),3.7857832290915)</f>
        <v>3.785783229</v>
      </c>
    </row>
    <row r="1065">
      <c r="A1065" s="5">
        <f>IFERROR(__xludf.DUMMYFUNCTION("""COMPUTED_VALUE"""),40909.0)</f>
        <v>40909</v>
      </c>
      <c r="B1065" s="6" t="str">
        <f>IFERROR(__xludf.DUMMYFUNCTION("""COMPUTED_VALUE"""),"gpc_educacion_universitaria_pib")</f>
        <v>gpc_educacion_universitaria_pib</v>
      </c>
      <c r="C1065" s="6">
        <f>IFERROR(__xludf.DUMMYFUNCTION("""COMPUTED_VALUE"""),1.22036220820971)</f>
        <v>1.220362208</v>
      </c>
    </row>
    <row r="1066">
      <c r="A1066" s="5">
        <f>IFERROR(__xludf.DUMMYFUNCTION("""COMPUTED_VALUE"""),40909.0)</f>
        <v>40909</v>
      </c>
      <c r="B1066" s="6" t="str">
        <f>IFERROR(__xludf.DUMMYFUNCTION("""COMPUTED_VALUE"""),"gpc_ciencia_tecnica_pib")</f>
        <v>gpc_ciencia_tecnica_pib</v>
      </c>
      <c r="C1066" s="6">
        <f>IFERROR(__xludf.DUMMYFUNCTION("""COMPUTED_VALUE"""),0.290250621373112)</f>
        <v>0.2902506214</v>
      </c>
    </row>
    <row r="1067">
      <c r="A1067" s="5">
        <f>IFERROR(__xludf.DUMMYFUNCTION("""COMPUTED_VALUE"""),40909.0)</f>
        <v>40909</v>
      </c>
      <c r="B1067" s="6" t="str">
        <f>IFERROR(__xludf.DUMMYFUNCTION("""COMPUTED_VALUE"""),"gpc_cultura_pib")</f>
        <v>gpc_cultura_pib</v>
      </c>
      <c r="C1067" s="6">
        <f>IFERROR(__xludf.DUMMYFUNCTION("""COMPUTED_VALUE"""),0.219391165294935)</f>
        <v>0.2193911653</v>
      </c>
    </row>
    <row r="1068">
      <c r="A1068" s="5">
        <f>IFERROR(__xludf.DUMMYFUNCTION("""COMPUTED_VALUE"""),40909.0)</f>
        <v>40909</v>
      </c>
      <c r="B1068" s="6" t="str">
        <f>IFERROR(__xludf.DUMMYFUNCTION("""COMPUTED_VALUE"""),"gpc_educacion_cultura_sin_discriminar_pib")</f>
        <v>gpc_educacion_cultura_sin_discriminar_pib</v>
      </c>
      <c r="C1068" s="6">
        <f>IFERROR(__xludf.DUMMYFUNCTION("""COMPUTED_VALUE"""),0.552274899587658)</f>
        <v>0.5522748996</v>
      </c>
    </row>
    <row r="1069">
      <c r="A1069" s="5">
        <f>IFERROR(__xludf.DUMMYFUNCTION("""COMPUTED_VALUE"""),40909.0)</f>
        <v>40909</v>
      </c>
      <c r="B1069" s="6" t="str">
        <f>IFERROR(__xludf.DUMMYFUNCTION("""COMPUTED_VALUE"""),"gpc_atencion_salud_pib")</f>
        <v>gpc_atencion_salud_pib</v>
      </c>
      <c r="C1069" s="6">
        <f>IFERROR(__xludf.DUMMYFUNCTION("""COMPUTED_VALUE"""),2.47746457595547)</f>
        <v>2.477464576</v>
      </c>
    </row>
    <row r="1070">
      <c r="A1070" s="5">
        <f>IFERROR(__xludf.DUMMYFUNCTION("""COMPUTED_VALUE"""),40909.0)</f>
        <v>40909</v>
      </c>
      <c r="B1070" s="6" t="str">
        <f>IFERROR(__xludf.DUMMYFUNCTION("""COMPUTED_VALUE"""),"gpc_obras_sociales_salud_pib")</f>
        <v>gpc_obras_sociales_salud_pib</v>
      </c>
      <c r="C1070" s="6">
        <f>IFERROR(__xludf.DUMMYFUNCTION("""COMPUTED_VALUE"""),2.86079783039664)</f>
        <v>2.86079783</v>
      </c>
    </row>
    <row r="1071">
      <c r="A1071" s="5">
        <f>IFERROR(__xludf.DUMMYFUNCTION("""COMPUTED_VALUE"""),40909.0)</f>
        <v>40909</v>
      </c>
      <c r="B1071" s="6" t="str">
        <f>IFERROR(__xludf.DUMMYFUNCTION("""COMPUTED_VALUE"""),"gpc_inssjyp_salud_pib")</f>
        <v>gpc_inssjyp_salud_pib</v>
      </c>
      <c r="C1071" s="6">
        <f>IFERROR(__xludf.DUMMYFUNCTION("""COMPUTED_VALUE"""),0.865388817959243)</f>
        <v>0.865388818</v>
      </c>
    </row>
    <row r="1072">
      <c r="A1072" s="5">
        <f>IFERROR(__xludf.DUMMYFUNCTION("""COMPUTED_VALUE"""),40909.0)</f>
        <v>40909</v>
      </c>
      <c r="B1072" s="6" t="str">
        <f>IFERROR(__xludf.DUMMYFUNCTION("""COMPUTED_VALUE"""),"gpc_agua_alcantarillado_pib")</f>
        <v>gpc_agua_alcantarillado_pib</v>
      </c>
      <c r="C1072" s="6">
        <f>IFERROR(__xludf.DUMMYFUNCTION("""COMPUTED_VALUE"""),0.549946802605142)</f>
        <v>0.5499468026</v>
      </c>
    </row>
    <row r="1073">
      <c r="A1073" s="5">
        <f>IFERROR(__xludf.DUMMYFUNCTION("""COMPUTED_VALUE"""),40909.0)</f>
        <v>40909</v>
      </c>
      <c r="B1073" s="6" t="str">
        <f>IFERROR(__xludf.DUMMYFUNCTION("""COMPUTED_VALUE"""),"gpc_vivienda_urbanismo_pib")</f>
        <v>gpc_vivienda_urbanismo_pib</v>
      </c>
      <c r="C1073" s="6">
        <f>IFERROR(__xludf.DUMMYFUNCTION("""COMPUTED_VALUE"""),0.791920216867545)</f>
        <v>0.7919202169</v>
      </c>
    </row>
    <row r="1074">
      <c r="A1074" s="5">
        <f>IFERROR(__xludf.DUMMYFUNCTION("""COMPUTED_VALUE"""),40909.0)</f>
        <v>40909</v>
      </c>
      <c r="B1074" s="6" t="str">
        <f>IFERROR(__xludf.DUMMYFUNCTION("""COMPUTED_VALUE"""),"gpc_promocion_asistencia_social_pib")</f>
        <v>gpc_promocion_asistencia_social_pib</v>
      </c>
      <c r="C1074" s="6">
        <f>IFERROR(__xludf.DUMMYFUNCTION("""COMPUTED_VALUE"""),1.20952500230108)</f>
        <v>1.209525002</v>
      </c>
    </row>
    <row r="1075">
      <c r="A1075" s="5">
        <f>IFERROR(__xludf.DUMMYFUNCTION("""COMPUTED_VALUE"""),40909.0)</f>
        <v>40909</v>
      </c>
      <c r="B1075" s="6" t="str">
        <f>IFERROR(__xludf.DUMMYFUNCTION("""COMPUTED_VALUE"""),"gpc_obras_sociales_prestaciones_pib")</f>
        <v>gpc_obras_sociales_prestaciones_pib</v>
      </c>
      <c r="C1075" s="6">
        <f>IFERROR(__xludf.DUMMYFUNCTION("""COMPUTED_VALUE"""),0.14684640913013)</f>
        <v>0.1468464091</v>
      </c>
    </row>
    <row r="1076">
      <c r="A1076" s="5">
        <f>IFERROR(__xludf.DUMMYFUNCTION("""COMPUTED_VALUE"""),40909.0)</f>
        <v>40909</v>
      </c>
      <c r="B1076" s="6" t="str">
        <f>IFERROR(__xludf.DUMMYFUNCTION("""COMPUTED_VALUE"""),"gpc_inssjyp_prestaciones_pib")</f>
        <v>gpc_inssjyp_prestaciones_pib</v>
      </c>
      <c r="C1076" s="6">
        <f>IFERROR(__xludf.DUMMYFUNCTION("""COMPUTED_VALUE"""),0.283833890458772)</f>
        <v>0.2838338905</v>
      </c>
    </row>
    <row r="1077">
      <c r="A1077" s="5">
        <f>IFERROR(__xludf.DUMMYFUNCTION("""COMPUTED_VALUE"""),40909.0)</f>
        <v>40909</v>
      </c>
      <c r="B1077" s="6" t="str">
        <f>IFERROR(__xludf.DUMMYFUNCTION("""COMPUTED_VALUE"""),"gpc_prevision_social_pib")</f>
        <v>gpc_prevision_social_pib</v>
      </c>
      <c r="C1077" s="6">
        <f>IFERROR(__xludf.DUMMYFUNCTION("""COMPUTED_VALUE"""),9.85252065200945)</f>
        <v>9.852520652</v>
      </c>
    </row>
    <row r="1078">
      <c r="A1078" s="5">
        <f>IFERROR(__xludf.DUMMYFUNCTION("""COMPUTED_VALUE"""),40909.0)</f>
        <v>40909</v>
      </c>
      <c r="B1078" s="6" t="str">
        <f>IFERROR(__xludf.DUMMYFUNCTION("""COMPUTED_VALUE"""),"gpc_programas_empleo_pib")</f>
        <v>gpc_programas_empleo_pib</v>
      </c>
      <c r="C1078" s="6">
        <f>IFERROR(__xludf.DUMMYFUNCTION("""COMPUTED_VALUE"""),0.254669584923563)</f>
        <v>0.2546695849</v>
      </c>
    </row>
    <row r="1079">
      <c r="A1079" s="5">
        <f>IFERROR(__xludf.DUMMYFUNCTION("""COMPUTED_VALUE"""),40909.0)</f>
        <v>40909</v>
      </c>
      <c r="B1079" s="6" t="str">
        <f>IFERROR(__xludf.DUMMYFUNCTION("""COMPUTED_VALUE"""),"gpc_asignaciones_familiares_pib")</f>
        <v>gpc_asignaciones_familiares_pib</v>
      </c>
      <c r="C1079" s="6">
        <f>IFERROR(__xludf.DUMMYFUNCTION("""COMPUTED_VALUE"""),0.864368635182414)</f>
        <v>0.8643686352</v>
      </c>
    </row>
    <row r="1080">
      <c r="A1080" s="5">
        <f>IFERROR(__xludf.DUMMYFUNCTION("""COMPUTED_VALUE"""),40909.0)</f>
        <v>40909</v>
      </c>
      <c r="B1080" s="6" t="str">
        <f>IFERROR(__xludf.DUMMYFUNCTION("""COMPUTED_VALUE"""),"gpc_otros_servicios_urbanos_pib")</f>
        <v>gpc_otros_servicios_urbanos_pib</v>
      </c>
      <c r="C1080" s="6">
        <f>IFERROR(__xludf.DUMMYFUNCTION("""COMPUTED_VALUE"""),0.843077373443594)</f>
        <v>0.8430773734</v>
      </c>
    </row>
    <row r="1081">
      <c r="A1081" s="5">
        <f>IFERROR(__xludf.DUMMYFUNCTION("""COMPUTED_VALUE"""),40909.0)</f>
        <v>40909</v>
      </c>
      <c r="B1081" s="6" t="str">
        <f>IFERROR(__xludf.DUMMYFUNCTION("""COMPUTED_VALUE"""),"gpc_servicios_economicos_pib")</f>
        <v>gpc_servicios_economicos_pib</v>
      </c>
      <c r="C1081" s="6">
        <f>IFERROR(__xludf.DUMMYFUNCTION("""COMPUTED_VALUE"""),5.8035798910798)</f>
        <v>5.803579891</v>
      </c>
    </row>
    <row r="1082">
      <c r="A1082" s="5">
        <f>IFERROR(__xludf.DUMMYFUNCTION("""COMPUTED_VALUE"""),40909.0)</f>
        <v>40909</v>
      </c>
      <c r="B1082" s="6" t="str">
        <f>IFERROR(__xludf.DUMMYFUNCTION("""COMPUTED_VALUE"""),"gpc_produccion_primaria_pib")</f>
        <v>gpc_produccion_primaria_pib</v>
      </c>
      <c r="C1082" s="6">
        <f>IFERROR(__xludf.DUMMYFUNCTION("""COMPUTED_VALUE"""),0.466310013118507)</f>
        <v>0.4663100131</v>
      </c>
    </row>
    <row r="1083">
      <c r="A1083" s="5">
        <f>IFERROR(__xludf.DUMMYFUNCTION("""COMPUTED_VALUE"""),40909.0)</f>
        <v>40909</v>
      </c>
      <c r="B1083" s="6" t="str">
        <f>IFERROR(__xludf.DUMMYFUNCTION("""COMPUTED_VALUE"""),"gpc_energia_combustible_pib")</f>
        <v>gpc_energia_combustible_pib</v>
      </c>
      <c r="C1083" s="6">
        <f>IFERROR(__xludf.DUMMYFUNCTION("""COMPUTED_VALUE"""),2.27528737263334)</f>
        <v>2.275287373</v>
      </c>
    </row>
    <row r="1084">
      <c r="A1084" s="5">
        <f>IFERROR(__xludf.DUMMYFUNCTION("""COMPUTED_VALUE"""),40909.0)</f>
        <v>40909</v>
      </c>
      <c r="B1084" s="6" t="str">
        <f>IFERROR(__xludf.DUMMYFUNCTION("""COMPUTED_VALUE"""),"gpc_industria_pib")</f>
        <v>gpc_industria_pib</v>
      </c>
      <c r="C1084" s="6">
        <f>IFERROR(__xludf.DUMMYFUNCTION("""COMPUTED_VALUE"""),0.114741987019433)</f>
        <v>0.114741987</v>
      </c>
    </row>
    <row r="1085">
      <c r="A1085" s="5">
        <f>IFERROR(__xludf.DUMMYFUNCTION("""COMPUTED_VALUE"""),40909.0)</f>
        <v>40909</v>
      </c>
      <c r="B1085" s="6" t="str">
        <f>IFERROR(__xludf.DUMMYFUNCTION("""COMPUTED_VALUE"""),"gpc_transporte_pib")</f>
        <v>gpc_transporte_pib</v>
      </c>
      <c r="C1085" s="6">
        <f>IFERROR(__xludf.DUMMYFUNCTION("""COMPUTED_VALUE"""),2.46005471937284)</f>
        <v>2.460054719</v>
      </c>
    </row>
    <row r="1086">
      <c r="A1086" s="5">
        <f>IFERROR(__xludf.DUMMYFUNCTION("""COMPUTED_VALUE"""),40909.0)</f>
        <v>40909</v>
      </c>
      <c r="B1086" s="6" t="str">
        <f>IFERROR(__xludf.DUMMYFUNCTION("""COMPUTED_VALUE"""),"gpc_comunicaciones_pib")</f>
        <v>gpc_comunicaciones_pib</v>
      </c>
      <c r="C1086" s="6">
        <f>IFERROR(__xludf.DUMMYFUNCTION("""COMPUTED_VALUE"""),0.243859872864445)</f>
        <v>0.2438598729</v>
      </c>
    </row>
    <row r="1087">
      <c r="A1087" s="5">
        <f>IFERROR(__xludf.DUMMYFUNCTION("""COMPUTED_VALUE"""),40909.0)</f>
        <v>40909</v>
      </c>
      <c r="B1087" s="6" t="str">
        <f>IFERROR(__xludf.DUMMYFUNCTION("""COMPUTED_VALUE"""),"gpc_otros_servicios_economicos_pib")</f>
        <v>gpc_otros_servicios_economicos_pib</v>
      </c>
      <c r="C1087" s="6">
        <f>IFERROR(__xludf.DUMMYFUNCTION("""COMPUTED_VALUE"""),0.243325926071235)</f>
        <v>0.2433259261</v>
      </c>
    </row>
    <row r="1088">
      <c r="A1088" s="5">
        <f>IFERROR(__xludf.DUMMYFUNCTION("""COMPUTED_VALUE"""),40909.0)</f>
        <v>40909</v>
      </c>
      <c r="B1088" s="6" t="str">
        <f>IFERROR(__xludf.DUMMYFUNCTION("""COMPUTED_VALUE"""),"gpc_servicios_deuda_publica_pib")</f>
        <v>gpc_servicios_deuda_publica_pib</v>
      </c>
      <c r="C1088" s="6">
        <f>IFERROR(__xludf.DUMMYFUNCTION("""COMPUTED_VALUE"""),2.03367343623061)</f>
        <v>2.033673436</v>
      </c>
    </row>
    <row r="1089">
      <c r="A1089" s="5">
        <f>IFERROR(__xludf.DUMMYFUNCTION("""COMPUTED_VALUE"""),40909.0)</f>
        <v>40909</v>
      </c>
      <c r="B1089" s="6"/>
      <c r="C1089" s="6"/>
    </row>
    <row r="1090">
      <c r="A1090" s="5">
        <f>IFERROR(__xludf.DUMMYFUNCTION("""COMPUTED_VALUE"""),40909.0)</f>
        <v>40909</v>
      </c>
      <c r="B1090" s="6"/>
      <c r="C1090" s="6"/>
    </row>
    <row r="1091">
      <c r="A1091" s="5">
        <f>IFERROR(__xludf.DUMMYFUNCTION("""COMPUTED_VALUE"""),41275.0)</f>
        <v>41275</v>
      </c>
      <c r="B1091" s="6" t="str">
        <f>IFERROR(__xludf.DUMMYFUNCTION("""COMPUTED_VALUE"""),"gpc_pib")</f>
        <v>gpc_pib</v>
      </c>
      <c r="C1091" s="6">
        <f>IFERROR(__xludf.DUMMYFUNCTION("""COMPUTED_VALUE"""),42.8562285902841)</f>
        <v>42.85622859</v>
      </c>
    </row>
    <row r="1092">
      <c r="A1092" s="5">
        <f>IFERROR(__xludf.DUMMYFUNCTION("""COMPUTED_VALUE"""),41275.0)</f>
        <v>41275</v>
      </c>
      <c r="B1092" s="6" t="str">
        <f>IFERROR(__xludf.DUMMYFUNCTION("""COMPUTED_VALUE"""),"gpc_funcionamiento_estado_pib")</f>
        <v>gpc_funcionamiento_estado_pib</v>
      </c>
      <c r="C1092" s="6">
        <f>IFERROR(__xludf.DUMMYFUNCTION("""COMPUTED_VALUE"""),6.71435502866873)</f>
        <v>6.714355029</v>
      </c>
    </row>
    <row r="1093">
      <c r="A1093" s="5">
        <f>IFERROR(__xludf.DUMMYFUNCTION("""COMPUTED_VALUE"""),41275.0)</f>
        <v>41275</v>
      </c>
      <c r="B1093" s="6" t="str">
        <f>IFERROR(__xludf.DUMMYFUNCTION("""COMPUTED_VALUE"""),"gpc_administracion_general_pib")</f>
        <v>gpc_administracion_general_pib</v>
      </c>
      <c r="C1093" s="6">
        <f>IFERROR(__xludf.DUMMYFUNCTION("""COMPUTED_VALUE"""),3.07813169764686)</f>
        <v>3.078131698</v>
      </c>
    </row>
    <row r="1094">
      <c r="A1094" s="5">
        <f>IFERROR(__xludf.DUMMYFUNCTION("""COMPUTED_VALUE"""),41275.0)</f>
        <v>41275</v>
      </c>
      <c r="B1094" s="6" t="str">
        <f>IFERROR(__xludf.DUMMYFUNCTION("""COMPUTED_VALUE"""),"gpc_justicia_pib")</f>
        <v>gpc_justicia_pib</v>
      </c>
      <c r="C1094" s="6">
        <f>IFERROR(__xludf.DUMMYFUNCTION("""COMPUTED_VALUE"""),1.05339982574793)</f>
        <v>1.053399826</v>
      </c>
    </row>
    <row r="1095">
      <c r="A1095" s="5">
        <f>IFERROR(__xludf.DUMMYFUNCTION("""COMPUTED_VALUE"""),41275.0)</f>
        <v>41275</v>
      </c>
      <c r="B1095" s="6" t="str">
        <f>IFERROR(__xludf.DUMMYFUNCTION("""COMPUTED_VALUE"""),"gpc_defensa_seguridad_pib")</f>
        <v>gpc_defensa_seguridad_pib</v>
      </c>
      <c r="C1095" s="6">
        <f>IFERROR(__xludf.DUMMYFUNCTION("""COMPUTED_VALUE"""),2.58282350527393)</f>
        <v>2.582823505</v>
      </c>
    </row>
    <row r="1096">
      <c r="A1096" s="5">
        <f>IFERROR(__xludf.DUMMYFUNCTION("""COMPUTED_VALUE"""),41275.0)</f>
        <v>41275</v>
      </c>
      <c r="B1096" s="6" t="str">
        <f>IFERROR(__xludf.DUMMYFUNCTION("""COMPUTED_VALUE"""),"gpc_servicios_sociales_pib")</f>
        <v>gpc_servicios_sociales_pib</v>
      </c>
      <c r="C1096" s="6">
        <f>IFERROR(__xludf.DUMMYFUNCTION("""COMPUTED_VALUE"""),28.2194821071402)</f>
        <v>28.21948211</v>
      </c>
    </row>
    <row r="1097">
      <c r="A1097" s="5">
        <f>IFERROR(__xludf.DUMMYFUNCTION("""COMPUTED_VALUE"""),41275.0)</f>
        <v>41275</v>
      </c>
      <c r="B1097" s="6" t="str">
        <f>IFERROR(__xludf.DUMMYFUNCTION("""COMPUTED_VALUE"""),"gpc_educacion_basica_pib")</f>
        <v>gpc_educacion_basica_pib</v>
      </c>
      <c r="C1097" s="6">
        <f>IFERROR(__xludf.DUMMYFUNCTION("""COMPUTED_VALUE"""),3.92883555795354)</f>
        <v>3.928835558</v>
      </c>
    </row>
    <row r="1098">
      <c r="A1098" s="5">
        <f>IFERROR(__xludf.DUMMYFUNCTION("""COMPUTED_VALUE"""),41275.0)</f>
        <v>41275</v>
      </c>
      <c r="B1098" s="6" t="str">
        <f>IFERROR(__xludf.DUMMYFUNCTION("""COMPUTED_VALUE"""),"gpc_educacion_universitaria_pib")</f>
        <v>gpc_educacion_universitaria_pib</v>
      </c>
      <c r="C1098" s="6">
        <f>IFERROR(__xludf.DUMMYFUNCTION("""COMPUTED_VALUE"""),1.23515274795896)</f>
        <v>1.235152748</v>
      </c>
    </row>
    <row r="1099">
      <c r="A1099" s="5">
        <f>IFERROR(__xludf.DUMMYFUNCTION("""COMPUTED_VALUE"""),41275.0)</f>
        <v>41275</v>
      </c>
      <c r="B1099" s="6" t="str">
        <f>IFERROR(__xludf.DUMMYFUNCTION("""COMPUTED_VALUE"""),"gpc_ciencia_tecnica_pib")</f>
        <v>gpc_ciencia_tecnica_pib</v>
      </c>
      <c r="C1099" s="6">
        <f>IFERROR(__xludf.DUMMYFUNCTION("""COMPUTED_VALUE"""),0.310621814330149)</f>
        <v>0.3106218143</v>
      </c>
    </row>
    <row r="1100">
      <c r="A1100" s="5">
        <f>IFERROR(__xludf.DUMMYFUNCTION("""COMPUTED_VALUE"""),41275.0)</f>
        <v>41275</v>
      </c>
      <c r="B1100" s="6" t="str">
        <f>IFERROR(__xludf.DUMMYFUNCTION("""COMPUTED_VALUE"""),"gpc_cultura_pib")</f>
        <v>gpc_cultura_pib</v>
      </c>
      <c r="C1100" s="6">
        <f>IFERROR(__xludf.DUMMYFUNCTION("""COMPUTED_VALUE"""),0.246371197230376)</f>
        <v>0.2463711972</v>
      </c>
    </row>
    <row r="1101">
      <c r="A1101" s="5">
        <f>IFERROR(__xludf.DUMMYFUNCTION("""COMPUTED_VALUE"""),41275.0)</f>
        <v>41275</v>
      </c>
      <c r="B1101" s="6" t="str">
        <f>IFERROR(__xludf.DUMMYFUNCTION("""COMPUTED_VALUE"""),"gpc_educacion_cultura_sin_discriminar_pib")</f>
        <v>gpc_educacion_cultura_sin_discriminar_pib</v>
      </c>
      <c r="C1101" s="6">
        <f>IFERROR(__xludf.DUMMYFUNCTION("""COMPUTED_VALUE"""),0.530207299774902)</f>
        <v>0.5302072998</v>
      </c>
    </row>
    <row r="1102">
      <c r="A1102" s="5">
        <f>IFERROR(__xludf.DUMMYFUNCTION("""COMPUTED_VALUE"""),41275.0)</f>
        <v>41275</v>
      </c>
      <c r="B1102" s="6" t="str">
        <f>IFERROR(__xludf.DUMMYFUNCTION("""COMPUTED_VALUE"""),"gpc_atencion_salud_pib")</f>
        <v>gpc_atencion_salud_pib</v>
      </c>
      <c r="C1102" s="6">
        <f>IFERROR(__xludf.DUMMYFUNCTION("""COMPUTED_VALUE"""),2.58122407520883)</f>
        <v>2.581224075</v>
      </c>
    </row>
    <row r="1103">
      <c r="A1103" s="5">
        <f>IFERROR(__xludf.DUMMYFUNCTION("""COMPUTED_VALUE"""),41275.0)</f>
        <v>41275</v>
      </c>
      <c r="B1103" s="6" t="str">
        <f>IFERROR(__xludf.DUMMYFUNCTION("""COMPUTED_VALUE"""),"gpc_obras_sociales_salud_pib")</f>
        <v>gpc_obras_sociales_salud_pib</v>
      </c>
      <c r="C1103" s="6">
        <f>IFERROR(__xludf.DUMMYFUNCTION("""COMPUTED_VALUE"""),2.92108408786786)</f>
        <v>2.921084088</v>
      </c>
    </row>
    <row r="1104">
      <c r="A1104" s="5">
        <f>IFERROR(__xludf.DUMMYFUNCTION("""COMPUTED_VALUE"""),41275.0)</f>
        <v>41275</v>
      </c>
      <c r="B1104" s="6" t="str">
        <f>IFERROR(__xludf.DUMMYFUNCTION("""COMPUTED_VALUE"""),"gpc_inssjyp_salud_pib")</f>
        <v>gpc_inssjyp_salud_pib</v>
      </c>
      <c r="C1104" s="6">
        <f>IFERROR(__xludf.DUMMYFUNCTION("""COMPUTED_VALUE"""),0.874741788392174)</f>
        <v>0.8747417884</v>
      </c>
    </row>
    <row r="1105">
      <c r="A1105" s="5">
        <f>IFERROR(__xludf.DUMMYFUNCTION("""COMPUTED_VALUE"""),41275.0)</f>
        <v>41275</v>
      </c>
      <c r="B1105" s="6" t="str">
        <f>IFERROR(__xludf.DUMMYFUNCTION("""COMPUTED_VALUE"""),"gpc_agua_alcantarillado_pib")</f>
        <v>gpc_agua_alcantarillado_pib</v>
      </c>
      <c r="C1105" s="6">
        <f>IFERROR(__xludf.DUMMYFUNCTION("""COMPUTED_VALUE"""),0.534331517041921)</f>
        <v>0.534331517</v>
      </c>
    </row>
    <row r="1106">
      <c r="A1106" s="5">
        <f>IFERROR(__xludf.DUMMYFUNCTION("""COMPUTED_VALUE"""),41275.0)</f>
        <v>41275</v>
      </c>
      <c r="B1106" s="6" t="str">
        <f>IFERROR(__xludf.DUMMYFUNCTION("""COMPUTED_VALUE"""),"gpc_vivienda_urbanismo_pib")</f>
        <v>gpc_vivienda_urbanismo_pib</v>
      </c>
      <c r="C1106" s="6">
        <f>IFERROR(__xludf.DUMMYFUNCTION("""COMPUTED_VALUE"""),1.0495225387391)</f>
        <v>1.049522539</v>
      </c>
    </row>
    <row r="1107">
      <c r="A1107" s="5">
        <f>IFERROR(__xludf.DUMMYFUNCTION("""COMPUTED_VALUE"""),41275.0)</f>
        <v>41275</v>
      </c>
      <c r="B1107" s="6" t="str">
        <f>IFERROR(__xludf.DUMMYFUNCTION("""COMPUTED_VALUE"""),"gpc_promocion_asistencia_social_pib")</f>
        <v>gpc_promocion_asistencia_social_pib</v>
      </c>
      <c r="C1107" s="6">
        <f>IFERROR(__xludf.DUMMYFUNCTION("""COMPUTED_VALUE"""),1.20231694136732)</f>
        <v>1.202316941</v>
      </c>
    </row>
    <row r="1108">
      <c r="A1108" s="5">
        <f>IFERROR(__xludf.DUMMYFUNCTION("""COMPUTED_VALUE"""),41275.0)</f>
        <v>41275</v>
      </c>
      <c r="B1108" s="6" t="str">
        <f>IFERROR(__xludf.DUMMYFUNCTION("""COMPUTED_VALUE"""),"gpc_obras_sociales_prestaciones_pib")</f>
        <v>gpc_obras_sociales_prestaciones_pib</v>
      </c>
      <c r="C1108" s="6">
        <f>IFERROR(__xludf.DUMMYFUNCTION("""COMPUTED_VALUE"""),0.14876356597332)</f>
        <v>0.148763566</v>
      </c>
    </row>
    <row r="1109">
      <c r="A1109" s="5">
        <f>IFERROR(__xludf.DUMMYFUNCTION("""COMPUTED_VALUE"""),41275.0)</f>
        <v>41275</v>
      </c>
      <c r="B1109" s="6" t="str">
        <f>IFERROR(__xludf.DUMMYFUNCTION("""COMPUTED_VALUE"""),"gpc_inssjyp_prestaciones_pib")</f>
        <v>gpc_inssjyp_prestaciones_pib</v>
      </c>
      <c r="C1109" s="6">
        <f>IFERROR(__xludf.DUMMYFUNCTION("""COMPUTED_VALUE"""),0.258637678502808)</f>
        <v>0.2586376785</v>
      </c>
    </row>
    <row r="1110">
      <c r="A1110" s="5">
        <f>IFERROR(__xludf.DUMMYFUNCTION("""COMPUTED_VALUE"""),41275.0)</f>
        <v>41275</v>
      </c>
      <c r="B1110" s="6" t="str">
        <f>IFERROR(__xludf.DUMMYFUNCTION("""COMPUTED_VALUE"""),"gpc_prevision_social_pib")</f>
        <v>gpc_prevision_social_pib</v>
      </c>
      <c r="C1110" s="6">
        <f>IFERROR(__xludf.DUMMYFUNCTION("""COMPUTED_VALUE"""),10.2788332596298)</f>
        <v>10.27883326</v>
      </c>
    </row>
    <row r="1111">
      <c r="A1111" s="5">
        <f>IFERROR(__xludf.DUMMYFUNCTION("""COMPUTED_VALUE"""),41275.0)</f>
        <v>41275</v>
      </c>
      <c r="B1111" s="6" t="str">
        <f>IFERROR(__xludf.DUMMYFUNCTION("""COMPUTED_VALUE"""),"gpc_programas_empleo_pib")</f>
        <v>gpc_programas_empleo_pib</v>
      </c>
      <c r="C1111" s="6">
        <f>IFERROR(__xludf.DUMMYFUNCTION("""COMPUTED_VALUE"""),0.247447444746234)</f>
        <v>0.2474474447</v>
      </c>
    </row>
    <row r="1112">
      <c r="A1112" s="5">
        <f>IFERROR(__xludf.DUMMYFUNCTION("""COMPUTED_VALUE"""),41275.0)</f>
        <v>41275</v>
      </c>
      <c r="B1112" s="6" t="str">
        <f>IFERROR(__xludf.DUMMYFUNCTION("""COMPUTED_VALUE"""),"gpc_asignaciones_familiares_pib")</f>
        <v>gpc_asignaciones_familiares_pib</v>
      </c>
      <c r="C1112" s="6">
        <f>IFERROR(__xludf.DUMMYFUNCTION("""COMPUTED_VALUE"""),0.939759551225438)</f>
        <v>0.9397595512</v>
      </c>
    </row>
    <row r="1113">
      <c r="A1113" s="5">
        <f>IFERROR(__xludf.DUMMYFUNCTION("""COMPUTED_VALUE"""),41275.0)</f>
        <v>41275</v>
      </c>
      <c r="B1113" s="6" t="str">
        <f>IFERROR(__xludf.DUMMYFUNCTION("""COMPUTED_VALUE"""),"gpc_otros_servicios_urbanos_pib")</f>
        <v>gpc_otros_servicios_urbanos_pib</v>
      </c>
      <c r="C1113" s="6">
        <f>IFERROR(__xludf.DUMMYFUNCTION("""COMPUTED_VALUE"""),0.931631041197384)</f>
        <v>0.9316310412</v>
      </c>
    </row>
    <row r="1114">
      <c r="A1114" s="5">
        <f>IFERROR(__xludf.DUMMYFUNCTION("""COMPUTED_VALUE"""),41275.0)</f>
        <v>41275</v>
      </c>
      <c r="B1114" s="6" t="str">
        <f>IFERROR(__xludf.DUMMYFUNCTION("""COMPUTED_VALUE"""),"gpc_servicios_economicos_pib")</f>
        <v>gpc_servicios_economicos_pib</v>
      </c>
      <c r="C1114" s="6">
        <f>IFERROR(__xludf.DUMMYFUNCTION("""COMPUTED_VALUE"""),6.36574238972535)</f>
        <v>6.36574239</v>
      </c>
    </row>
    <row r="1115">
      <c r="A1115" s="5">
        <f>IFERROR(__xludf.DUMMYFUNCTION("""COMPUTED_VALUE"""),41275.0)</f>
        <v>41275</v>
      </c>
      <c r="B1115" s="6" t="str">
        <f>IFERROR(__xludf.DUMMYFUNCTION("""COMPUTED_VALUE"""),"gpc_produccion_primaria_pib")</f>
        <v>gpc_produccion_primaria_pib</v>
      </c>
      <c r="C1115" s="6">
        <f>IFERROR(__xludf.DUMMYFUNCTION("""COMPUTED_VALUE"""),0.47414623459641)</f>
        <v>0.4741462346</v>
      </c>
    </row>
    <row r="1116">
      <c r="A1116" s="5">
        <f>IFERROR(__xludf.DUMMYFUNCTION("""COMPUTED_VALUE"""),41275.0)</f>
        <v>41275</v>
      </c>
      <c r="B1116" s="6" t="str">
        <f>IFERROR(__xludf.DUMMYFUNCTION("""COMPUTED_VALUE"""),"gpc_energia_combustible_pib")</f>
        <v>gpc_energia_combustible_pib</v>
      </c>
      <c r="C1116" s="6">
        <f>IFERROR(__xludf.DUMMYFUNCTION("""COMPUTED_VALUE"""),2.8321603202579)</f>
        <v>2.83216032</v>
      </c>
    </row>
    <row r="1117">
      <c r="A1117" s="5">
        <f>IFERROR(__xludf.DUMMYFUNCTION("""COMPUTED_VALUE"""),41275.0)</f>
        <v>41275</v>
      </c>
      <c r="B1117" s="6" t="str">
        <f>IFERROR(__xludf.DUMMYFUNCTION("""COMPUTED_VALUE"""),"gpc_industria_pib")</f>
        <v>gpc_industria_pib</v>
      </c>
      <c r="C1117" s="6">
        <f>IFERROR(__xludf.DUMMYFUNCTION("""COMPUTED_VALUE"""),0.119452344367908)</f>
        <v>0.1194523444</v>
      </c>
    </row>
    <row r="1118">
      <c r="A1118" s="5">
        <f>IFERROR(__xludf.DUMMYFUNCTION("""COMPUTED_VALUE"""),41275.0)</f>
        <v>41275</v>
      </c>
      <c r="B1118" s="6" t="str">
        <f>IFERROR(__xludf.DUMMYFUNCTION("""COMPUTED_VALUE"""),"gpc_transporte_pib")</f>
        <v>gpc_transporte_pib</v>
      </c>
      <c r="C1118" s="6">
        <f>IFERROR(__xludf.DUMMYFUNCTION("""COMPUTED_VALUE"""),2.43112800339494)</f>
        <v>2.431128003</v>
      </c>
    </row>
    <row r="1119">
      <c r="A1119" s="5">
        <f>IFERROR(__xludf.DUMMYFUNCTION("""COMPUTED_VALUE"""),41275.0)</f>
        <v>41275</v>
      </c>
      <c r="B1119" s="6" t="str">
        <f>IFERROR(__xludf.DUMMYFUNCTION("""COMPUTED_VALUE"""),"gpc_comunicaciones_pib")</f>
        <v>gpc_comunicaciones_pib</v>
      </c>
      <c r="C1119" s="6">
        <f>IFERROR(__xludf.DUMMYFUNCTION("""COMPUTED_VALUE"""),0.264007221989727)</f>
        <v>0.264007222</v>
      </c>
    </row>
    <row r="1120">
      <c r="A1120" s="5">
        <f>IFERROR(__xludf.DUMMYFUNCTION("""COMPUTED_VALUE"""),41275.0)</f>
        <v>41275</v>
      </c>
      <c r="B1120" s="6" t="str">
        <f>IFERROR(__xludf.DUMMYFUNCTION("""COMPUTED_VALUE"""),"gpc_otros_servicios_economicos_pib")</f>
        <v>gpc_otros_servicios_economicos_pib</v>
      </c>
      <c r="C1120" s="6">
        <f>IFERROR(__xludf.DUMMYFUNCTION("""COMPUTED_VALUE"""),0.24484826511846)</f>
        <v>0.2448482651</v>
      </c>
    </row>
    <row r="1121">
      <c r="A1121" s="5">
        <f>IFERROR(__xludf.DUMMYFUNCTION("""COMPUTED_VALUE"""),41275.0)</f>
        <v>41275</v>
      </c>
      <c r="B1121" s="6" t="str">
        <f>IFERROR(__xludf.DUMMYFUNCTION("""COMPUTED_VALUE"""),"gpc_servicios_deuda_publica_pib")</f>
        <v>gpc_servicios_deuda_publica_pib</v>
      </c>
      <c r="C1121" s="6">
        <f>IFERROR(__xludf.DUMMYFUNCTION("""COMPUTED_VALUE"""),1.55664906474987)</f>
        <v>1.556649065</v>
      </c>
    </row>
    <row r="1122">
      <c r="A1122" s="5">
        <f>IFERROR(__xludf.DUMMYFUNCTION("""COMPUTED_VALUE"""),41275.0)</f>
        <v>41275</v>
      </c>
      <c r="B1122" s="6"/>
      <c r="C1122" s="6"/>
    </row>
    <row r="1123">
      <c r="A1123" s="5">
        <f>IFERROR(__xludf.DUMMYFUNCTION("""COMPUTED_VALUE"""),41275.0)</f>
        <v>41275</v>
      </c>
      <c r="B1123" s="6"/>
      <c r="C1123" s="6"/>
    </row>
    <row r="1124">
      <c r="A1124" s="5">
        <f>IFERROR(__xludf.DUMMYFUNCTION("""COMPUTED_VALUE"""),41640.0)</f>
        <v>41640</v>
      </c>
      <c r="B1124" s="6" t="str">
        <f>IFERROR(__xludf.DUMMYFUNCTION("""COMPUTED_VALUE"""),"gpc_pib")</f>
        <v>gpc_pib</v>
      </c>
      <c r="C1124" s="6">
        <f>IFERROR(__xludf.DUMMYFUNCTION("""COMPUTED_VALUE"""),44.9934368480996)</f>
        <v>44.99343685</v>
      </c>
    </row>
    <row r="1125">
      <c r="A1125" s="5">
        <f>IFERROR(__xludf.DUMMYFUNCTION("""COMPUTED_VALUE"""),41640.0)</f>
        <v>41640</v>
      </c>
      <c r="B1125" s="6" t="str">
        <f>IFERROR(__xludf.DUMMYFUNCTION("""COMPUTED_VALUE"""),"gpc_funcionamiento_estado_pib")</f>
        <v>gpc_funcionamiento_estado_pib</v>
      </c>
      <c r="C1125" s="6">
        <f>IFERROR(__xludf.DUMMYFUNCTION("""COMPUTED_VALUE"""),6.89700996444676)</f>
        <v>6.897009964</v>
      </c>
    </row>
    <row r="1126">
      <c r="A1126" s="5">
        <f>IFERROR(__xludf.DUMMYFUNCTION("""COMPUTED_VALUE"""),41640.0)</f>
        <v>41640</v>
      </c>
      <c r="B1126" s="6" t="str">
        <f>IFERROR(__xludf.DUMMYFUNCTION("""COMPUTED_VALUE"""),"gpc_administracion_general_pib")</f>
        <v>gpc_administracion_general_pib</v>
      </c>
      <c r="C1126" s="6">
        <f>IFERROR(__xludf.DUMMYFUNCTION("""COMPUTED_VALUE"""),2.96520895206414)</f>
        <v>2.965208952</v>
      </c>
    </row>
    <row r="1127">
      <c r="A1127" s="5">
        <f>IFERROR(__xludf.DUMMYFUNCTION("""COMPUTED_VALUE"""),41640.0)</f>
        <v>41640</v>
      </c>
      <c r="B1127" s="6" t="str">
        <f>IFERROR(__xludf.DUMMYFUNCTION("""COMPUTED_VALUE"""),"gpc_justicia_pib")</f>
        <v>gpc_justicia_pib</v>
      </c>
      <c r="C1127" s="6">
        <f>IFERROR(__xludf.DUMMYFUNCTION("""COMPUTED_VALUE"""),1.06879641846102)</f>
        <v>1.068796418</v>
      </c>
    </row>
    <row r="1128">
      <c r="A1128" s="5">
        <f>IFERROR(__xludf.DUMMYFUNCTION("""COMPUTED_VALUE"""),41640.0)</f>
        <v>41640</v>
      </c>
      <c r="B1128" s="6" t="str">
        <f>IFERROR(__xludf.DUMMYFUNCTION("""COMPUTED_VALUE"""),"gpc_defensa_seguridad_pib")</f>
        <v>gpc_defensa_seguridad_pib</v>
      </c>
      <c r="C1128" s="6">
        <f>IFERROR(__xludf.DUMMYFUNCTION("""COMPUTED_VALUE"""),2.86300459392159)</f>
        <v>2.863004594</v>
      </c>
    </row>
    <row r="1129">
      <c r="A1129" s="5">
        <f>IFERROR(__xludf.DUMMYFUNCTION("""COMPUTED_VALUE"""),41640.0)</f>
        <v>41640</v>
      </c>
      <c r="B1129" s="6" t="str">
        <f>IFERROR(__xludf.DUMMYFUNCTION("""COMPUTED_VALUE"""),"gpc_servicios_sociales_pib")</f>
        <v>gpc_servicios_sociales_pib</v>
      </c>
      <c r="C1129" s="6">
        <f>IFERROR(__xludf.DUMMYFUNCTION("""COMPUTED_VALUE"""),28.1591030924479)</f>
        <v>28.15910309</v>
      </c>
    </row>
    <row r="1130">
      <c r="A1130" s="5">
        <f>IFERROR(__xludf.DUMMYFUNCTION("""COMPUTED_VALUE"""),41640.0)</f>
        <v>41640</v>
      </c>
      <c r="B1130" s="6" t="str">
        <f>IFERROR(__xludf.DUMMYFUNCTION("""COMPUTED_VALUE"""),"gpc_educacion_basica_pib")</f>
        <v>gpc_educacion_basica_pib</v>
      </c>
      <c r="C1130" s="6">
        <f>IFERROR(__xludf.DUMMYFUNCTION("""COMPUTED_VALUE"""),3.84417236953944)</f>
        <v>3.84417237</v>
      </c>
    </row>
    <row r="1131">
      <c r="A1131" s="5">
        <f>IFERROR(__xludf.DUMMYFUNCTION("""COMPUTED_VALUE"""),41640.0)</f>
        <v>41640</v>
      </c>
      <c r="B1131" s="6" t="str">
        <f>IFERROR(__xludf.DUMMYFUNCTION("""COMPUTED_VALUE"""),"gpc_educacion_universitaria_pib")</f>
        <v>gpc_educacion_universitaria_pib</v>
      </c>
      <c r="C1131" s="6">
        <f>IFERROR(__xludf.DUMMYFUNCTION("""COMPUTED_VALUE"""),1.24012165317015)</f>
        <v>1.240121653</v>
      </c>
    </row>
    <row r="1132">
      <c r="A1132" s="5">
        <f>IFERROR(__xludf.DUMMYFUNCTION("""COMPUTED_VALUE"""),41640.0)</f>
        <v>41640</v>
      </c>
      <c r="B1132" s="6" t="str">
        <f>IFERROR(__xludf.DUMMYFUNCTION("""COMPUTED_VALUE"""),"gpc_ciencia_tecnica_pib")</f>
        <v>gpc_ciencia_tecnica_pib</v>
      </c>
      <c r="C1132" s="6">
        <f>IFERROR(__xludf.DUMMYFUNCTION("""COMPUTED_VALUE"""),0.320104671098529)</f>
        <v>0.3201046711</v>
      </c>
    </row>
    <row r="1133">
      <c r="A1133" s="5">
        <f>IFERROR(__xludf.DUMMYFUNCTION("""COMPUTED_VALUE"""),41640.0)</f>
        <v>41640</v>
      </c>
      <c r="B1133" s="6" t="str">
        <f>IFERROR(__xludf.DUMMYFUNCTION("""COMPUTED_VALUE"""),"gpc_cultura_pib")</f>
        <v>gpc_cultura_pib</v>
      </c>
      <c r="C1133" s="6">
        <f>IFERROR(__xludf.DUMMYFUNCTION("""COMPUTED_VALUE"""),0.242176620882502)</f>
        <v>0.2421766209</v>
      </c>
    </row>
    <row r="1134">
      <c r="A1134" s="5">
        <f>IFERROR(__xludf.DUMMYFUNCTION("""COMPUTED_VALUE"""),41640.0)</f>
        <v>41640</v>
      </c>
      <c r="B1134" s="6" t="str">
        <f>IFERROR(__xludf.DUMMYFUNCTION("""COMPUTED_VALUE"""),"gpc_educacion_cultura_sin_discriminar_pib")</f>
        <v>gpc_educacion_cultura_sin_discriminar_pib</v>
      </c>
      <c r="C1134" s="6">
        <f>IFERROR(__xludf.DUMMYFUNCTION("""COMPUTED_VALUE"""),0.582097075405689)</f>
        <v>0.5820970754</v>
      </c>
    </row>
    <row r="1135">
      <c r="A1135" s="5">
        <f>IFERROR(__xludf.DUMMYFUNCTION("""COMPUTED_VALUE"""),41640.0)</f>
        <v>41640</v>
      </c>
      <c r="B1135" s="6" t="str">
        <f>IFERROR(__xludf.DUMMYFUNCTION("""COMPUTED_VALUE"""),"gpc_atencion_salud_pib")</f>
        <v>gpc_atencion_salud_pib</v>
      </c>
      <c r="C1135" s="6">
        <f>IFERROR(__xludf.DUMMYFUNCTION("""COMPUTED_VALUE"""),2.59061192726714)</f>
        <v>2.590611927</v>
      </c>
    </row>
    <row r="1136">
      <c r="A1136" s="5">
        <f>IFERROR(__xludf.DUMMYFUNCTION("""COMPUTED_VALUE"""),41640.0)</f>
        <v>41640</v>
      </c>
      <c r="B1136" s="6" t="str">
        <f>IFERROR(__xludf.DUMMYFUNCTION("""COMPUTED_VALUE"""),"gpc_obras_sociales_salud_pib")</f>
        <v>gpc_obras_sociales_salud_pib</v>
      </c>
      <c r="C1136" s="6">
        <f>IFERROR(__xludf.DUMMYFUNCTION("""COMPUTED_VALUE"""),2.8301507867398)</f>
        <v>2.830150787</v>
      </c>
    </row>
    <row r="1137">
      <c r="A1137" s="5">
        <f>IFERROR(__xludf.DUMMYFUNCTION("""COMPUTED_VALUE"""),41640.0)</f>
        <v>41640</v>
      </c>
      <c r="B1137" s="6" t="str">
        <f>IFERROR(__xludf.DUMMYFUNCTION("""COMPUTED_VALUE"""),"gpc_inssjyp_salud_pib")</f>
        <v>gpc_inssjyp_salud_pib</v>
      </c>
      <c r="C1137" s="6">
        <f>IFERROR(__xludf.DUMMYFUNCTION("""COMPUTED_VALUE"""),1.05082482272118)</f>
        <v>1.050824823</v>
      </c>
    </row>
    <row r="1138">
      <c r="A1138" s="5">
        <f>IFERROR(__xludf.DUMMYFUNCTION("""COMPUTED_VALUE"""),41640.0)</f>
        <v>41640</v>
      </c>
      <c r="B1138" s="6" t="str">
        <f>IFERROR(__xludf.DUMMYFUNCTION("""COMPUTED_VALUE"""),"gpc_agua_alcantarillado_pib")</f>
        <v>gpc_agua_alcantarillado_pib</v>
      </c>
      <c r="C1138" s="6">
        <f>IFERROR(__xludf.DUMMYFUNCTION("""COMPUTED_VALUE"""),0.587270415234709)</f>
        <v>0.5872704152</v>
      </c>
    </row>
    <row r="1139">
      <c r="A1139" s="5">
        <f>IFERROR(__xludf.DUMMYFUNCTION("""COMPUTED_VALUE"""),41640.0)</f>
        <v>41640</v>
      </c>
      <c r="B1139" s="6" t="str">
        <f>IFERROR(__xludf.DUMMYFUNCTION("""COMPUTED_VALUE"""),"gpc_vivienda_urbanismo_pib")</f>
        <v>gpc_vivienda_urbanismo_pib</v>
      </c>
      <c r="C1139" s="6">
        <f>IFERROR(__xludf.DUMMYFUNCTION("""COMPUTED_VALUE"""),1.10818676371841)</f>
        <v>1.108186764</v>
      </c>
    </row>
    <row r="1140">
      <c r="A1140" s="5">
        <f>IFERROR(__xludf.DUMMYFUNCTION("""COMPUTED_VALUE"""),41640.0)</f>
        <v>41640</v>
      </c>
      <c r="B1140" s="6" t="str">
        <f>IFERROR(__xludf.DUMMYFUNCTION("""COMPUTED_VALUE"""),"gpc_promocion_asistencia_social_pib")</f>
        <v>gpc_promocion_asistencia_social_pib</v>
      </c>
      <c r="C1140" s="6">
        <f>IFERROR(__xludf.DUMMYFUNCTION("""COMPUTED_VALUE"""),1.24330871595293)</f>
        <v>1.243308716</v>
      </c>
    </row>
    <row r="1141">
      <c r="A1141" s="5">
        <f>IFERROR(__xludf.DUMMYFUNCTION("""COMPUTED_VALUE"""),41640.0)</f>
        <v>41640</v>
      </c>
      <c r="B1141" s="6" t="str">
        <f>IFERROR(__xludf.DUMMYFUNCTION("""COMPUTED_VALUE"""),"gpc_obras_sociales_prestaciones_pib")</f>
        <v>gpc_obras_sociales_prestaciones_pib</v>
      </c>
      <c r="C1141" s="6">
        <f>IFERROR(__xludf.DUMMYFUNCTION("""COMPUTED_VALUE"""),0.143194370412969)</f>
        <v>0.1431943704</v>
      </c>
    </row>
    <row r="1142">
      <c r="A1142" s="5">
        <f>IFERROR(__xludf.DUMMYFUNCTION("""COMPUTED_VALUE"""),41640.0)</f>
        <v>41640</v>
      </c>
      <c r="B1142" s="6" t="str">
        <f>IFERROR(__xludf.DUMMYFUNCTION("""COMPUTED_VALUE"""),"gpc_inssjyp_prestaciones_pib")</f>
        <v>gpc_inssjyp_prestaciones_pib</v>
      </c>
      <c r="C1142" s="6">
        <f>IFERROR(__xludf.DUMMYFUNCTION("""COMPUTED_VALUE"""),0.118256398430384)</f>
        <v>0.1182563984</v>
      </c>
    </row>
    <row r="1143">
      <c r="A1143" s="5">
        <f>IFERROR(__xludf.DUMMYFUNCTION("""COMPUTED_VALUE"""),41640.0)</f>
        <v>41640</v>
      </c>
      <c r="B1143" s="6" t="str">
        <f>IFERROR(__xludf.DUMMYFUNCTION("""COMPUTED_VALUE"""),"gpc_prevision_social_pib")</f>
        <v>gpc_prevision_social_pib</v>
      </c>
      <c r="C1143" s="6">
        <f>IFERROR(__xludf.DUMMYFUNCTION("""COMPUTED_VALUE"""),10.114980867808)</f>
        <v>10.11498087</v>
      </c>
    </row>
    <row r="1144">
      <c r="A1144" s="5">
        <f>IFERROR(__xludf.DUMMYFUNCTION("""COMPUTED_VALUE"""),41640.0)</f>
        <v>41640</v>
      </c>
      <c r="B1144" s="6" t="str">
        <f>IFERROR(__xludf.DUMMYFUNCTION("""COMPUTED_VALUE"""),"gpc_programas_empleo_pib")</f>
        <v>gpc_programas_empleo_pib</v>
      </c>
      <c r="C1144" s="6">
        <f>IFERROR(__xludf.DUMMYFUNCTION("""COMPUTED_VALUE"""),0.222169319310221)</f>
        <v>0.2221693193</v>
      </c>
    </row>
    <row r="1145">
      <c r="A1145" s="5">
        <f>IFERROR(__xludf.DUMMYFUNCTION("""COMPUTED_VALUE"""),41640.0)</f>
        <v>41640</v>
      </c>
      <c r="B1145" s="6" t="str">
        <f>IFERROR(__xludf.DUMMYFUNCTION("""COMPUTED_VALUE"""),"gpc_asignaciones_familiares_pib")</f>
        <v>gpc_asignaciones_familiares_pib</v>
      </c>
      <c r="C1145" s="6">
        <f>IFERROR(__xludf.DUMMYFUNCTION("""COMPUTED_VALUE"""),0.96582858869896)</f>
        <v>0.9658285887</v>
      </c>
    </row>
    <row r="1146">
      <c r="A1146" s="5">
        <f>IFERROR(__xludf.DUMMYFUNCTION("""COMPUTED_VALUE"""),41640.0)</f>
        <v>41640</v>
      </c>
      <c r="B1146" s="6" t="str">
        <f>IFERROR(__xludf.DUMMYFUNCTION("""COMPUTED_VALUE"""),"gpc_otros_servicios_urbanos_pib")</f>
        <v>gpc_otros_servicios_urbanos_pib</v>
      </c>
      <c r="C1146" s="6">
        <f>IFERROR(__xludf.DUMMYFUNCTION("""COMPUTED_VALUE"""),0.955647726056811)</f>
        <v>0.9556477261</v>
      </c>
    </row>
    <row r="1147">
      <c r="A1147" s="5">
        <f>IFERROR(__xludf.DUMMYFUNCTION("""COMPUTED_VALUE"""),41640.0)</f>
        <v>41640</v>
      </c>
      <c r="B1147" s="6" t="str">
        <f>IFERROR(__xludf.DUMMYFUNCTION("""COMPUTED_VALUE"""),"gpc_servicios_economicos_pib")</f>
        <v>gpc_servicios_economicos_pib</v>
      </c>
      <c r="C1147" s="6">
        <f>IFERROR(__xludf.DUMMYFUNCTION("""COMPUTED_VALUE"""),7.78734782852031)</f>
        <v>7.787347829</v>
      </c>
    </row>
    <row r="1148">
      <c r="A1148" s="5">
        <f>IFERROR(__xludf.DUMMYFUNCTION("""COMPUTED_VALUE"""),41640.0)</f>
        <v>41640</v>
      </c>
      <c r="B1148" s="6" t="str">
        <f>IFERROR(__xludf.DUMMYFUNCTION("""COMPUTED_VALUE"""),"gpc_produccion_primaria_pib")</f>
        <v>gpc_produccion_primaria_pib</v>
      </c>
      <c r="C1148" s="6">
        <f>IFERROR(__xludf.DUMMYFUNCTION("""COMPUTED_VALUE"""),0.407052737399189)</f>
        <v>0.4070527374</v>
      </c>
    </row>
    <row r="1149">
      <c r="A1149" s="5">
        <f>IFERROR(__xludf.DUMMYFUNCTION("""COMPUTED_VALUE"""),41640.0)</f>
        <v>41640</v>
      </c>
      <c r="B1149" s="6" t="str">
        <f>IFERROR(__xludf.DUMMYFUNCTION("""COMPUTED_VALUE"""),"gpc_energia_combustible_pib")</f>
        <v>gpc_energia_combustible_pib</v>
      </c>
      <c r="C1149" s="6">
        <f>IFERROR(__xludf.DUMMYFUNCTION("""COMPUTED_VALUE"""),4.38183638943482)</f>
        <v>4.381836389</v>
      </c>
    </row>
    <row r="1150">
      <c r="A1150" s="5">
        <f>IFERROR(__xludf.DUMMYFUNCTION("""COMPUTED_VALUE"""),41640.0)</f>
        <v>41640</v>
      </c>
      <c r="B1150" s="6" t="str">
        <f>IFERROR(__xludf.DUMMYFUNCTION("""COMPUTED_VALUE"""),"gpc_industria_pib")</f>
        <v>gpc_industria_pib</v>
      </c>
      <c r="C1150" s="6">
        <f>IFERROR(__xludf.DUMMYFUNCTION("""COMPUTED_VALUE"""),0.130930925447883)</f>
        <v>0.1309309254</v>
      </c>
    </row>
    <row r="1151">
      <c r="A1151" s="5">
        <f>IFERROR(__xludf.DUMMYFUNCTION("""COMPUTED_VALUE"""),41640.0)</f>
        <v>41640</v>
      </c>
      <c r="B1151" s="6" t="str">
        <f>IFERROR(__xludf.DUMMYFUNCTION("""COMPUTED_VALUE"""),"gpc_transporte_pib")</f>
        <v>gpc_transporte_pib</v>
      </c>
      <c r="C1151" s="6">
        <f>IFERROR(__xludf.DUMMYFUNCTION("""COMPUTED_VALUE"""),2.33643400185255)</f>
        <v>2.336434002</v>
      </c>
    </row>
    <row r="1152">
      <c r="A1152" s="5">
        <f>IFERROR(__xludf.DUMMYFUNCTION("""COMPUTED_VALUE"""),41640.0)</f>
        <v>41640</v>
      </c>
      <c r="B1152" s="6" t="str">
        <f>IFERROR(__xludf.DUMMYFUNCTION("""COMPUTED_VALUE"""),"gpc_comunicaciones_pib")</f>
        <v>gpc_comunicaciones_pib</v>
      </c>
      <c r="C1152" s="6">
        <f>IFERROR(__xludf.DUMMYFUNCTION("""COMPUTED_VALUE"""),0.257348282003854)</f>
        <v>0.257348282</v>
      </c>
    </row>
    <row r="1153">
      <c r="A1153" s="5">
        <f>IFERROR(__xludf.DUMMYFUNCTION("""COMPUTED_VALUE"""),41640.0)</f>
        <v>41640</v>
      </c>
      <c r="B1153" s="6" t="str">
        <f>IFERROR(__xludf.DUMMYFUNCTION("""COMPUTED_VALUE"""),"gpc_otros_servicios_economicos_pib")</f>
        <v>gpc_otros_servicios_economicos_pib</v>
      </c>
      <c r="C1153" s="6">
        <f>IFERROR(__xludf.DUMMYFUNCTION("""COMPUTED_VALUE"""),0.273745492382007)</f>
        <v>0.2737454924</v>
      </c>
    </row>
    <row r="1154">
      <c r="A1154" s="5">
        <f>IFERROR(__xludf.DUMMYFUNCTION("""COMPUTED_VALUE"""),41640.0)</f>
        <v>41640</v>
      </c>
      <c r="B1154" s="6" t="str">
        <f>IFERROR(__xludf.DUMMYFUNCTION("""COMPUTED_VALUE"""),"gpc_servicios_deuda_publica_pib")</f>
        <v>gpc_servicios_deuda_publica_pib</v>
      </c>
      <c r="C1154" s="6">
        <f>IFERROR(__xludf.DUMMYFUNCTION("""COMPUTED_VALUE"""),2.14997596268465)</f>
        <v>2.149975963</v>
      </c>
    </row>
    <row r="1155">
      <c r="A1155" s="5">
        <f>IFERROR(__xludf.DUMMYFUNCTION("""COMPUTED_VALUE"""),41640.0)</f>
        <v>41640</v>
      </c>
      <c r="B1155" s="6"/>
      <c r="C1155" s="6"/>
    </row>
    <row r="1156">
      <c r="A1156" s="5">
        <f>IFERROR(__xludf.DUMMYFUNCTION("""COMPUTED_VALUE"""),41640.0)</f>
        <v>41640</v>
      </c>
      <c r="B1156" s="6"/>
      <c r="C1156" s="6"/>
    </row>
    <row r="1157">
      <c r="A1157" s="5">
        <f>IFERROR(__xludf.DUMMYFUNCTION("""COMPUTED_VALUE"""),42005.0)</f>
        <v>42005</v>
      </c>
      <c r="B1157" s="6" t="str">
        <f>IFERROR(__xludf.DUMMYFUNCTION("""COMPUTED_VALUE"""),"gpc_pib")</f>
        <v>gpc_pib</v>
      </c>
      <c r="C1157" s="6">
        <f>IFERROR(__xludf.DUMMYFUNCTION("""COMPUTED_VALUE"""),46.2994597171992)</f>
        <v>46.29945972</v>
      </c>
    </row>
    <row r="1158">
      <c r="A1158" s="5">
        <f>IFERROR(__xludf.DUMMYFUNCTION("""COMPUTED_VALUE"""),42005.0)</f>
        <v>42005</v>
      </c>
      <c r="B1158" s="6" t="str">
        <f>IFERROR(__xludf.DUMMYFUNCTION("""COMPUTED_VALUE"""),"gpc_funcionamiento_estado_pib")</f>
        <v>gpc_funcionamiento_estado_pib</v>
      </c>
      <c r="C1158" s="6">
        <f>IFERROR(__xludf.DUMMYFUNCTION("""COMPUTED_VALUE"""),7.35298935358501)</f>
        <v>7.352989354</v>
      </c>
    </row>
    <row r="1159">
      <c r="A1159" s="5">
        <f>IFERROR(__xludf.DUMMYFUNCTION("""COMPUTED_VALUE"""),42005.0)</f>
        <v>42005</v>
      </c>
      <c r="B1159" s="6" t="str">
        <f>IFERROR(__xludf.DUMMYFUNCTION("""COMPUTED_VALUE"""),"gpc_administracion_general_pib")</f>
        <v>gpc_administracion_general_pib</v>
      </c>
      <c r="C1159" s="6">
        <f>IFERROR(__xludf.DUMMYFUNCTION("""COMPUTED_VALUE"""),3.12401984721486)</f>
        <v>3.124019847</v>
      </c>
    </row>
    <row r="1160">
      <c r="A1160" s="5">
        <f>IFERROR(__xludf.DUMMYFUNCTION("""COMPUTED_VALUE"""),42005.0)</f>
        <v>42005</v>
      </c>
      <c r="B1160" s="6" t="str">
        <f>IFERROR(__xludf.DUMMYFUNCTION("""COMPUTED_VALUE"""),"gpc_justicia_pib")</f>
        <v>gpc_justicia_pib</v>
      </c>
      <c r="C1160" s="6">
        <f>IFERROR(__xludf.DUMMYFUNCTION("""COMPUTED_VALUE"""),1.18151225086912)</f>
        <v>1.181512251</v>
      </c>
    </row>
    <row r="1161">
      <c r="A1161" s="5">
        <f>IFERROR(__xludf.DUMMYFUNCTION("""COMPUTED_VALUE"""),42005.0)</f>
        <v>42005</v>
      </c>
      <c r="B1161" s="6" t="str">
        <f>IFERROR(__xludf.DUMMYFUNCTION("""COMPUTED_VALUE"""),"gpc_defensa_seguridad_pib")</f>
        <v>gpc_defensa_seguridad_pib</v>
      </c>
      <c r="C1161" s="6">
        <f>IFERROR(__xludf.DUMMYFUNCTION("""COMPUTED_VALUE"""),3.04745725550101)</f>
        <v>3.047457256</v>
      </c>
    </row>
    <row r="1162">
      <c r="A1162" s="5">
        <f>IFERROR(__xludf.DUMMYFUNCTION("""COMPUTED_VALUE"""),42005.0)</f>
        <v>42005</v>
      </c>
      <c r="B1162" s="6" t="str">
        <f>IFERROR(__xludf.DUMMYFUNCTION("""COMPUTED_VALUE"""),"gpc_servicios_sociales_pib")</f>
        <v>gpc_servicios_sociales_pib</v>
      </c>
      <c r="C1162" s="6">
        <f>IFERROR(__xludf.DUMMYFUNCTION("""COMPUTED_VALUE"""),30.2670437736309)</f>
        <v>30.26704377</v>
      </c>
    </row>
    <row r="1163">
      <c r="A1163" s="5">
        <f>IFERROR(__xludf.DUMMYFUNCTION("""COMPUTED_VALUE"""),42005.0)</f>
        <v>42005</v>
      </c>
      <c r="B1163" s="6" t="str">
        <f>IFERROR(__xludf.DUMMYFUNCTION("""COMPUTED_VALUE"""),"gpc_educacion_basica_pib")</f>
        <v>gpc_educacion_basica_pib</v>
      </c>
      <c r="C1163" s="6">
        <f>IFERROR(__xludf.DUMMYFUNCTION("""COMPUTED_VALUE"""),4.14883274236227)</f>
        <v>4.148832742</v>
      </c>
    </row>
    <row r="1164">
      <c r="A1164" s="5">
        <f>IFERROR(__xludf.DUMMYFUNCTION("""COMPUTED_VALUE"""),42005.0)</f>
        <v>42005</v>
      </c>
      <c r="B1164" s="6" t="str">
        <f>IFERROR(__xludf.DUMMYFUNCTION("""COMPUTED_VALUE"""),"gpc_educacion_universitaria_pib")</f>
        <v>gpc_educacion_universitaria_pib</v>
      </c>
      <c r="C1164" s="6">
        <f>IFERROR(__xludf.DUMMYFUNCTION("""COMPUTED_VALUE"""),1.2958420233838)</f>
        <v>1.295842023</v>
      </c>
    </row>
    <row r="1165">
      <c r="A1165" s="5">
        <f>IFERROR(__xludf.DUMMYFUNCTION("""COMPUTED_VALUE"""),42005.0)</f>
        <v>42005</v>
      </c>
      <c r="B1165" s="6" t="str">
        <f>IFERROR(__xludf.DUMMYFUNCTION("""COMPUTED_VALUE"""),"gpc_ciencia_tecnica_pib")</f>
        <v>gpc_ciencia_tecnica_pib</v>
      </c>
      <c r="C1165" s="6">
        <f>IFERROR(__xludf.DUMMYFUNCTION("""COMPUTED_VALUE"""),0.315815979583976)</f>
        <v>0.3158159796</v>
      </c>
    </row>
    <row r="1166">
      <c r="A1166" s="5">
        <f>IFERROR(__xludf.DUMMYFUNCTION("""COMPUTED_VALUE"""),42005.0)</f>
        <v>42005</v>
      </c>
      <c r="B1166" s="6" t="str">
        <f>IFERROR(__xludf.DUMMYFUNCTION("""COMPUTED_VALUE"""),"gpc_cultura_pib")</f>
        <v>gpc_cultura_pib</v>
      </c>
      <c r="C1166" s="6">
        <f>IFERROR(__xludf.DUMMYFUNCTION("""COMPUTED_VALUE"""),0.248241975211193)</f>
        <v>0.2482419752</v>
      </c>
    </row>
    <row r="1167">
      <c r="A1167" s="5">
        <f>IFERROR(__xludf.DUMMYFUNCTION("""COMPUTED_VALUE"""),42005.0)</f>
        <v>42005</v>
      </c>
      <c r="B1167" s="6" t="str">
        <f>IFERROR(__xludf.DUMMYFUNCTION("""COMPUTED_VALUE"""),"gpc_educacion_cultura_sin_discriminar_pib")</f>
        <v>gpc_educacion_cultura_sin_discriminar_pib</v>
      </c>
      <c r="C1167" s="6">
        <f>IFERROR(__xludf.DUMMYFUNCTION("""COMPUTED_VALUE"""),0.699247965998027)</f>
        <v>0.699247966</v>
      </c>
    </row>
    <row r="1168">
      <c r="A1168" s="5">
        <f>IFERROR(__xludf.DUMMYFUNCTION("""COMPUTED_VALUE"""),42005.0)</f>
        <v>42005</v>
      </c>
      <c r="B1168" s="6" t="str">
        <f>IFERROR(__xludf.DUMMYFUNCTION("""COMPUTED_VALUE"""),"gpc_atencion_salud_pib")</f>
        <v>gpc_atencion_salud_pib</v>
      </c>
      <c r="C1168" s="6">
        <f>IFERROR(__xludf.DUMMYFUNCTION("""COMPUTED_VALUE"""),2.81177801652627)</f>
        <v>2.811778017</v>
      </c>
    </row>
    <row r="1169">
      <c r="A1169" s="5">
        <f>IFERROR(__xludf.DUMMYFUNCTION("""COMPUTED_VALUE"""),42005.0)</f>
        <v>42005</v>
      </c>
      <c r="B1169" s="6" t="str">
        <f>IFERROR(__xludf.DUMMYFUNCTION("""COMPUTED_VALUE"""),"gpc_obras_sociales_salud_pib")</f>
        <v>gpc_obras_sociales_salud_pib</v>
      </c>
      <c r="C1169" s="6">
        <f>IFERROR(__xludf.DUMMYFUNCTION("""COMPUTED_VALUE"""),3.01126995320716)</f>
        <v>3.011269953</v>
      </c>
    </row>
    <row r="1170">
      <c r="A1170" s="5">
        <f>IFERROR(__xludf.DUMMYFUNCTION("""COMPUTED_VALUE"""),42005.0)</f>
        <v>42005</v>
      </c>
      <c r="B1170" s="6" t="str">
        <f>IFERROR(__xludf.DUMMYFUNCTION("""COMPUTED_VALUE"""),"gpc_inssjyp_salud_pib")</f>
        <v>gpc_inssjyp_salud_pib</v>
      </c>
      <c r="C1170" s="6">
        <f>IFERROR(__xludf.DUMMYFUNCTION("""COMPUTED_VALUE"""),1.03199458067129)</f>
        <v>1.031994581</v>
      </c>
    </row>
    <row r="1171">
      <c r="A1171" s="5">
        <f>IFERROR(__xludf.DUMMYFUNCTION("""COMPUTED_VALUE"""),42005.0)</f>
        <v>42005</v>
      </c>
      <c r="B1171" s="6" t="str">
        <f>IFERROR(__xludf.DUMMYFUNCTION("""COMPUTED_VALUE"""),"gpc_agua_alcantarillado_pib")</f>
        <v>gpc_agua_alcantarillado_pib</v>
      </c>
      <c r="C1171" s="6">
        <f>IFERROR(__xludf.DUMMYFUNCTION("""COMPUTED_VALUE"""),0.60696002432824)</f>
        <v>0.6069600243</v>
      </c>
    </row>
    <row r="1172">
      <c r="A1172" s="5">
        <f>IFERROR(__xludf.DUMMYFUNCTION("""COMPUTED_VALUE"""),42005.0)</f>
        <v>42005</v>
      </c>
      <c r="B1172" s="6" t="str">
        <f>IFERROR(__xludf.DUMMYFUNCTION("""COMPUTED_VALUE"""),"gpc_vivienda_urbanismo_pib")</f>
        <v>gpc_vivienda_urbanismo_pib</v>
      </c>
      <c r="C1172" s="6">
        <f>IFERROR(__xludf.DUMMYFUNCTION("""COMPUTED_VALUE"""),1.18827175217237)</f>
        <v>1.188271752</v>
      </c>
    </row>
    <row r="1173">
      <c r="A1173" s="5">
        <f>IFERROR(__xludf.DUMMYFUNCTION("""COMPUTED_VALUE"""),42005.0)</f>
        <v>42005</v>
      </c>
      <c r="B1173" s="6" t="str">
        <f>IFERROR(__xludf.DUMMYFUNCTION("""COMPUTED_VALUE"""),"gpc_promocion_asistencia_social_pib")</f>
        <v>gpc_promocion_asistencia_social_pib</v>
      </c>
      <c r="C1173" s="6">
        <f>IFERROR(__xludf.DUMMYFUNCTION("""COMPUTED_VALUE"""),1.26861980129899)</f>
        <v>1.268619801</v>
      </c>
    </row>
    <row r="1174">
      <c r="A1174" s="5">
        <f>IFERROR(__xludf.DUMMYFUNCTION("""COMPUTED_VALUE"""),42005.0)</f>
        <v>42005</v>
      </c>
      <c r="B1174" s="6" t="str">
        <f>IFERROR(__xludf.DUMMYFUNCTION("""COMPUTED_VALUE"""),"gpc_obras_sociales_prestaciones_pib")</f>
        <v>gpc_obras_sociales_prestaciones_pib</v>
      </c>
      <c r="C1174" s="6">
        <f>IFERROR(__xludf.DUMMYFUNCTION("""COMPUTED_VALUE"""),0.155443719344218)</f>
        <v>0.1554437193</v>
      </c>
    </row>
    <row r="1175">
      <c r="A1175" s="5">
        <f>IFERROR(__xludf.DUMMYFUNCTION("""COMPUTED_VALUE"""),42005.0)</f>
        <v>42005</v>
      </c>
      <c r="B1175" s="6" t="str">
        <f>IFERROR(__xludf.DUMMYFUNCTION("""COMPUTED_VALUE"""),"gpc_inssjyp_prestaciones_pib")</f>
        <v>gpc_inssjyp_prestaciones_pib</v>
      </c>
      <c r="C1175" s="6">
        <f>IFERROR(__xludf.DUMMYFUNCTION("""COMPUTED_VALUE"""),0.116786882266581)</f>
        <v>0.1167868823</v>
      </c>
    </row>
    <row r="1176">
      <c r="A1176" s="5">
        <f>IFERROR(__xludf.DUMMYFUNCTION("""COMPUTED_VALUE"""),42005.0)</f>
        <v>42005</v>
      </c>
      <c r="B1176" s="6" t="str">
        <f>IFERROR(__xludf.DUMMYFUNCTION("""COMPUTED_VALUE"""),"gpc_prevision_social_pib")</f>
        <v>gpc_prevision_social_pib</v>
      </c>
      <c r="C1176" s="6">
        <f>IFERROR(__xludf.DUMMYFUNCTION("""COMPUTED_VALUE"""),11.1386578428514)</f>
        <v>11.13865784</v>
      </c>
    </row>
    <row r="1177">
      <c r="A1177" s="5">
        <f>IFERROR(__xludf.DUMMYFUNCTION("""COMPUTED_VALUE"""),42005.0)</f>
        <v>42005</v>
      </c>
      <c r="B1177" s="6" t="str">
        <f>IFERROR(__xludf.DUMMYFUNCTION("""COMPUTED_VALUE"""),"gpc_programas_empleo_pib")</f>
        <v>gpc_programas_empleo_pib</v>
      </c>
      <c r="C1177" s="6">
        <f>IFERROR(__xludf.DUMMYFUNCTION("""COMPUTED_VALUE"""),0.224033407129116)</f>
        <v>0.2240334071</v>
      </c>
    </row>
    <row r="1178">
      <c r="A1178" s="5">
        <f>IFERROR(__xludf.DUMMYFUNCTION("""COMPUTED_VALUE"""),42005.0)</f>
        <v>42005</v>
      </c>
      <c r="B1178" s="6" t="str">
        <f>IFERROR(__xludf.DUMMYFUNCTION("""COMPUTED_VALUE"""),"gpc_asignaciones_familiares_pib")</f>
        <v>gpc_asignaciones_familiares_pib</v>
      </c>
      <c r="C1178" s="6">
        <f>IFERROR(__xludf.DUMMYFUNCTION("""COMPUTED_VALUE"""),1.03646004801647)</f>
        <v>1.036460048</v>
      </c>
    </row>
    <row r="1179">
      <c r="A1179" s="5">
        <f>IFERROR(__xludf.DUMMYFUNCTION("""COMPUTED_VALUE"""),42005.0)</f>
        <v>42005</v>
      </c>
      <c r="B1179" s="6" t="str">
        <f>IFERROR(__xludf.DUMMYFUNCTION("""COMPUTED_VALUE"""),"gpc_otros_servicios_urbanos_pib")</f>
        <v>gpc_otros_servicios_urbanos_pib</v>
      </c>
      <c r="C1179" s="6">
        <f>IFERROR(__xludf.DUMMYFUNCTION("""COMPUTED_VALUE"""),0.968787059279514)</f>
        <v>0.9687870593</v>
      </c>
    </row>
    <row r="1180">
      <c r="A1180" s="5">
        <f>IFERROR(__xludf.DUMMYFUNCTION("""COMPUTED_VALUE"""),42005.0)</f>
        <v>42005</v>
      </c>
      <c r="B1180" s="6" t="str">
        <f>IFERROR(__xludf.DUMMYFUNCTION("""COMPUTED_VALUE"""),"gpc_servicios_economicos_pib")</f>
        <v>gpc_servicios_economicos_pib</v>
      </c>
      <c r="C1180" s="6">
        <f>IFERROR(__xludf.DUMMYFUNCTION("""COMPUTED_VALUE"""),6.57567820936392)</f>
        <v>6.575678209</v>
      </c>
    </row>
    <row r="1181">
      <c r="A1181" s="5">
        <f>IFERROR(__xludf.DUMMYFUNCTION("""COMPUTED_VALUE"""),42005.0)</f>
        <v>42005</v>
      </c>
      <c r="B1181" s="6" t="str">
        <f>IFERROR(__xludf.DUMMYFUNCTION("""COMPUTED_VALUE"""),"gpc_produccion_primaria_pib")</f>
        <v>gpc_produccion_primaria_pib</v>
      </c>
      <c r="C1181" s="6">
        <f>IFERROR(__xludf.DUMMYFUNCTION("""COMPUTED_VALUE"""),0.42997486132832)</f>
        <v>0.4299748613</v>
      </c>
    </row>
    <row r="1182">
      <c r="A1182" s="5">
        <f>IFERROR(__xludf.DUMMYFUNCTION("""COMPUTED_VALUE"""),42005.0)</f>
        <v>42005</v>
      </c>
      <c r="B1182" s="6" t="str">
        <f>IFERROR(__xludf.DUMMYFUNCTION("""COMPUTED_VALUE"""),"gpc_energia_combustible_pib")</f>
        <v>gpc_energia_combustible_pib</v>
      </c>
      <c r="C1182" s="6">
        <f>IFERROR(__xludf.DUMMYFUNCTION("""COMPUTED_VALUE"""),3.17954966347367)</f>
        <v>3.179549663</v>
      </c>
    </row>
    <row r="1183">
      <c r="A1183" s="5">
        <f>IFERROR(__xludf.DUMMYFUNCTION("""COMPUTED_VALUE"""),42005.0)</f>
        <v>42005</v>
      </c>
      <c r="B1183" s="6" t="str">
        <f>IFERROR(__xludf.DUMMYFUNCTION("""COMPUTED_VALUE"""),"gpc_industria_pib")</f>
        <v>gpc_industria_pib</v>
      </c>
      <c r="C1183" s="6">
        <f>IFERROR(__xludf.DUMMYFUNCTION("""COMPUTED_VALUE"""),0.167459006308137)</f>
        <v>0.1674590063</v>
      </c>
    </row>
    <row r="1184">
      <c r="A1184" s="5">
        <f>IFERROR(__xludf.DUMMYFUNCTION("""COMPUTED_VALUE"""),42005.0)</f>
        <v>42005</v>
      </c>
      <c r="B1184" s="6" t="str">
        <f>IFERROR(__xludf.DUMMYFUNCTION("""COMPUTED_VALUE"""),"gpc_transporte_pib")</f>
        <v>gpc_transporte_pib</v>
      </c>
      <c r="C1184" s="6">
        <f>IFERROR(__xludf.DUMMYFUNCTION("""COMPUTED_VALUE"""),2.26872934535424)</f>
        <v>2.268729345</v>
      </c>
    </row>
    <row r="1185">
      <c r="A1185" s="5">
        <f>IFERROR(__xludf.DUMMYFUNCTION("""COMPUTED_VALUE"""),42005.0)</f>
        <v>42005</v>
      </c>
      <c r="B1185" s="6" t="str">
        <f>IFERROR(__xludf.DUMMYFUNCTION("""COMPUTED_VALUE"""),"gpc_comunicaciones_pib")</f>
        <v>gpc_comunicaciones_pib</v>
      </c>
      <c r="C1185" s="6">
        <f>IFERROR(__xludf.DUMMYFUNCTION("""COMPUTED_VALUE"""),0.252276919639441)</f>
        <v>0.2522769196</v>
      </c>
    </row>
    <row r="1186">
      <c r="A1186" s="5">
        <f>IFERROR(__xludf.DUMMYFUNCTION("""COMPUTED_VALUE"""),42005.0)</f>
        <v>42005</v>
      </c>
      <c r="B1186" s="6" t="str">
        <f>IFERROR(__xludf.DUMMYFUNCTION("""COMPUTED_VALUE"""),"gpc_otros_servicios_economicos_pib")</f>
        <v>gpc_otros_servicios_economicos_pib</v>
      </c>
      <c r="C1186" s="6">
        <f>IFERROR(__xludf.DUMMYFUNCTION("""COMPUTED_VALUE"""),0.27768841326011)</f>
        <v>0.2776884133</v>
      </c>
    </row>
    <row r="1187">
      <c r="A1187" s="5">
        <f>IFERROR(__xludf.DUMMYFUNCTION("""COMPUTED_VALUE"""),42005.0)</f>
        <v>42005</v>
      </c>
      <c r="B1187" s="6" t="str">
        <f>IFERROR(__xludf.DUMMYFUNCTION("""COMPUTED_VALUE"""),"gpc_servicios_deuda_publica_pib")</f>
        <v>gpc_servicios_deuda_publica_pib</v>
      </c>
      <c r="C1187" s="6">
        <f>IFERROR(__xludf.DUMMYFUNCTION("""COMPUTED_VALUE"""),2.10374838061928)</f>
        <v>2.103748381</v>
      </c>
    </row>
    <row r="1188">
      <c r="A1188" s="5">
        <f>IFERROR(__xludf.DUMMYFUNCTION("""COMPUTED_VALUE"""),42005.0)</f>
        <v>42005</v>
      </c>
      <c r="B1188" s="6"/>
      <c r="C1188" s="6"/>
    </row>
    <row r="1189">
      <c r="A1189" s="5">
        <f>IFERROR(__xludf.DUMMYFUNCTION("""COMPUTED_VALUE"""),42005.0)</f>
        <v>42005</v>
      </c>
      <c r="B1189" s="6"/>
      <c r="C1189" s="6"/>
    </row>
    <row r="1190">
      <c r="A1190" s="5">
        <f>IFERROR(__xludf.DUMMYFUNCTION("""COMPUTED_VALUE"""),42370.0)</f>
        <v>42370</v>
      </c>
      <c r="B1190" s="6" t="str">
        <f>IFERROR(__xludf.DUMMYFUNCTION("""COMPUTED_VALUE"""),"gpc_pib")</f>
        <v>gpc_pib</v>
      </c>
      <c r="C1190" s="6">
        <f>IFERROR(__xludf.DUMMYFUNCTION("""COMPUTED_VALUE"""),47.3080114519466)</f>
        <v>47.30801145</v>
      </c>
    </row>
    <row r="1191">
      <c r="A1191" s="5">
        <f>IFERROR(__xludf.DUMMYFUNCTION("""COMPUTED_VALUE"""),42370.0)</f>
        <v>42370</v>
      </c>
      <c r="B1191" s="6" t="str">
        <f>IFERROR(__xludf.DUMMYFUNCTION("""COMPUTED_VALUE"""),"gpc_funcionamiento_estado_pib")</f>
        <v>gpc_funcionamiento_estado_pib</v>
      </c>
      <c r="C1191" s="6">
        <f>IFERROR(__xludf.DUMMYFUNCTION("""COMPUTED_VALUE"""),7.36883280793289)</f>
        <v>7.368832808</v>
      </c>
    </row>
    <row r="1192">
      <c r="A1192" s="5">
        <f>IFERROR(__xludf.DUMMYFUNCTION("""COMPUTED_VALUE"""),42370.0)</f>
        <v>42370</v>
      </c>
      <c r="B1192" s="6" t="str">
        <f>IFERROR(__xludf.DUMMYFUNCTION("""COMPUTED_VALUE"""),"gpc_administracion_general_pib")</f>
        <v>gpc_administracion_general_pib</v>
      </c>
      <c r="C1192" s="6">
        <f>IFERROR(__xludf.DUMMYFUNCTION("""COMPUTED_VALUE"""),2.99181024476541)</f>
        <v>2.991810245</v>
      </c>
    </row>
    <row r="1193">
      <c r="A1193" s="5">
        <f>IFERROR(__xludf.DUMMYFUNCTION("""COMPUTED_VALUE"""),42370.0)</f>
        <v>42370</v>
      </c>
      <c r="B1193" s="6" t="str">
        <f>IFERROR(__xludf.DUMMYFUNCTION("""COMPUTED_VALUE"""),"gpc_justicia_pib")</f>
        <v>gpc_justicia_pib</v>
      </c>
      <c r="C1193" s="6">
        <f>IFERROR(__xludf.DUMMYFUNCTION("""COMPUTED_VALUE"""),1.19360599253469)</f>
        <v>1.193605993</v>
      </c>
    </row>
    <row r="1194">
      <c r="A1194" s="5">
        <f>IFERROR(__xludf.DUMMYFUNCTION("""COMPUTED_VALUE"""),42370.0)</f>
        <v>42370</v>
      </c>
      <c r="B1194" s="6" t="str">
        <f>IFERROR(__xludf.DUMMYFUNCTION("""COMPUTED_VALUE"""),"gpc_defensa_seguridad_pib")</f>
        <v>gpc_defensa_seguridad_pib</v>
      </c>
      <c r="C1194" s="6">
        <f>IFERROR(__xludf.DUMMYFUNCTION("""COMPUTED_VALUE"""),3.18341657063277)</f>
        <v>3.183416571</v>
      </c>
    </row>
    <row r="1195">
      <c r="A1195" s="5">
        <f>IFERROR(__xludf.DUMMYFUNCTION("""COMPUTED_VALUE"""),42370.0)</f>
        <v>42370</v>
      </c>
      <c r="B1195" s="6" t="str">
        <f>IFERROR(__xludf.DUMMYFUNCTION("""COMPUTED_VALUE"""),"gpc_servicios_sociales_pib")</f>
        <v>gpc_servicios_sociales_pib</v>
      </c>
      <c r="C1195" s="6">
        <f>IFERROR(__xludf.DUMMYFUNCTION("""COMPUTED_VALUE"""),29.6802113012333)</f>
        <v>29.6802113</v>
      </c>
    </row>
    <row r="1196">
      <c r="A1196" s="5">
        <f>IFERROR(__xludf.DUMMYFUNCTION("""COMPUTED_VALUE"""),42370.0)</f>
        <v>42370</v>
      </c>
      <c r="B1196" s="6" t="str">
        <f>IFERROR(__xludf.DUMMYFUNCTION("""COMPUTED_VALUE"""),"gpc_educacion_basica_pib")</f>
        <v>gpc_educacion_basica_pib</v>
      </c>
      <c r="C1196" s="6">
        <f>IFERROR(__xludf.DUMMYFUNCTION("""COMPUTED_VALUE"""),3.92444713661508)</f>
        <v>3.924447137</v>
      </c>
    </row>
    <row r="1197">
      <c r="A1197" s="5">
        <f>IFERROR(__xludf.DUMMYFUNCTION("""COMPUTED_VALUE"""),42370.0)</f>
        <v>42370</v>
      </c>
      <c r="B1197" s="6" t="str">
        <f>IFERROR(__xludf.DUMMYFUNCTION("""COMPUTED_VALUE"""),"gpc_educacion_universitaria_pib")</f>
        <v>gpc_educacion_universitaria_pib</v>
      </c>
      <c r="C1197" s="6">
        <f>IFERROR(__xludf.DUMMYFUNCTION("""COMPUTED_VALUE"""),1.21602087729615)</f>
        <v>1.216020877</v>
      </c>
    </row>
    <row r="1198">
      <c r="A1198" s="5">
        <f>IFERROR(__xludf.DUMMYFUNCTION("""COMPUTED_VALUE"""),42370.0)</f>
        <v>42370</v>
      </c>
      <c r="B1198" s="6" t="str">
        <f>IFERROR(__xludf.DUMMYFUNCTION("""COMPUTED_VALUE"""),"gpc_ciencia_tecnica_pib")</f>
        <v>gpc_ciencia_tecnica_pib</v>
      </c>
      <c r="C1198" s="6">
        <f>IFERROR(__xludf.DUMMYFUNCTION("""COMPUTED_VALUE"""),0.296098868320141)</f>
        <v>0.2960988683</v>
      </c>
    </row>
    <row r="1199">
      <c r="A1199" s="5">
        <f>IFERROR(__xludf.DUMMYFUNCTION("""COMPUTED_VALUE"""),42370.0)</f>
        <v>42370</v>
      </c>
      <c r="B1199" s="6" t="str">
        <f>IFERROR(__xludf.DUMMYFUNCTION("""COMPUTED_VALUE"""),"gpc_cultura_pib")</f>
        <v>gpc_cultura_pib</v>
      </c>
      <c r="C1199" s="6">
        <f>IFERROR(__xludf.DUMMYFUNCTION("""COMPUTED_VALUE"""),0.218933360996843)</f>
        <v>0.218933361</v>
      </c>
    </row>
    <row r="1200">
      <c r="A1200" s="5">
        <f>IFERROR(__xludf.DUMMYFUNCTION("""COMPUTED_VALUE"""),42370.0)</f>
        <v>42370</v>
      </c>
      <c r="B1200" s="6" t="str">
        <f>IFERROR(__xludf.DUMMYFUNCTION("""COMPUTED_VALUE"""),"gpc_educacion_cultura_sin_discriminar_pib")</f>
        <v>gpc_educacion_cultura_sin_discriminar_pib</v>
      </c>
      <c r="C1200" s="6">
        <f>IFERROR(__xludf.DUMMYFUNCTION("""COMPUTED_VALUE"""),0.671937510611495)</f>
        <v>0.6719375106</v>
      </c>
    </row>
    <row r="1201">
      <c r="A1201" s="5">
        <f>IFERROR(__xludf.DUMMYFUNCTION("""COMPUTED_VALUE"""),42370.0)</f>
        <v>42370</v>
      </c>
      <c r="B1201" s="6" t="str">
        <f>IFERROR(__xludf.DUMMYFUNCTION("""COMPUTED_VALUE"""),"gpc_atencion_salud_pib")</f>
        <v>gpc_atencion_salud_pib</v>
      </c>
      <c r="C1201" s="6">
        <f>IFERROR(__xludf.DUMMYFUNCTION("""COMPUTED_VALUE"""),2.68856816762699)</f>
        <v>2.688568168</v>
      </c>
    </row>
    <row r="1202">
      <c r="A1202" s="5">
        <f>IFERROR(__xludf.DUMMYFUNCTION("""COMPUTED_VALUE"""),42370.0)</f>
        <v>42370</v>
      </c>
      <c r="B1202" s="6" t="str">
        <f>IFERROR(__xludf.DUMMYFUNCTION("""COMPUTED_VALUE"""),"gpc_obras_sociales_salud_pib")</f>
        <v>gpc_obras_sociales_salud_pib</v>
      </c>
      <c r="C1202" s="6">
        <f>IFERROR(__xludf.DUMMYFUNCTION("""COMPUTED_VALUE"""),2.98492355030355)</f>
        <v>2.98492355</v>
      </c>
    </row>
    <row r="1203">
      <c r="A1203" s="5">
        <f>IFERROR(__xludf.DUMMYFUNCTION("""COMPUTED_VALUE"""),42370.0)</f>
        <v>42370</v>
      </c>
      <c r="B1203" s="6" t="str">
        <f>IFERROR(__xludf.DUMMYFUNCTION("""COMPUTED_VALUE"""),"gpc_inssjyp_salud_pib")</f>
        <v>gpc_inssjyp_salud_pib</v>
      </c>
      <c r="C1203" s="6">
        <f>IFERROR(__xludf.DUMMYFUNCTION("""COMPUTED_VALUE"""),0.951683539387096)</f>
        <v>0.9516835394</v>
      </c>
    </row>
    <row r="1204">
      <c r="A1204" s="5">
        <f>IFERROR(__xludf.DUMMYFUNCTION("""COMPUTED_VALUE"""),42370.0)</f>
        <v>42370</v>
      </c>
      <c r="B1204" s="6" t="str">
        <f>IFERROR(__xludf.DUMMYFUNCTION("""COMPUTED_VALUE"""),"gpc_agua_alcantarillado_pib")</f>
        <v>gpc_agua_alcantarillado_pib</v>
      </c>
      <c r="C1204" s="6">
        <f>IFERROR(__xludf.DUMMYFUNCTION("""COMPUTED_VALUE"""),0.519061450410838)</f>
        <v>0.5190614504</v>
      </c>
    </row>
    <row r="1205">
      <c r="A1205" s="5">
        <f>IFERROR(__xludf.DUMMYFUNCTION("""COMPUTED_VALUE"""),42370.0)</f>
        <v>42370</v>
      </c>
      <c r="B1205" s="6" t="str">
        <f>IFERROR(__xludf.DUMMYFUNCTION("""COMPUTED_VALUE"""),"gpc_vivienda_urbanismo_pib")</f>
        <v>gpc_vivienda_urbanismo_pib</v>
      </c>
      <c r="C1205" s="6">
        <f>IFERROR(__xludf.DUMMYFUNCTION("""COMPUTED_VALUE"""),0.941570220296285)</f>
        <v>0.9415702203</v>
      </c>
    </row>
    <row r="1206">
      <c r="A1206" s="5">
        <f>IFERROR(__xludf.DUMMYFUNCTION("""COMPUTED_VALUE"""),42370.0)</f>
        <v>42370</v>
      </c>
      <c r="B1206" s="6" t="str">
        <f>IFERROR(__xludf.DUMMYFUNCTION("""COMPUTED_VALUE"""),"gpc_promocion_asistencia_social_pib")</f>
        <v>gpc_promocion_asistencia_social_pib</v>
      </c>
      <c r="C1206" s="6">
        <f>IFERROR(__xludf.DUMMYFUNCTION("""COMPUTED_VALUE"""),1.1974865541497)</f>
        <v>1.197486554</v>
      </c>
    </row>
    <row r="1207">
      <c r="A1207" s="5">
        <f>IFERROR(__xludf.DUMMYFUNCTION("""COMPUTED_VALUE"""),42370.0)</f>
        <v>42370</v>
      </c>
      <c r="B1207" s="6" t="str">
        <f>IFERROR(__xludf.DUMMYFUNCTION("""COMPUTED_VALUE"""),"gpc_obras_sociales_prestaciones_pib")</f>
        <v>gpc_obras_sociales_prestaciones_pib</v>
      </c>
      <c r="C1207" s="6">
        <f>IFERROR(__xludf.DUMMYFUNCTION("""COMPUTED_VALUE"""),0.153105851697821)</f>
        <v>0.1531058517</v>
      </c>
    </row>
    <row r="1208">
      <c r="A1208" s="5">
        <f>IFERROR(__xludf.DUMMYFUNCTION("""COMPUTED_VALUE"""),42370.0)</f>
        <v>42370</v>
      </c>
      <c r="B1208" s="6" t="str">
        <f>IFERROR(__xludf.DUMMYFUNCTION("""COMPUTED_VALUE"""),"gpc_inssjyp_prestaciones_pib")</f>
        <v>gpc_inssjyp_prestaciones_pib</v>
      </c>
      <c r="C1208" s="6">
        <f>IFERROR(__xludf.DUMMYFUNCTION("""COMPUTED_VALUE"""),0.247938068844693)</f>
        <v>0.2479380688</v>
      </c>
    </row>
    <row r="1209">
      <c r="A1209" s="5">
        <f>IFERROR(__xludf.DUMMYFUNCTION("""COMPUTED_VALUE"""),42370.0)</f>
        <v>42370</v>
      </c>
      <c r="B1209" s="6" t="str">
        <f>IFERROR(__xludf.DUMMYFUNCTION("""COMPUTED_VALUE"""),"gpc_prevision_social_pib")</f>
        <v>gpc_prevision_social_pib</v>
      </c>
      <c r="C1209" s="6">
        <f>IFERROR(__xludf.DUMMYFUNCTION("""COMPUTED_VALUE"""),11.266580224456)</f>
        <v>11.26658022</v>
      </c>
    </row>
    <row r="1210">
      <c r="A1210" s="5">
        <f>IFERROR(__xludf.DUMMYFUNCTION("""COMPUTED_VALUE"""),42370.0)</f>
        <v>42370</v>
      </c>
      <c r="B1210" s="6" t="str">
        <f>IFERROR(__xludf.DUMMYFUNCTION("""COMPUTED_VALUE"""),"gpc_programas_empleo_pib")</f>
        <v>gpc_programas_empleo_pib</v>
      </c>
      <c r="C1210" s="6">
        <f>IFERROR(__xludf.DUMMYFUNCTION("""COMPUTED_VALUE"""),0.211871406378167)</f>
        <v>0.2118714064</v>
      </c>
    </row>
    <row r="1211">
      <c r="A1211" s="5">
        <f>IFERROR(__xludf.DUMMYFUNCTION("""COMPUTED_VALUE"""),42370.0)</f>
        <v>42370</v>
      </c>
      <c r="B1211" s="6" t="str">
        <f>IFERROR(__xludf.DUMMYFUNCTION("""COMPUTED_VALUE"""),"gpc_asignaciones_familiares_pib")</f>
        <v>gpc_asignaciones_familiares_pib</v>
      </c>
      <c r="C1211" s="6">
        <f>IFERROR(__xludf.DUMMYFUNCTION("""COMPUTED_VALUE"""),1.23490641412986)</f>
        <v>1.234906414</v>
      </c>
    </row>
    <row r="1212">
      <c r="A1212" s="5">
        <f>IFERROR(__xludf.DUMMYFUNCTION("""COMPUTED_VALUE"""),42370.0)</f>
        <v>42370</v>
      </c>
      <c r="B1212" s="6" t="str">
        <f>IFERROR(__xludf.DUMMYFUNCTION("""COMPUTED_VALUE"""),"gpc_otros_servicios_urbanos_pib")</f>
        <v>gpc_otros_servicios_urbanos_pib</v>
      </c>
      <c r="C1212" s="6">
        <f>IFERROR(__xludf.DUMMYFUNCTION("""COMPUTED_VALUE"""),0.95507809971264)</f>
        <v>0.9550780997</v>
      </c>
    </row>
    <row r="1213">
      <c r="A1213" s="5">
        <f>IFERROR(__xludf.DUMMYFUNCTION("""COMPUTED_VALUE"""),42370.0)</f>
        <v>42370</v>
      </c>
      <c r="B1213" s="6" t="str">
        <f>IFERROR(__xludf.DUMMYFUNCTION("""COMPUTED_VALUE"""),"gpc_servicios_economicos_pib")</f>
        <v>gpc_servicios_economicos_pib</v>
      </c>
      <c r="C1213" s="6">
        <f>IFERROR(__xludf.DUMMYFUNCTION("""COMPUTED_VALUE"""),6.19405187561651)</f>
        <v>6.194051876</v>
      </c>
    </row>
    <row r="1214">
      <c r="A1214" s="5">
        <f>IFERROR(__xludf.DUMMYFUNCTION("""COMPUTED_VALUE"""),42370.0)</f>
        <v>42370</v>
      </c>
      <c r="B1214" s="6" t="str">
        <f>IFERROR(__xludf.DUMMYFUNCTION("""COMPUTED_VALUE"""),"gpc_produccion_primaria_pib")</f>
        <v>gpc_produccion_primaria_pib</v>
      </c>
      <c r="C1214" s="6">
        <f>IFERROR(__xludf.DUMMYFUNCTION("""COMPUTED_VALUE"""),0.391855393708049)</f>
        <v>0.3918553937</v>
      </c>
    </row>
    <row r="1215">
      <c r="A1215" s="5">
        <f>IFERROR(__xludf.DUMMYFUNCTION("""COMPUTED_VALUE"""),42370.0)</f>
        <v>42370</v>
      </c>
      <c r="B1215" s="6" t="str">
        <f>IFERROR(__xludf.DUMMYFUNCTION("""COMPUTED_VALUE"""),"gpc_energia_combustible_pib")</f>
        <v>gpc_energia_combustible_pib</v>
      </c>
      <c r="C1215" s="6">
        <f>IFERROR(__xludf.DUMMYFUNCTION("""COMPUTED_VALUE"""),3.12394199300037)</f>
        <v>3.123941993</v>
      </c>
    </row>
    <row r="1216">
      <c r="A1216" s="5">
        <f>IFERROR(__xludf.DUMMYFUNCTION("""COMPUTED_VALUE"""),42370.0)</f>
        <v>42370</v>
      </c>
      <c r="B1216" s="6" t="str">
        <f>IFERROR(__xludf.DUMMYFUNCTION("""COMPUTED_VALUE"""),"gpc_industria_pib")</f>
        <v>gpc_industria_pib</v>
      </c>
      <c r="C1216" s="6">
        <f>IFERROR(__xludf.DUMMYFUNCTION("""COMPUTED_VALUE"""),0.166264579647046)</f>
        <v>0.1662645796</v>
      </c>
    </row>
    <row r="1217">
      <c r="A1217" s="5">
        <f>IFERROR(__xludf.DUMMYFUNCTION("""COMPUTED_VALUE"""),42370.0)</f>
        <v>42370</v>
      </c>
      <c r="B1217" s="6" t="str">
        <f>IFERROR(__xludf.DUMMYFUNCTION("""COMPUTED_VALUE"""),"gpc_transporte_pib")</f>
        <v>gpc_transporte_pib</v>
      </c>
      <c r="C1217" s="6">
        <f>IFERROR(__xludf.DUMMYFUNCTION("""COMPUTED_VALUE"""),2.09309369159273)</f>
        <v>2.093093692</v>
      </c>
    </row>
    <row r="1218">
      <c r="A1218" s="5">
        <f>IFERROR(__xludf.DUMMYFUNCTION("""COMPUTED_VALUE"""),42370.0)</f>
        <v>42370</v>
      </c>
      <c r="B1218" s="6" t="str">
        <f>IFERROR(__xludf.DUMMYFUNCTION("""COMPUTED_VALUE"""),"gpc_comunicaciones_pib")</f>
        <v>gpc_comunicaciones_pib</v>
      </c>
      <c r="C1218" s="6">
        <f>IFERROR(__xludf.DUMMYFUNCTION("""COMPUTED_VALUE"""),0.163723652117353)</f>
        <v>0.1637236521</v>
      </c>
    </row>
    <row r="1219">
      <c r="A1219" s="5">
        <f>IFERROR(__xludf.DUMMYFUNCTION("""COMPUTED_VALUE"""),42370.0)</f>
        <v>42370</v>
      </c>
      <c r="B1219" s="6" t="str">
        <f>IFERROR(__xludf.DUMMYFUNCTION("""COMPUTED_VALUE"""),"gpc_otros_servicios_economicos_pib")</f>
        <v>gpc_otros_servicios_economicos_pib</v>
      </c>
      <c r="C1219" s="6">
        <f>IFERROR(__xludf.DUMMYFUNCTION("""COMPUTED_VALUE"""),0.255172565550951)</f>
        <v>0.2551725656</v>
      </c>
    </row>
    <row r="1220">
      <c r="A1220" s="5">
        <f>IFERROR(__xludf.DUMMYFUNCTION("""COMPUTED_VALUE"""),42370.0)</f>
        <v>42370</v>
      </c>
      <c r="B1220" s="6" t="str">
        <f>IFERROR(__xludf.DUMMYFUNCTION("""COMPUTED_VALUE"""),"gpc_servicios_deuda_publica_pib")</f>
        <v>gpc_servicios_deuda_publica_pib</v>
      </c>
      <c r="C1220" s="6">
        <f>IFERROR(__xludf.DUMMYFUNCTION("""COMPUTED_VALUE"""),4.06491546716384)</f>
        <v>4.064915467</v>
      </c>
    </row>
    <row r="1221">
      <c r="A1221" s="5">
        <f>IFERROR(__xludf.DUMMYFUNCTION("""COMPUTED_VALUE"""),42370.0)</f>
        <v>42370</v>
      </c>
      <c r="B1221" s="6"/>
      <c r="C1221" s="6"/>
    </row>
    <row r="1222">
      <c r="A1222" s="5">
        <f>IFERROR(__xludf.DUMMYFUNCTION("""COMPUTED_VALUE"""),42370.0)</f>
        <v>42370</v>
      </c>
      <c r="B1222" s="6"/>
      <c r="C1222" s="6"/>
    </row>
    <row r="1223">
      <c r="A1223" s="5">
        <f>IFERROR(__xludf.DUMMYFUNCTION("""COMPUTED_VALUE"""),42736.0)</f>
        <v>42736</v>
      </c>
      <c r="B1223" s="6" t="str">
        <f>IFERROR(__xludf.DUMMYFUNCTION("""COMPUTED_VALUE"""),"gpc_pib")</f>
        <v>gpc_pib</v>
      </c>
      <c r="C1223" s="6">
        <f>IFERROR(__xludf.DUMMYFUNCTION("""COMPUTED_VALUE"""),46.2478183091997)</f>
        <v>46.24781831</v>
      </c>
    </row>
    <row r="1224">
      <c r="A1224" s="5">
        <f>IFERROR(__xludf.DUMMYFUNCTION("""COMPUTED_VALUE"""),42736.0)</f>
        <v>42736</v>
      </c>
      <c r="B1224" s="6" t="str">
        <f>IFERROR(__xludf.DUMMYFUNCTION("""COMPUTED_VALUE"""),"gpc_funcionamiento_estado_pib")</f>
        <v>gpc_funcionamiento_estado_pib</v>
      </c>
      <c r="C1224" s="6">
        <f>IFERROR(__xludf.DUMMYFUNCTION("""COMPUTED_VALUE"""),7.31175566978709)</f>
        <v>7.31175567</v>
      </c>
    </row>
    <row r="1225">
      <c r="A1225" s="5">
        <f>IFERROR(__xludf.DUMMYFUNCTION("""COMPUTED_VALUE"""),42736.0)</f>
        <v>42736</v>
      </c>
      <c r="B1225" s="6" t="str">
        <f>IFERROR(__xludf.DUMMYFUNCTION("""COMPUTED_VALUE"""),"gpc_administracion_general_pib")</f>
        <v>gpc_administracion_general_pib</v>
      </c>
      <c r="C1225" s="6">
        <f>IFERROR(__xludf.DUMMYFUNCTION("""COMPUTED_VALUE"""),3.00814018909452)</f>
        <v>3.008140189</v>
      </c>
    </row>
    <row r="1226">
      <c r="A1226" s="5">
        <f>IFERROR(__xludf.DUMMYFUNCTION("""COMPUTED_VALUE"""),42736.0)</f>
        <v>42736</v>
      </c>
      <c r="B1226" s="6" t="str">
        <f>IFERROR(__xludf.DUMMYFUNCTION("""COMPUTED_VALUE"""),"gpc_justicia_pib")</f>
        <v>gpc_justicia_pib</v>
      </c>
      <c r="C1226" s="6">
        <f>IFERROR(__xludf.DUMMYFUNCTION("""COMPUTED_VALUE"""),1.22819249163544)</f>
        <v>1.228192492</v>
      </c>
    </row>
    <row r="1227">
      <c r="A1227" s="5">
        <f>IFERROR(__xludf.DUMMYFUNCTION("""COMPUTED_VALUE"""),42736.0)</f>
        <v>42736</v>
      </c>
      <c r="B1227" s="6" t="str">
        <f>IFERROR(__xludf.DUMMYFUNCTION("""COMPUTED_VALUE"""),"gpc_defensa_seguridad_pib")</f>
        <v>gpc_defensa_seguridad_pib</v>
      </c>
      <c r="C1227" s="6">
        <f>IFERROR(__xludf.DUMMYFUNCTION("""COMPUTED_VALUE"""),3.07542298905713)</f>
        <v>3.075422989</v>
      </c>
    </row>
    <row r="1228">
      <c r="A1228" s="5">
        <f>IFERROR(__xludf.DUMMYFUNCTION("""COMPUTED_VALUE"""),42736.0)</f>
        <v>42736</v>
      </c>
      <c r="B1228" s="6" t="str">
        <f>IFERROR(__xludf.DUMMYFUNCTION("""COMPUTED_VALUE"""),"gpc_servicios_sociales_pib")</f>
        <v>gpc_servicios_sociales_pib</v>
      </c>
      <c r="C1228" s="6">
        <f>IFERROR(__xludf.DUMMYFUNCTION("""COMPUTED_VALUE"""),30.6474449825931)</f>
        <v>30.64744498</v>
      </c>
    </row>
    <row r="1229">
      <c r="A1229" s="5">
        <f>IFERROR(__xludf.DUMMYFUNCTION("""COMPUTED_VALUE"""),42736.0)</f>
        <v>42736</v>
      </c>
      <c r="B1229" s="6" t="str">
        <f>IFERROR(__xludf.DUMMYFUNCTION("""COMPUTED_VALUE"""),"gpc_educacion_basica_pib")</f>
        <v>gpc_educacion_basica_pib</v>
      </c>
      <c r="C1229" s="6">
        <f>IFERROR(__xludf.DUMMYFUNCTION("""COMPUTED_VALUE"""),3.86901752104739)</f>
        <v>3.869017521</v>
      </c>
    </row>
    <row r="1230">
      <c r="A1230" s="5">
        <f>IFERROR(__xludf.DUMMYFUNCTION("""COMPUTED_VALUE"""),42736.0)</f>
        <v>42736</v>
      </c>
      <c r="B1230" s="6" t="str">
        <f>IFERROR(__xludf.DUMMYFUNCTION("""COMPUTED_VALUE"""),"gpc_educacion_universitaria_pib")</f>
        <v>gpc_educacion_universitaria_pib</v>
      </c>
      <c r="C1230" s="6">
        <f>IFERROR(__xludf.DUMMYFUNCTION("""COMPUTED_VALUE"""),1.26249289024356)</f>
        <v>1.26249289</v>
      </c>
    </row>
    <row r="1231">
      <c r="A1231" s="5">
        <f>IFERROR(__xludf.DUMMYFUNCTION("""COMPUTED_VALUE"""),42736.0)</f>
        <v>42736</v>
      </c>
      <c r="B1231" s="6" t="str">
        <f>IFERROR(__xludf.DUMMYFUNCTION("""COMPUTED_VALUE"""),"gpc_ciencia_tecnica_pib")</f>
        <v>gpc_ciencia_tecnica_pib</v>
      </c>
      <c r="C1231" s="6">
        <f>IFERROR(__xludf.DUMMYFUNCTION("""COMPUTED_VALUE"""),0.283502036250579)</f>
        <v>0.2835020363</v>
      </c>
    </row>
    <row r="1232">
      <c r="A1232" s="5">
        <f>IFERROR(__xludf.DUMMYFUNCTION("""COMPUTED_VALUE"""),42736.0)</f>
        <v>42736</v>
      </c>
      <c r="B1232" s="6" t="str">
        <f>IFERROR(__xludf.DUMMYFUNCTION("""COMPUTED_VALUE"""),"gpc_cultura_pib")</f>
        <v>gpc_cultura_pib</v>
      </c>
      <c r="C1232" s="6">
        <f>IFERROR(__xludf.DUMMYFUNCTION("""COMPUTED_VALUE"""),0.236690946765625)</f>
        <v>0.2366909468</v>
      </c>
    </row>
    <row r="1233">
      <c r="A1233" s="5">
        <f>IFERROR(__xludf.DUMMYFUNCTION("""COMPUTED_VALUE"""),42736.0)</f>
        <v>42736</v>
      </c>
      <c r="B1233" s="6" t="str">
        <f>IFERROR(__xludf.DUMMYFUNCTION("""COMPUTED_VALUE"""),"gpc_educacion_cultura_sin_discriminar_pib")</f>
        <v>gpc_educacion_cultura_sin_discriminar_pib</v>
      </c>
      <c r="C1233" s="6">
        <f>IFERROR(__xludf.DUMMYFUNCTION("""COMPUTED_VALUE"""),0.613888970691831)</f>
        <v>0.6138889707</v>
      </c>
    </row>
    <row r="1234">
      <c r="A1234" s="5">
        <f>IFERROR(__xludf.DUMMYFUNCTION("""COMPUTED_VALUE"""),42736.0)</f>
        <v>42736</v>
      </c>
      <c r="B1234" s="6" t="str">
        <f>IFERROR(__xludf.DUMMYFUNCTION("""COMPUTED_VALUE"""),"gpc_atencion_salud_pib")</f>
        <v>gpc_atencion_salud_pib</v>
      </c>
      <c r="C1234" s="6">
        <f>IFERROR(__xludf.DUMMYFUNCTION("""COMPUTED_VALUE"""),2.72766388635881)</f>
        <v>2.727663886</v>
      </c>
    </row>
    <row r="1235">
      <c r="A1235" s="5">
        <f>IFERROR(__xludf.DUMMYFUNCTION("""COMPUTED_VALUE"""),42736.0)</f>
        <v>42736</v>
      </c>
      <c r="B1235" s="6" t="str">
        <f>IFERROR(__xludf.DUMMYFUNCTION("""COMPUTED_VALUE"""),"gpc_obras_sociales_salud_pib")</f>
        <v>gpc_obras_sociales_salud_pib</v>
      </c>
      <c r="C1235" s="6">
        <f>IFERROR(__xludf.DUMMYFUNCTION("""COMPUTED_VALUE"""),3.10753620955683)</f>
        <v>3.10753621</v>
      </c>
    </row>
    <row r="1236">
      <c r="A1236" s="5">
        <f>IFERROR(__xludf.DUMMYFUNCTION("""COMPUTED_VALUE"""),42736.0)</f>
        <v>42736</v>
      </c>
      <c r="B1236" s="6" t="str">
        <f>IFERROR(__xludf.DUMMYFUNCTION("""COMPUTED_VALUE"""),"gpc_inssjyp_salud_pib")</f>
        <v>gpc_inssjyp_salud_pib</v>
      </c>
      <c r="C1236" s="6">
        <f>IFERROR(__xludf.DUMMYFUNCTION("""COMPUTED_VALUE"""),0.904487881276515)</f>
        <v>0.9044878813</v>
      </c>
    </row>
    <row r="1237">
      <c r="A1237" s="5">
        <f>IFERROR(__xludf.DUMMYFUNCTION("""COMPUTED_VALUE"""),42736.0)</f>
        <v>42736</v>
      </c>
      <c r="B1237" s="6" t="str">
        <f>IFERROR(__xludf.DUMMYFUNCTION("""COMPUTED_VALUE"""),"gpc_agua_alcantarillado_pib")</f>
        <v>gpc_agua_alcantarillado_pib</v>
      </c>
      <c r="C1237" s="6">
        <f>IFERROR(__xludf.DUMMYFUNCTION("""COMPUTED_VALUE"""),0.559556246712744)</f>
        <v>0.5595562467</v>
      </c>
    </row>
    <row r="1238">
      <c r="A1238" s="5">
        <f>IFERROR(__xludf.DUMMYFUNCTION("""COMPUTED_VALUE"""),42736.0)</f>
        <v>42736</v>
      </c>
      <c r="B1238" s="6" t="str">
        <f>IFERROR(__xludf.DUMMYFUNCTION("""COMPUTED_VALUE"""),"gpc_vivienda_urbanismo_pib")</f>
        <v>gpc_vivienda_urbanismo_pib</v>
      </c>
      <c r="C1238" s="6">
        <f>IFERROR(__xludf.DUMMYFUNCTION("""COMPUTED_VALUE"""),1.02289401557416)</f>
        <v>1.022894016</v>
      </c>
    </row>
    <row r="1239">
      <c r="A1239" s="5">
        <f>IFERROR(__xludf.DUMMYFUNCTION("""COMPUTED_VALUE"""),42736.0)</f>
        <v>42736</v>
      </c>
      <c r="B1239" s="6" t="str">
        <f>IFERROR(__xludf.DUMMYFUNCTION("""COMPUTED_VALUE"""),"gpc_promocion_asistencia_social_pib")</f>
        <v>gpc_promocion_asistencia_social_pib</v>
      </c>
      <c r="C1239" s="6">
        <f>IFERROR(__xludf.DUMMYFUNCTION("""COMPUTED_VALUE"""),1.38200371378809)</f>
        <v>1.382003714</v>
      </c>
    </row>
    <row r="1240">
      <c r="A1240" s="5">
        <f>IFERROR(__xludf.DUMMYFUNCTION("""COMPUTED_VALUE"""),42736.0)</f>
        <v>42736</v>
      </c>
      <c r="B1240" s="6" t="str">
        <f>IFERROR(__xludf.DUMMYFUNCTION("""COMPUTED_VALUE"""),"gpc_obras_sociales_prestaciones_pib")</f>
        <v>gpc_obras_sociales_prestaciones_pib</v>
      </c>
      <c r="C1240" s="6">
        <f>IFERROR(__xludf.DUMMYFUNCTION("""COMPUTED_VALUE"""),0.160530040000907)</f>
        <v>0.16053004</v>
      </c>
    </row>
    <row r="1241">
      <c r="A1241" s="5">
        <f>IFERROR(__xludf.DUMMYFUNCTION("""COMPUTED_VALUE"""),42736.0)</f>
        <v>42736</v>
      </c>
      <c r="B1241" s="6" t="str">
        <f>IFERROR(__xludf.DUMMYFUNCTION("""COMPUTED_VALUE"""),"gpc_inssjyp_prestaciones_pib")</f>
        <v>gpc_inssjyp_prestaciones_pib</v>
      </c>
      <c r="C1241" s="6">
        <f>IFERROR(__xludf.DUMMYFUNCTION("""COMPUTED_VALUE"""),0.228060647910213)</f>
        <v>0.2280606479</v>
      </c>
    </row>
    <row r="1242">
      <c r="A1242" s="5">
        <f>IFERROR(__xludf.DUMMYFUNCTION("""COMPUTED_VALUE"""),42736.0)</f>
        <v>42736</v>
      </c>
      <c r="B1242" s="6" t="str">
        <f>IFERROR(__xludf.DUMMYFUNCTION("""COMPUTED_VALUE"""),"gpc_prevision_social_pib")</f>
        <v>gpc_prevision_social_pib</v>
      </c>
      <c r="C1242" s="6">
        <f>IFERROR(__xludf.DUMMYFUNCTION("""COMPUTED_VALUE"""),11.7874932566281)</f>
        <v>11.78749326</v>
      </c>
    </row>
    <row r="1243">
      <c r="A1243" s="5">
        <f>IFERROR(__xludf.DUMMYFUNCTION("""COMPUTED_VALUE"""),42736.0)</f>
        <v>42736</v>
      </c>
      <c r="B1243" s="6" t="str">
        <f>IFERROR(__xludf.DUMMYFUNCTION("""COMPUTED_VALUE"""),"gpc_programas_empleo_pib")</f>
        <v>gpc_programas_empleo_pib</v>
      </c>
      <c r="C1243" s="6">
        <f>IFERROR(__xludf.DUMMYFUNCTION("""COMPUTED_VALUE"""),0.244754694540347)</f>
        <v>0.2447546945</v>
      </c>
    </row>
    <row r="1244">
      <c r="A1244" s="5">
        <f>IFERROR(__xludf.DUMMYFUNCTION("""COMPUTED_VALUE"""),42736.0)</f>
        <v>42736</v>
      </c>
      <c r="B1244" s="6" t="str">
        <f>IFERROR(__xludf.DUMMYFUNCTION("""COMPUTED_VALUE"""),"gpc_asignaciones_familiares_pib")</f>
        <v>gpc_asignaciones_familiares_pib</v>
      </c>
      <c r="C1244" s="6">
        <f>IFERROR(__xludf.DUMMYFUNCTION("""COMPUTED_VALUE"""),1.25082988232968)</f>
        <v>1.250829882</v>
      </c>
    </row>
    <row r="1245">
      <c r="A1245" s="5">
        <f>IFERROR(__xludf.DUMMYFUNCTION("""COMPUTED_VALUE"""),42736.0)</f>
        <v>42736</v>
      </c>
      <c r="B1245" s="6" t="str">
        <f>IFERROR(__xludf.DUMMYFUNCTION("""COMPUTED_VALUE"""),"gpc_otros_servicios_urbanos_pib")</f>
        <v>gpc_otros_servicios_urbanos_pib</v>
      </c>
      <c r="C1245" s="6">
        <f>IFERROR(__xludf.DUMMYFUNCTION("""COMPUTED_VALUE"""),1.00604214291774)</f>
        <v>1.006042143</v>
      </c>
    </row>
    <row r="1246">
      <c r="A1246" s="5">
        <f>IFERROR(__xludf.DUMMYFUNCTION("""COMPUTED_VALUE"""),42736.0)</f>
        <v>42736</v>
      </c>
      <c r="B1246" s="6" t="str">
        <f>IFERROR(__xludf.DUMMYFUNCTION("""COMPUTED_VALUE"""),"gpc_servicios_economicos_pib")</f>
        <v>gpc_servicios_economicos_pib</v>
      </c>
      <c r="C1246" s="6">
        <f>IFERROR(__xludf.DUMMYFUNCTION("""COMPUTED_VALUE"""),4.87773305724704)</f>
        <v>4.877733057</v>
      </c>
    </row>
    <row r="1247">
      <c r="A1247" s="5">
        <f>IFERROR(__xludf.DUMMYFUNCTION("""COMPUTED_VALUE"""),42736.0)</f>
        <v>42736</v>
      </c>
      <c r="B1247" s="6" t="str">
        <f>IFERROR(__xludf.DUMMYFUNCTION("""COMPUTED_VALUE"""),"gpc_produccion_primaria_pib")</f>
        <v>gpc_produccion_primaria_pib</v>
      </c>
      <c r="C1247" s="6">
        <f>IFERROR(__xludf.DUMMYFUNCTION("""COMPUTED_VALUE"""),0.417780435374059)</f>
        <v>0.4177804354</v>
      </c>
    </row>
    <row r="1248">
      <c r="A1248" s="5">
        <f>IFERROR(__xludf.DUMMYFUNCTION("""COMPUTED_VALUE"""),42736.0)</f>
        <v>42736</v>
      </c>
      <c r="B1248" s="6" t="str">
        <f>IFERROR(__xludf.DUMMYFUNCTION("""COMPUTED_VALUE"""),"gpc_energia_combustible_pib")</f>
        <v>gpc_energia_combustible_pib</v>
      </c>
      <c r="C1248" s="6">
        <f>IFERROR(__xludf.DUMMYFUNCTION("""COMPUTED_VALUE"""),1.72437885965963)</f>
        <v>1.72437886</v>
      </c>
    </row>
    <row r="1249">
      <c r="A1249" s="5">
        <f>IFERROR(__xludf.DUMMYFUNCTION("""COMPUTED_VALUE"""),42736.0)</f>
        <v>42736</v>
      </c>
      <c r="B1249" s="6" t="str">
        <f>IFERROR(__xludf.DUMMYFUNCTION("""COMPUTED_VALUE"""),"gpc_industria_pib")</f>
        <v>gpc_industria_pib</v>
      </c>
      <c r="C1249" s="6">
        <f>IFERROR(__xludf.DUMMYFUNCTION("""COMPUTED_VALUE"""),0.139620772355604)</f>
        <v>0.1396207724</v>
      </c>
    </row>
    <row r="1250">
      <c r="A1250" s="5">
        <f>IFERROR(__xludf.DUMMYFUNCTION("""COMPUTED_VALUE"""),42736.0)</f>
        <v>42736</v>
      </c>
      <c r="B1250" s="6" t="str">
        <f>IFERROR(__xludf.DUMMYFUNCTION("""COMPUTED_VALUE"""),"gpc_transporte_pib")</f>
        <v>gpc_transporte_pib</v>
      </c>
      <c r="C1250" s="6">
        <f>IFERROR(__xludf.DUMMYFUNCTION("""COMPUTED_VALUE"""),2.16212979849254)</f>
        <v>2.162129798</v>
      </c>
    </row>
    <row r="1251">
      <c r="A1251" s="5">
        <f>IFERROR(__xludf.DUMMYFUNCTION("""COMPUTED_VALUE"""),42736.0)</f>
        <v>42736</v>
      </c>
      <c r="B1251" s="6" t="str">
        <f>IFERROR(__xludf.DUMMYFUNCTION("""COMPUTED_VALUE"""),"gpc_comunicaciones_pib")</f>
        <v>gpc_comunicaciones_pib</v>
      </c>
      <c r="C1251" s="6">
        <f>IFERROR(__xludf.DUMMYFUNCTION("""COMPUTED_VALUE"""),0.152416996357582)</f>
        <v>0.1524169964</v>
      </c>
    </row>
    <row r="1252">
      <c r="A1252" s="5">
        <f>IFERROR(__xludf.DUMMYFUNCTION("""COMPUTED_VALUE"""),42736.0)</f>
        <v>42736</v>
      </c>
      <c r="B1252" s="6" t="str">
        <f>IFERROR(__xludf.DUMMYFUNCTION("""COMPUTED_VALUE"""),"gpc_otros_servicios_economicos_pib")</f>
        <v>gpc_otros_servicios_economicos_pib</v>
      </c>
      <c r="C1252" s="6">
        <f>IFERROR(__xludf.DUMMYFUNCTION("""COMPUTED_VALUE"""),0.281406195007616)</f>
        <v>0.281406195</v>
      </c>
    </row>
    <row r="1253">
      <c r="A1253" s="5">
        <f>IFERROR(__xludf.DUMMYFUNCTION("""COMPUTED_VALUE"""),42736.0)</f>
        <v>42736</v>
      </c>
      <c r="B1253" s="6" t="str">
        <f>IFERROR(__xludf.DUMMYFUNCTION("""COMPUTED_VALUE"""),"gpc_servicios_deuda_publica_pib")</f>
        <v>gpc_servicios_deuda_publica_pib</v>
      </c>
      <c r="C1253" s="6">
        <f>IFERROR(__xludf.DUMMYFUNCTION("""COMPUTED_VALUE"""),3.41088459957246)</f>
        <v>3.4108846</v>
      </c>
    </row>
    <row r="1254">
      <c r="A1254" s="5">
        <f>IFERROR(__xludf.DUMMYFUNCTION("""COMPUTED_VALUE"""),42736.0)</f>
        <v>42736</v>
      </c>
      <c r="B1254" s="6"/>
      <c r="C1254" s="6"/>
    </row>
    <row r="1255">
      <c r="A1255" s="5">
        <f>IFERROR(__xludf.DUMMYFUNCTION("""COMPUTED_VALUE"""),42736.0)</f>
        <v>42736</v>
      </c>
      <c r="B1255" s="6"/>
      <c r="C1255" s="6"/>
    </row>
    <row r="1256">
      <c r="A1256" s="5">
        <f>IFERROR(__xludf.DUMMYFUNCTION("""COMPUTED_VALUE"""),43101.0)</f>
        <v>43101</v>
      </c>
      <c r="B1256" s="6" t="str">
        <f>IFERROR(__xludf.DUMMYFUNCTION("""COMPUTED_VALUE"""),"gpc_pib")</f>
        <v>gpc_pib</v>
      </c>
      <c r="C1256" s="6">
        <f>IFERROR(__xludf.DUMMYFUNCTION("""COMPUTED_VALUE"""),43.5896246770766)</f>
        <v>43.58962468</v>
      </c>
    </row>
    <row r="1257">
      <c r="A1257" s="5">
        <f>IFERROR(__xludf.DUMMYFUNCTION("""COMPUTED_VALUE"""),43101.0)</f>
        <v>43101</v>
      </c>
      <c r="B1257" s="6" t="str">
        <f>IFERROR(__xludf.DUMMYFUNCTION("""COMPUTED_VALUE"""),"gpc_funcionamiento_estado_pib")</f>
        <v>gpc_funcionamiento_estado_pib</v>
      </c>
      <c r="C1257" s="6">
        <f>IFERROR(__xludf.DUMMYFUNCTION("""COMPUTED_VALUE"""),6.59364789079859)</f>
        <v>6.593647891</v>
      </c>
    </row>
    <row r="1258">
      <c r="A1258" s="5">
        <f>IFERROR(__xludf.DUMMYFUNCTION("""COMPUTED_VALUE"""),43101.0)</f>
        <v>43101</v>
      </c>
      <c r="B1258" s="6" t="str">
        <f>IFERROR(__xludf.DUMMYFUNCTION("""COMPUTED_VALUE"""),"gpc_administracion_general_pib")</f>
        <v>gpc_administracion_general_pib</v>
      </c>
      <c r="C1258" s="6">
        <f>IFERROR(__xludf.DUMMYFUNCTION("""COMPUTED_VALUE"""),2.70729817548758)</f>
        <v>2.707298175</v>
      </c>
    </row>
    <row r="1259">
      <c r="A1259" s="5">
        <f>IFERROR(__xludf.DUMMYFUNCTION("""COMPUTED_VALUE"""),43101.0)</f>
        <v>43101</v>
      </c>
      <c r="B1259" s="6" t="str">
        <f>IFERROR(__xludf.DUMMYFUNCTION("""COMPUTED_VALUE"""),"gpc_justicia_pib")</f>
        <v>gpc_justicia_pib</v>
      </c>
      <c r="C1259" s="6">
        <f>IFERROR(__xludf.DUMMYFUNCTION("""COMPUTED_VALUE"""),1.15428006658827)</f>
        <v>1.154280067</v>
      </c>
    </row>
    <row r="1260">
      <c r="A1260" s="5">
        <f>IFERROR(__xludf.DUMMYFUNCTION("""COMPUTED_VALUE"""),43101.0)</f>
        <v>43101</v>
      </c>
      <c r="B1260" s="6" t="str">
        <f>IFERROR(__xludf.DUMMYFUNCTION("""COMPUTED_VALUE"""),"gpc_defensa_seguridad_pib")</f>
        <v>gpc_defensa_seguridad_pib</v>
      </c>
      <c r="C1260" s="6">
        <f>IFERROR(__xludf.DUMMYFUNCTION("""COMPUTED_VALUE"""),2.73206964872273)</f>
        <v>2.732069649</v>
      </c>
    </row>
    <row r="1261">
      <c r="A1261" s="5">
        <f>IFERROR(__xludf.DUMMYFUNCTION("""COMPUTED_VALUE"""),43101.0)</f>
        <v>43101</v>
      </c>
      <c r="B1261" s="6" t="str">
        <f>IFERROR(__xludf.DUMMYFUNCTION("""COMPUTED_VALUE"""),"gpc_servicios_sociales_pib")</f>
        <v>gpc_servicios_sociales_pib</v>
      </c>
      <c r="C1261" s="6">
        <f>IFERROR(__xludf.DUMMYFUNCTION("""COMPUTED_VALUE"""),28.0923843273443)</f>
        <v>28.09238433</v>
      </c>
    </row>
    <row r="1262">
      <c r="A1262" s="5">
        <f>IFERROR(__xludf.DUMMYFUNCTION("""COMPUTED_VALUE"""),43101.0)</f>
        <v>43101</v>
      </c>
      <c r="B1262" s="6" t="str">
        <f>IFERROR(__xludf.DUMMYFUNCTION("""COMPUTED_VALUE"""),"gpc_educacion_basica_pib")</f>
        <v>gpc_educacion_basica_pib</v>
      </c>
      <c r="C1262" s="6">
        <f>IFERROR(__xludf.DUMMYFUNCTION("""COMPUTED_VALUE"""),3.47423580480618)</f>
        <v>3.474235805</v>
      </c>
    </row>
    <row r="1263">
      <c r="A1263" s="5">
        <f>IFERROR(__xludf.DUMMYFUNCTION("""COMPUTED_VALUE"""),43101.0)</f>
        <v>43101</v>
      </c>
      <c r="B1263" s="6" t="str">
        <f>IFERROR(__xludf.DUMMYFUNCTION("""COMPUTED_VALUE"""),"gpc_educacion_universitaria_pib")</f>
        <v>gpc_educacion_universitaria_pib</v>
      </c>
      <c r="C1263" s="6">
        <f>IFERROR(__xludf.DUMMYFUNCTION("""COMPUTED_VALUE"""),1.19688968791896)</f>
        <v>1.196889688</v>
      </c>
    </row>
    <row r="1264">
      <c r="A1264" s="5">
        <f>IFERROR(__xludf.DUMMYFUNCTION("""COMPUTED_VALUE"""),43101.0)</f>
        <v>43101</v>
      </c>
      <c r="B1264" s="6" t="str">
        <f>IFERROR(__xludf.DUMMYFUNCTION("""COMPUTED_VALUE"""),"gpc_ciencia_tecnica_pib")</f>
        <v>gpc_ciencia_tecnica_pib</v>
      </c>
      <c r="C1264" s="6">
        <f>IFERROR(__xludf.DUMMYFUNCTION("""COMPUTED_VALUE"""),0.227936774479841)</f>
        <v>0.2279367745</v>
      </c>
    </row>
    <row r="1265">
      <c r="A1265" s="5">
        <f>IFERROR(__xludf.DUMMYFUNCTION("""COMPUTED_VALUE"""),43101.0)</f>
        <v>43101</v>
      </c>
      <c r="B1265" s="6" t="str">
        <f>IFERROR(__xludf.DUMMYFUNCTION("""COMPUTED_VALUE"""),"gpc_cultura_pib")</f>
        <v>gpc_cultura_pib</v>
      </c>
      <c r="C1265" s="6">
        <f>IFERROR(__xludf.DUMMYFUNCTION("""COMPUTED_VALUE"""),0.20861679836099)</f>
        <v>0.2086167984</v>
      </c>
    </row>
    <row r="1266">
      <c r="A1266" s="5">
        <f>IFERROR(__xludf.DUMMYFUNCTION("""COMPUTED_VALUE"""),43101.0)</f>
        <v>43101</v>
      </c>
      <c r="B1266" s="6" t="str">
        <f>IFERROR(__xludf.DUMMYFUNCTION("""COMPUTED_VALUE"""),"gpc_educacion_cultura_sin_discriminar_pib")</f>
        <v>gpc_educacion_cultura_sin_discriminar_pib</v>
      </c>
      <c r="C1266" s="6">
        <f>IFERROR(__xludf.DUMMYFUNCTION("""COMPUTED_VALUE"""),0.495446996286636)</f>
        <v>0.4954469963</v>
      </c>
    </row>
    <row r="1267">
      <c r="A1267" s="5">
        <f>IFERROR(__xludf.DUMMYFUNCTION("""COMPUTED_VALUE"""),43101.0)</f>
        <v>43101</v>
      </c>
      <c r="B1267" s="6" t="str">
        <f>IFERROR(__xludf.DUMMYFUNCTION("""COMPUTED_VALUE"""),"gpc_atencion_salud_pib")</f>
        <v>gpc_atencion_salud_pib</v>
      </c>
      <c r="C1267" s="6">
        <f>IFERROR(__xludf.DUMMYFUNCTION("""COMPUTED_VALUE"""),2.52516873941891)</f>
        <v>2.525168739</v>
      </c>
    </row>
    <row r="1268">
      <c r="A1268" s="5">
        <f>IFERROR(__xludf.DUMMYFUNCTION("""COMPUTED_VALUE"""),43101.0)</f>
        <v>43101</v>
      </c>
      <c r="B1268" s="6" t="str">
        <f>IFERROR(__xludf.DUMMYFUNCTION("""COMPUTED_VALUE"""),"gpc_obras_sociales_salud_pib")</f>
        <v>gpc_obras_sociales_salud_pib</v>
      </c>
      <c r="C1268" s="6">
        <f>IFERROR(__xludf.DUMMYFUNCTION("""COMPUTED_VALUE"""),2.8790509265424)</f>
        <v>2.879050927</v>
      </c>
    </row>
    <row r="1269">
      <c r="A1269" s="5">
        <f>IFERROR(__xludf.DUMMYFUNCTION("""COMPUTED_VALUE"""),43101.0)</f>
        <v>43101</v>
      </c>
      <c r="B1269" s="6" t="str">
        <f>IFERROR(__xludf.DUMMYFUNCTION("""COMPUTED_VALUE"""),"gpc_inssjyp_salud_pib")</f>
        <v>gpc_inssjyp_salud_pib</v>
      </c>
      <c r="C1269" s="6">
        <f>IFERROR(__xludf.DUMMYFUNCTION("""COMPUTED_VALUE"""),0.747251265599453)</f>
        <v>0.7472512656</v>
      </c>
    </row>
    <row r="1270">
      <c r="A1270" s="5">
        <f>IFERROR(__xludf.DUMMYFUNCTION("""COMPUTED_VALUE"""),43101.0)</f>
        <v>43101</v>
      </c>
      <c r="B1270" s="6" t="str">
        <f>IFERROR(__xludf.DUMMYFUNCTION("""COMPUTED_VALUE"""),"gpc_agua_alcantarillado_pib")</f>
        <v>gpc_agua_alcantarillado_pib</v>
      </c>
      <c r="C1270" s="6">
        <f>IFERROR(__xludf.DUMMYFUNCTION("""COMPUTED_VALUE"""),0.475161680868284)</f>
        <v>0.4751616809</v>
      </c>
    </row>
    <row r="1271">
      <c r="A1271" s="5">
        <f>IFERROR(__xludf.DUMMYFUNCTION("""COMPUTED_VALUE"""),43101.0)</f>
        <v>43101</v>
      </c>
      <c r="B1271" s="6" t="str">
        <f>IFERROR(__xludf.DUMMYFUNCTION("""COMPUTED_VALUE"""),"gpc_vivienda_urbanismo_pib")</f>
        <v>gpc_vivienda_urbanismo_pib</v>
      </c>
      <c r="C1271" s="6">
        <f>IFERROR(__xludf.DUMMYFUNCTION("""COMPUTED_VALUE"""),0.903323480578039)</f>
        <v>0.9033234806</v>
      </c>
    </row>
    <row r="1272">
      <c r="A1272" s="5">
        <f>IFERROR(__xludf.DUMMYFUNCTION("""COMPUTED_VALUE"""),43101.0)</f>
        <v>43101</v>
      </c>
      <c r="B1272" s="6" t="str">
        <f>IFERROR(__xludf.DUMMYFUNCTION("""COMPUTED_VALUE"""),"gpc_promocion_asistencia_social_pib")</f>
        <v>gpc_promocion_asistencia_social_pib</v>
      </c>
      <c r="C1272" s="6">
        <f>IFERROR(__xludf.DUMMYFUNCTION("""COMPUTED_VALUE"""),1.3346844571651)</f>
        <v>1.334684457</v>
      </c>
    </row>
    <row r="1273">
      <c r="A1273" s="5">
        <f>IFERROR(__xludf.DUMMYFUNCTION("""COMPUTED_VALUE"""),43101.0)</f>
        <v>43101</v>
      </c>
      <c r="B1273" s="6" t="str">
        <f>IFERROR(__xludf.DUMMYFUNCTION("""COMPUTED_VALUE"""),"gpc_obras_sociales_prestaciones_pib")</f>
        <v>gpc_obras_sociales_prestaciones_pib</v>
      </c>
      <c r="C1273" s="6">
        <f>IFERROR(__xludf.DUMMYFUNCTION("""COMPUTED_VALUE"""),0.148335040723779)</f>
        <v>0.1483350407</v>
      </c>
    </row>
    <row r="1274">
      <c r="A1274" s="5">
        <f>IFERROR(__xludf.DUMMYFUNCTION("""COMPUTED_VALUE"""),43101.0)</f>
        <v>43101</v>
      </c>
      <c r="B1274" s="6" t="str">
        <f>IFERROR(__xludf.DUMMYFUNCTION("""COMPUTED_VALUE"""),"gpc_inssjyp_prestaciones_pib")</f>
        <v>gpc_inssjyp_prestaciones_pib</v>
      </c>
      <c r="C1274" s="6">
        <f>IFERROR(__xludf.DUMMYFUNCTION("""COMPUTED_VALUE"""),0.16396597846632)</f>
        <v>0.1639659785</v>
      </c>
    </row>
    <row r="1275">
      <c r="A1275" s="5">
        <f>IFERROR(__xludf.DUMMYFUNCTION("""COMPUTED_VALUE"""),43101.0)</f>
        <v>43101</v>
      </c>
      <c r="B1275" s="6" t="str">
        <f>IFERROR(__xludf.DUMMYFUNCTION("""COMPUTED_VALUE"""),"gpc_prevision_social_pib")</f>
        <v>gpc_prevision_social_pib</v>
      </c>
      <c r="C1275" s="6">
        <f>IFERROR(__xludf.DUMMYFUNCTION("""COMPUTED_VALUE"""),10.95250485343)</f>
        <v>10.95250485</v>
      </c>
    </row>
    <row r="1276">
      <c r="A1276" s="5">
        <f>IFERROR(__xludf.DUMMYFUNCTION("""COMPUTED_VALUE"""),43101.0)</f>
        <v>43101</v>
      </c>
      <c r="B1276" s="6" t="str">
        <f>IFERROR(__xludf.DUMMYFUNCTION("""COMPUTED_VALUE"""),"gpc_programas_empleo_pib")</f>
        <v>gpc_programas_empleo_pib</v>
      </c>
      <c r="C1276" s="6">
        <f>IFERROR(__xludf.DUMMYFUNCTION("""COMPUTED_VALUE"""),0.191596240696081)</f>
        <v>0.1915962407</v>
      </c>
    </row>
    <row r="1277">
      <c r="A1277" s="5">
        <f>IFERROR(__xludf.DUMMYFUNCTION("""COMPUTED_VALUE"""),43101.0)</f>
        <v>43101</v>
      </c>
      <c r="B1277" s="6" t="str">
        <f>IFERROR(__xludf.DUMMYFUNCTION("""COMPUTED_VALUE"""),"gpc_asignaciones_familiares_pib")</f>
        <v>gpc_asignaciones_familiares_pib</v>
      </c>
      <c r="C1277" s="6">
        <f>IFERROR(__xludf.DUMMYFUNCTION("""COMPUTED_VALUE"""),1.19282271152916)</f>
        <v>1.192822712</v>
      </c>
    </row>
    <row r="1278">
      <c r="A1278" s="5">
        <f>IFERROR(__xludf.DUMMYFUNCTION("""COMPUTED_VALUE"""),43101.0)</f>
        <v>43101</v>
      </c>
      <c r="B1278" s="6" t="str">
        <f>IFERROR(__xludf.DUMMYFUNCTION("""COMPUTED_VALUE"""),"gpc_otros_servicios_urbanos_pib")</f>
        <v>gpc_otros_servicios_urbanos_pib</v>
      </c>
      <c r="C1278" s="6">
        <f>IFERROR(__xludf.DUMMYFUNCTION("""COMPUTED_VALUE"""),0.975392890474161)</f>
        <v>0.9753928905</v>
      </c>
    </row>
    <row r="1279">
      <c r="A1279" s="5">
        <f>IFERROR(__xludf.DUMMYFUNCTION("""COMPUTED_VALUE"""),43101.0)</f>
        <v>43101</v>
      </c>
      <c r="B1279" s="6" t="str">
        <f>IFERROR(__xludf.DUMMYFUNCTION("""COMPUTED_VALUE"""),"gpc_servicios_economicos_pib")</f>
        <v>gpc_servicios_economicos_pib</v>
      </c>
      <c r="C1279" s="6">
        <f>IFERROR(__xludf.DUMMYFUNCTION("""COMPUTED_VALUE"""),4.58464514392888)</f>
        <v>4.584645144</v>
      </c>
    </row>
    <row r="1280">
      <c r="A1280" s="5">
        <f>IFERROR(__xludf.DUMMYFUNCTION("""COMPUTED_VALUE"""),43101.0)</f>
        <v>43101</v>
      </c>
      <c r="B1280" s="6" t="str">
        <f>IFERROR(__xludf.DUMMYFUNCTION("""COMPUTED_VALUE"""),"gpc_produccion_primaria_pib")</f>
        <v>gpc_produccion_primaria_pib</v>
      </c>
      <c r="C1280" s="6">
        <f>IFERROR(__xludf.DUMMYFUNCTION("""COMPUTED_VALUE"""),0.371508277626083)</f>
        <v>0.3715082776</v>
      </c>
    </row>
    <row r="1281">
      <c r="A1281" s="5">
        <f>IFERROR(__xludf.DUMMYFUNCTION("""COMPUTED_VALUE"""),43101.0)</f>
        <v>43101</v>
      </c>
      <c r="B1281" s="6" t="str">
        <f>IFERROR(__xludf.DUMMYFUNCTION("""COMPUTED_VALUE"""),"gpc_energia_combustible_pib")</f>
        <v>gpc_energia_combustible_pib</v>
      </c>
      <c r="C1281" s="6">
        <f>IFERROR(__xludf.DUMMYFUNCTION("""COMPUTED_VALUE"""),1.55874515298174)</f>
        <v>1.558745153</v>
      </c>
    </row>
    <row r="1282">
      <c r="A1282" s="5">
        <f>IFERROR(__xludf.DUMMYFUNCTION("""COMPUTED_VALUE"""),43101.0)</f>
        <v>43101</v>
      </c>
      <c r="B1282" s="6" t="str">
        <f>IFERROR(__xludf.DUMMYFUNCTION("""COMPUTED_VALUE"""),"gpc_industria_pib")</f>
        <v>gpc_industria_pib</v>
      </c>
      <c r="C1282" s="6">
        <f>IFERROR(__xludf.DUMMYFUNCTION("""COMPUTED_VALUE"""),0.11163938935535)</f>
        <v>0.1116393894</v>
      </c>
    </row>
    <row r="1283">
      <c r="A1283" s="5">
        <f>IFERROR(__xludf.DUMMYFUNCTION("""COMPUTED_VALUE"""),43101.0)</f>
        <v>43101</v>
      </c>
      <c r="B1283" s="6" t="str">
        <f>IFERROR(__xludf.DUMMYFUNCTION("""COMPUTED_VALUE"""),"gpc_transporte_pib")</f>
        <v>gpc_transporte_pib</v>
      </c>
      <c r="C1283" s="6">
        <f>IFERROR(__xludf.DUMMYFUNCTION("""COMPUTED_VALUE"""),2.19357112489835)</f>
        <v>2.193571125</v>
      </c>
    </row>
    <row r="1284">
      <c r="A1284" s="5">
        <f>IFERROR(__xludf.DUMMYFUNCTION("""COMPUTED_VALUE"""),43101.0)</f>
        <v>43101</v>
      </c>
      <c r="B1284" s="6" t="str">
        <f>IFERROR(__xludf.DUMMYFUNCTION("""COMPUTED_VALUE"""),"gpc_comunicaciones_pib")</f>
        <v>gpc_comunicaciones_pib</v>
      </c>
      <c r="C1284" s="6">
        <f>IFERROR(__xludf.DUMMYFUNCTION("""COMPUTED_VALUE"""),0.123576983572242)</f>
        <v>0.1235769836</v>
      </c>
    </row>
    <row r="1285">
      <c r="A1285" s="5">
        <f>IFERROR(__xludf.DUMMYFUNCTION("""COMPUTED_VALUE"""),43101.0)</f>
        <v>43101</v>
      </c>
      <c r="B1285" s="6" t="str">
        <f>IFERROR(__xludf.DUMMYFUNCTION("""COMPUTED_VALUE"""),"gpc_otros_servicios_economicos_pib")</f>
        <v>gpc_otros_servicios_economicos_pib</v>
      </c>
      <c r="C1285" s="6">
        <f>IFERROR(__xludf.DUMMYFUNCTION("""COMPUTED_VALUE"""),0.225604215495101)</f>
        <v>0.2256042155</v>
      </c>
    </row>
    <row r="1286">
      <c r="A1286" s="5">
        <f>IFERROR(__xludf.DUMMYFUNCTION("""COMPUTED_VALUE"""),43101.0)</f>
        <v>43101</v>
      </c>
      <c r="B1286" s="6" t="str">
        <f>IFERROR(__xludf.DUMMYFUNCTION("""COMPUTED_VALUE"""),"gpc_servicios_deuda_publica_pib")</f>
        <v>gpc_servicios_deuda_publica_pib</v>
      </c>
      <c r="C1286" s="6">
        <f>IFERROR(__xludf.DUMMYFUNCTION("""COMPUTED_VALUE"""),4.31894731500475)</f>
        <v>4.318947315</v>
      </c>
    </row>
    <row r="1287">
      <c r="A1287" s="5">
        <f>IFERROR(__xludf.DUMMYFUNCTION("""COMPUTED_VALUE"""),43101.0)</f>
        <v>43101</v>
      </c>
      <c r="B1287" s="6"/>
      <c r="C1287" s="6"/>
    </row>
    <row r="1288">
      <c r="A1288" s="5">
        <f>IFERROR(__xludf.DUMMYFUNCTION("""COMPUTED_VALUE"""),43101.0)</f>
        <v>43101</v>
      </c>
      <c r="B1288" s="6"/>
      <c r="C1288" s="6"/>
    </row>
    <row r="1289">
      <c r="A1289" s="5">
        <f>IFERROR(__xludf.DUMMYFUNCTION("""COMPUTED_VALUE"""),43466.0)</f>
        <v>43466</v>
      </c>
      <c r="B1289" s="6" t="str">
        <f>IFERROR(__xludf.DUMMYFUNCTION("""COMPUTED_VALUE"""),"gpc_pib")</f>
        <v>gpc_pib</v>
      </c>
      <c r="C1289" s="6">
        <f>IFERROR(__xludf.DUMMYFUNCTION("""COMPUTED_VALUE"""),43.4633946794305)</f>
        <v>43.46339468</v>
      </c>
    </row>
    <row r="1290">
      <c r="A1290" s="5">
        <f>IFERROR(__xludf.DUMMYFUNCTION("""COMPUTED_VALUE"""),43466.0)</f>
        <v>43466</v>
      </c>
      <c r="B1290" s="6" t="str">
        <f>IFERROR(__xludf.DUMMYFUNCTION("""COMPUTED_VALUE"""),"gpc_funcionamiento_estado_pib")</f>
        <v>gpc_funcionamiento_estado_pib</v>
      </c>
      <c r="C1290" s="6">
        <f>IFERROR(__xludf.DUMMYFUNCTION("""COMPUTED_VALUE"""),6.41411495124781)</f>
        <v>6.414114951</v>
      </c>
    </row>
    <row r="1291">
      <c r="A1291" s="5">
        <f>IFERROR(__xludf.DUMMYFUNCTION("""COMPUTED_VALUE"""),43466.0)</f>
        <v>43466</v>
      </c>
      <c r="B1291" s="6" t="str">
        <f>IFERROR(__xludf.DUMMYFUNCTION("""COMPUTED_VALUE"""),"gpc_administracion_general_pib")</f>
        <v>gpc_administracion_general_pib</v>
      </c>
      <c r="C1291" s="6">
        <f>IFERROR(__xludf.DUMMYFUNCTION("""COMPUTED_VALUE"""),2.67367666421877)</f>
        <v>2.673676664</v>
      </c>
    </row>
    <row r="1292">
      <c r="A1292" s="5">
        <f>IFERROR(__xludf.DUMMYFUNCTION("""COMPUTED_VALUE"""),43466.0)</f>
        <v>43466</v>
      </c>
      <c r="B1292" s="6" t="str">
        <f>IFERROR(__xludf.DUMMYFUNCTION("""COMPUTED_VALUE"""),"gpc_justicia_pib")</f>
        <v>gpc_justicia_pib</v>
      </c>
      <c r="C1292" s="6">
        <f>IFERROR(__xludf.DUMMYFUNCTION("""COMPUTED_VALUE"""),1.18597006067803)</f>
        <v>1.185970061</v>
      </c>
    </row>
    <row r="1293">
      <c r="A1293" s="5">
        <f>IFERROR(__xludf.DUMMYFUNCTION("""COMPUTED_VALUE"""),43466.0)</f>
        <v>43466</v>
      </c>
      <c r="B1293" s="6" t="str">
        <f>IFERROR(__xludf.DUMMYFUNCTION("""COMPUTED_VALUE"""),"gpc_defensa_seguridad_pib")</f>
        <v>gpc_defensa_seguridad_pib</v>
      </c>
      <c r="C1293" s="6">
        <f>IFERROR(__xludf.DUMMYFUNCTION("""COMPUTED_VALUE"""),2.55446822635101)</f>
        <v>2.554468226</v>
      </c>
    </row>
    <row r="1294">
      <c r="A1294" s="5">
        <f>IFERROR(__xludf.DUMMYFUNCTION("""COMPUTED_VALUE"""),43466.0)</f>
        <v>43466</v>
      </c>
      <c r="B1294" s="6" t="str">
        <f>IFERROR(__xludf.DUMMYFUNCTION("""COMPUTED_VALUE"""),"gpc_servicios_sociales_pib")</f>
        <v>gpc_servicios_sociales_pib</v>
      </c>
      <c r="C1294" s="6">
        <f>IFERROR(__xludf.DUMMYFUNCTION("""COMPUTED_VALUE"""),27.9022394993136)</f>
        <v>27.9022395</v>
      </c>
    </row>
    <row r="1295">
      <c r="A1295" s="5">
        <f>IFERROR(__xludf.DUMMYFUNCTION("""COMPUTED_VALUE"""),43466.0)</f>
        <v>43466</v>
      </c>
      <c r="B1295" s="6" t="str">
        <f>IFERROR(__xludf.DUMMYFUNCTION("""COMPUTED_VALUE"""),"gpc_educacion_basica_pib")</f>
        <v>gpc_educacion_basica_pib</v>
      </c>
      <c r="C1295" s="6">
        <f>IFERROR(__xludf.DUMMYFUNCTION("""COMPUTED_VALUE"""),3.43473747747339)</f>
        <v>3.434737477</v>
      </c>
    </row>
    <row r="1296">
      <c r="A1296" s="5">
        <f>IFERROR(__xludf.DUMMYFUNCTION("""COMPUTED_VALUE"""),43466.0)</f>
        <v>43466</v>
      </c>
      <c r="B1296" s="6" t="str">
        <f>IFERROR(__xludf.DUMMYFUNCTION("""COMPUTED_VALUE"""),"gpc_educacion_universitaria_pib")</f>
        <v>gpc_educacion_universitaria_pib</v>
      </c>
      <c r="C1296" s="6">
        <f>IFERROR(__xludf.DUMMYFUNCTION("""COMPUTED_VALUE"""),1.08072261252812)</f>
        <v>1.080722613</v>
      </c>
    </row>
    <row r="1297">
      <c r="A1297" s="5">
        <f>IFERROR(__xludf.DUMMYFUNCTION("""COMPUTED_VALUE"""),43466.0)</f>
        <v>43466</v>
      </c>
      <c r="B1297" s="6" t="str">
        <f>IFERROR(__xludf.DUMMYFUNCTION("""COMPUTED_VALUE"""),"gpc_ciencia_tecnica_pib")</f>
        <v>gpc_ciencia_tecnica_pib</v>
      </c>
      <c r="C1297" s="6">
        <f>IFERROR(__xludf.DUMMYFUNCTION("""COMPUTED_VALUE"""),0.199623818934709)</f>
        <v>0.1996238189</v>
      </c>
    </row>
    <row r="1298">
      <c r="A1298" s="5">
        <f>IFERROR(__xludf.DUMMYFUNCTION("""COMPUTED_VALUE"""),43466.0)</f>
        <v>43466</v>
      </c>
      <c r="B1298" s="6" t="str">
        <f>IFERROR(__xludf.DUMMYFUNCTION("""COMPUTED_VALUE"""),"gpc_cultura_pib")</f>
        <v>gpc_cultura_pib</v>
      </c>
      <c r="C1298" s="6">
        <f>IFERROR(__xludf.DUMMYFUNCTION("""COMPUTED_VALUE"""),0.188516779160338)</f>
        <v>0.1885167792</v>
      </c>
    </row>
    <row r="1299">
      <c r="A1299" s="5">
        <f>IFERROR(__xludf.DUMMYFUNCTION("""COMPUTED_VALUE"""),43466.0)</f>
        <v>43466</v>
      </c>
      <c r="B1299" s="6" t="str">
        <f>IFERROR(__xludf.DUMMYFUNCTION("""COMPUTED_VALUE"""),"gpc_educacion_cultura_sin_discriminar_pib")</f>
        <v>gpc_educacion_cultura_sin_discriminar_pib</v>
      </c>
      <c r="C1299" s="6">
        <f>IFERROR(__xludf.DUMMYFUNCTION("""COMPUTED_VALUE"""),0.523823622511627)</f>
        <v>0.5238236225</v>
      </c>
    </row>
    <row r="1300">
      <c r="A1300" s="5">
        <f>IFERROR(__xludf.DUMMYFUNCTION("""COMPUTED_VALUE"""),43466.0)</f>
        <v>43466</v>
      </c>
      <c r="B1300" s="6" t="str">
        <f>IFERROR(__xludf.DUMMYFUNCTION("""COMPUTED_VALUE"""),"gpc_atencion_salud_pib")</f>
        <v>gpc_atencion_salud_pib</v>
      </c>
      <c r="C1300" s="6">
        <f>IFERROR(__xludf.DUMMYFUNCTION("""COMPUTED_VALUE"""),2.52916043668613)</f>
        <v>2.529160437</v>
      </c>
    </row>
    <row r="1301">
      <c r="A1301" s="5">
        <f>IFERROR(__xludf.DUMMYFUNCTION("""COMPUTED_VALUE"""),43466.0)</f>
        <v>43466</v>
      </c>
      <c r="B1301" s="6" t="str">
        <f>IFERROR(__xludf.DUMMYFUNCTION("""COMPUTED_VALUE"""),"gpc_obras_sociales_salud_pib")</f>
        <v>gpc_obras_sociales_salud_pib</v>
      </c>
      <c r="C1301" s="6">
        <f>IFERROR(__xludf.DUMMYFUNCTION("""COMPUTED_VALUE"""),2.89709491029367)</f>
        <v>2.89709491</v>
      </c>
    </row>
    <row r="1302">
      <c r="A1302" s="5">
        <f>IFERROR(__xludf.DUMMYFUNCTION("""COMPUTED_VALUE"""),43466.0)</f>
        <v>43466</v>
      </c>
      <c r="B1302" s="6" t="str">
        <f>IFERROR(__xludf.DUMMYFUNCTION("""COMPUTED_VALUE"""),"gpc_inssjyp_salud_pib")</f>
        <v>gpc_inssjyp_salud_pib</v>
      </c>
      <c r="C1302" s="6">
        <f>IFERROR(__xludf.DUMMYFUNCTION("""COMPUTED_VALUE"""),0.819035881362264)</f>
        <v>0.8190358814</v>
      </c>
    </row>
    <row r="1303">
      <c r="A1303" s="5">
        <f>IFERROR(__xludf.DUMMYFUNCTION("""COMPUTED_VALUE"""),43466.0)</f>
        <v>43466</v>
      </c>
      <c r="B1303" s="6" t="str">
        <f>IFERROR(__xludf.DUMMYFUNCTION("""COMPUTED_VALUE"""),"gpc_agua_alcantarillado_pib")</f>
        <v>gpc_agua_alcantarillado_pib</v>
      </c>
      <c r="C1303" s="6">
        <f>IFERROR(__xludf.DUMMYFUNCTION("""COMPUTED_VALUE"""),0.382790615139843)</f>
        <v>0.3827906151</v>
      </c>
    </row>
    <row r="1304">
      <c r="A1304" s="5">
        <f>IFERROR(__xludf.DUMMYFUNCTION("""COMPUTED_VALUE"""),43466.0)</f>
        <v>43466</v>
      </c>
      <c r="B1304" s="6" t="str">
        <f>IFERROR(__xludf.DUMMYFUNCTION("""COMPUTED_VALUE"""),"gpc_vivienda_urbanismo_pib")</f>
        <v>gpc_vivienda_urbanismo_pib</v>
      </c>
      <c r="C1304" s="6">
        <f>IFERROR(__xludf.DUMMYFUNCTION("""COMPUTED_VALUE"""),0.850467910254129)</f>
        <v>0.8504679103</v>
      </c>
    </row>
    <row r="1305">
      <c r="A1305" s="5">
        <f>IFERROR(__xludf.DUMMYFUNCTION("""COMPUTED_VALUE"""),43466.0)</f>
        <v>43466</v>
      </c>
      <c r="B1305" s="6" t="str">
        <f>IFERROR(__xludf.DUMMYFUNCTION("""COMPUTED_VALUE"""),"gpc_promocion_asistencia_social_pib")</f>
        <v>gpc_promocion_asistencia_social_pib</v>
      </c>
      <c r="C1305" s="6">
        <f>IFERROR(__xludf.DUMMYFUNCTION("""COMPUTED_VALUE"""),1.40331429583695)</f>
        <v>1.403314296</v>
      </c>
    </row>
    <row r="1306">
      <c r="A1306" s="5">
        <f>IFERROR(__xludf.DUMMYFUNCTION("""COMPUTED_VALUE"""),43466.0)</f>
        <v>43466</v>
      </c>
      <c r="B1306" s="6" t="str">
        <f>IFERROR(__xludf.DUMMYFUNCTION("""COMPUTED_VALUE"""),"gpc_obras_sociales_prestaciones_pib")</f>
        <v>gpc_obras_sociales_prestaciones_pib</v>
      </c>
      <c r="C1306" s="6">
        <f>IFERROR(__xludf.DUMMYFUNCTION("""COMPUTED_VALUE"""),0.149128393828054)</f>
        <v>0.1491283938</v>
      </c>
    </row>
    <row r="1307">
      <c r="A1307" s="5">
        <f>IFERROR(__xludf.DUMMYFUNCTION("""COMPUTED_VALUE"""),43466.0)</f>
        <v>43466</v>
      </c>
      <c r="B1307" s="6" t="str">
        <f>IFERROR(__xludf.DUMMYFUNCTION("""COMPUTED_VALUE"""),"gpc_inssjyp_prestaciones_pib")</f>
        <v>gpc_inssjyp_prestaciones_pib</v>
      </c>
      <c r="C1307" s="6">
        <f>IFERROR(__xludf.DUMMYFUNCTION("""COMPUTED_VALUE"""),0.179717353020512)</f>
        <v>0.179717353</v>
      </c>
    </row>
    <row r="1308">
      <c r="A1308" s="5">
        <f>IFERROR(__xludf.DUMMYFUNCTION("""COMPUTED_VALUE"""),43466.0)</f>
        <v>43466</v>
      </c>
      <c r="B1308" s="6" t="str">
        <f>IFERROR(__xludf.DUMMYFUNCTION("""COMPUTED_VALUE"""),"gpc_prevision_social_pib")</f>
        <v>gpc_prevision_social_pib</v>
      </c>
      <c r="C1308" s="6">
        <f>IFERROR(__xludf.DUMMYFUNCTION("""COMPUTED_VALUE"""),10.918835478277)</f>
        <v>10.91883548</v>
      </c>
    </row>
    <row r="1309">
      <c r="A1309" s="5">
        <f>IFERROR(__xludf.DUMMYFUNCTION("""COMPUTED_VALUE"""),43466.0)</f>
        <v>43466</v>
      </c>
      <c r="B1309" s="6" t="str">
        <f>IFERROR(__xludf.DUMMYFUNCTION("""COMPUTED_VALUE"""),"gpc_programas_empleo_pib")</f>
        <v>gpc_programas_empleo_pib</v>
      </c>
      <c r="C1309" s="6">
        <f>IFERROR(__xludf.DUMMYFUNCTION("""COMPUTED_VALUE"""),0.200787355136752)</f>
        <v>0.2007873551</v>
      </c>
    </row>
    <row r="1310">
      <c r="A1310" s="5">
        <f>IFERROR(__xludf.DUMMYFUNCTION("""COMPUTED_VALUE"""),43466.0)</f>
        <v>43466</v>
      </c>
      <c r="B1310" s="6" t="str">
        <f>IFERROR(__xludf.DUMMYFUNCTION("""COMPUTED_VALUE"""),"gpc_asignaciones_familiares_pib")</f>
        <v>gpc_asignaciones_familiares_pib</v>
      </c>
      <c r="C1310" s="6">
        <f>IFERROR(__xludf.DUMMYFUNCTION("""COMPUTED_VALUE"""),1.16034732847089)</f>
        <v>1.160347328</v>
      </c>
    </row>
    <row r="1311">
      <c r="A1311" s="5">
        <f>IFERROR(__xludf.DUMMYFUNCTION("""COMPUTED_VALUE"""),43466.0)</f>
        <v>43466</v>
      </c>
      <c r="B1311" s="6" t="str">
        <f>IFERROR(__xludf.DUMMYFUNCTION("""COMPUTED_VALUE"""),"gpc_otros_servicios_urbanos_pib")</f>
        <v>gpc_otros_servicios_urbanos_pib</v>
      </c>
      <c r="C1311" s="6">
        <f>IFERROR(__xludf.DUMMYFUNCTION("""COMPUTED_VALUE"""),0.98413523039915)</f>
        <v>0.9841352304</v>
      </c>
    </row>
    <row r="1312">
      <c r="A1312" s="5">
        <f>IFERROR(__xludf.DUMMYFUNCTION("""COMPUTED_VALUE"""),43466.0)</f>
        <v>43466</v>
      </c>
      <c r="B1312" s="6" t="str">
        <f>IFERROR(__xludf.DUMMYFUNCTION("""COMPUTED_VALUE"""),"gpc_servicios_economicos_pib")</f>
        <v>gpc_servicios_economicos_pib</v>
      </c>
      <c r="C1312" s="6">
        <f>IFERROR(__xludf.DUMMYFUNCTION("""COMPUTED_VALUE"""),4.10162526502528)</f>
        <v>4.101625265</v>
      </c>
    </row>
    <row r="1313">
      <c r="A1313" s="5">
        <f>IFERROR(__xludf.DUMMYFUNCTION("""COMPUTED_VALUE"""),43466.0)</f>
        <v>43466</v>
      </c>
      <c r="B1313" s="6" t="str">
        <f>IFERROR(__xludf.DUMMYFUNCTION("""COMPUTED_VALUE"""),"gpc_produccion_primaria_pib")</f>
        <v>gpc_produccion_primaria_pib</v>
      </c>
      <c r="C1313" s="6">
        <f>IFERROR(__xludf.DUMMYFUNCTION("""COMPUTED_VALUE"""),0.346857576055794)</f>
        <v>0.3468575761</v>
      </c>
    </row>
    <row r="1314">
      <c r="A1314" s="5">
        <f>IFERROR(__xludf.DUMMYFUNCTION("""COMPUTED_VALUE"""),43466.0)</f>
        <v>43466</v>
      </c>
      <c r="B1314" s="6" t="str">
        <f>IFERROR(__xludf.DUMMYFUNCTION("""COMPUTED_VALUE"""),"gpc_energia_combustible_pib")</f>
        <v>gpc_energia_combustible_pib</v>
      </c>
      <c r="C1314" s="6">
        <f>IFERROR(__xludf.DUMMYFUNCTION("""COMPUTED_VALUE"""),1.31656877890772)</f>
        <v>1.316568779</v>
      </c>
    </row>
    <row r="1315">
      <c r="A1315" s="5">
        <f>IFERROR(__xludf.DUMMYFUNCTION("""COMPUTED_VALUE"""),43466.0)</f>
        <v>43466</v>
      </c>
      <c r="B1315" s="6" t="str">
        <f>IFERROR(__xludf.DUMMYFUNCTION("""COMPUTED_VALUE"""),"gpc_industria_pib")</f>
        <v>gpc_industria_pib</v>
      </c>
      <c r="C1315" s="6">
        <f>IFERROR(__xludf.DUMMYFUNCTION("""COMPUTED_VALUE"""),0.0832317430766983)</f>
        <v>0.08323174308</v>
      </c>
    </row>
    <row r="1316">
      <c r="A1316" s="5">
        <f>IFERROR(__xludf.DUMMYFUNCTION("""COMPUTED_VALUE"""),43466.0)</f>
        <v>43466</v>
      </c>
      <c r="B1316" s="6" t="str">
        <f>IFERROR(__xludf.DUMMYFUNCTION("""COMPUTED_VALUE"""),"gpc_transporte_pib")</f>
        <v>gpc_transporte_pib</v>
      </c>
      <c r="C1316" s="6">
        <f>IFERROR(__xludf.DUMMYFUNCTION("""COMPUTED_VALUE"""),2.00919306807633)</f>
        <v>2.009193068</v>
      </c>
    </row>
    <row r="1317">
      <c r="A1317" s="5">
        <f>IFERROR(__xludf.DUMMYFUNCTION("""COMPUTED_VALUE"""),43466.0)</f>
        <v>43466</v>
      </c>
      <c r="B1317" s="6" t="str">
        <f>IFERROR(__xludf.DUMMYFUNCTION("""COMPUTED_VALUE"""),"gpc_comunicaciones_pib")</f>
        <v>gpc_comunicaciones_pib</v>
      </c>
      <c r="C1317" s="6">
        <f>IFERROR(__xludf.DUMMYFUNCTION("""COMPUTED_VALUE"""),0.11179326997791)</f>
        <v>0.11179327</v>
      </c>
    </row>
    <row r="1318">
      <c r="A1318" s="5">
        <f>IFERROR(__xludf.DUMMYFUNCTION("""COMPUTED_VALUE"""),43466.0)</f>
        <v>43466</v>
      </c>
      <c r="B1318" s="6" t="str">
        <f>IFERROR(__xludf.DUMMYFUNCTION("""COMPUTED_VALUE"""),"gpc_otros_servicios_economicos_pib")</f>
        <v>gpc_otros_servicios_economicos_pib</v>
      </c>
      <c r="C1318" s="6">
        <f>IFERROR(__xludf.DUMMYFUNCTION("""COMPUTED_VALUE"""),0.233980828930816)</f>
        <v>0.2339808289</v>
      </c>
    </row>
    <row r="1319">
      <c r="A1319" s="5">
        <f>IFERROR(__xludf.DUMMYFUNCTION("""COMPUTED_VALUE"""),43466.0)</f>
        <v>43466</v>
      </c>
      <c r="B1319" s="6" t="str">
        <f>IFERROR(__xludf.DUMMYFUNCTION("""COMPUTED_VALUE"""),"gpc_servicios_deuda_publica_pib")</f>
        <v>gpc_servicios_deuda_publica_pib</v>
      </c>
      <c r="C1319" s="6">
        <f>IFERROR(__xludf.DUMMYFUNCTION("""COMPUTED_VALUE"""),5.04541496384379)</f>
        <v>5.045414964</v>
      </c>
    </row>
    <row r="1320">
      <c r="A1320" s="5">
        <f>IFERROR(__xludf.DUMMYFUNCTION("""COMPUTED_VALUE"""),43466.0)</f>
        <v>43466</v>
      </c>
      <c r="B1320" s="6"/>
      <c r="C1320" s="6"/>
    </row>
    <row r="1321">
      <c r="A1321" s="5">
        <f>IFERROR(__xludf.DUMMYFUNCTION("""COMPUTED_VALUE"""),43466.0)</f>
        <v>43466</v>
      </c>
      <c r="B1321" s="6"/>
      <c r="C1321" s="6"/>
    </row>
    <row r="1322">
      <c r="A1322" s="5">
        <f>IFERROR(__xludf.DUMMYFUNCTION("""COMPUTED_VALUE"""),43831.0)</f>
        <v>43831</v>
      </c>
      <c r="B1322" s="6" t="str">
        <f>IFERROR(__xludf.DUMMYFUNCTION("""COMPUTED_VALUE"""),"gpc_pib")</f>
        <v>gpc_pib</v>
      </c>
      <c r="C1322" s="6">
        <f>IFERROR(__xludf.DUMMYFUNCTION("""COMPUTED_VALUE"""),47.3533215588776)</f>
        <v>47.35332156</v>
      </c>
    </row>
    <row r="1323">
      <c r="A1323" s="5">
        <f>IFERROR(__xludf.DUMMYFUNCTION("""COMPUTED_VALUE"""),43831.0)</f>
        <v>43831</v>
      </c>
      <c r="B1323" s="6" t="str">
        <f>IFERROR(__xludf.DUMMYFUNCTION("""COMPUTED_VALUE"""),"gpc_funcionamiento_estado_pib")</f>
        <v>gpc_funcionamiento_estado_pib</v>
      </c>
      <c r="C1323" s="6">
        <f>IFERROR(__xludf.DUMMYFUNCTION("""COMPUTED_VALUE"""),6.54626437196523)</f>
        <v>6.546264372</v>
      </c>
    </row>
    <row r="1324">
      <c r="A1324" s="5">
        <f>IFERROR(__xludf.DUMMYFUNCTION("""COMPUTED_VALUE"""),43831.0)</f>
        <v>43831</v>
      </c>
      <c r="B1324" s="6" t="str">
        <f>IFERROR(__xludf.DUMMYFUNCTION("""COMPUTED_VALUE"""),"gpc_administracion_general_pib")</f>
        <v>gpc_administracion_general_pib</v>
      </c>
      <c r="C1324" s="6">
        <f>IFERROR(__xludf.DUMMYFUNCTION("""COMPUTED_VALUE"""),2.66397257850066)</f>
        <v>2.663972579</v>
      </c>
    </row>
    <row r="1325">
      <c r="A1325" s="5">
        <f>IFERROR(__xludf.DUMMYFUNCTION("""COMPUTED_VALUE"""),43831.0)</f>
        <v>43831</v>
      </c>
      <c r="B1325" s="6" t="str">
        <f>IFERROR(__xludf.DUMMYFUNCTION("""COMPUTED_VALUE"""),"gpc_justicia_pib")</f>
        <v>gpc_justicia_pib</v>
      </c>
      <c r="C1325" s="6">
        <f>IFERROR(__xludf.DUMMYFUNCTION("""COMPUTED_VALUE"""),1.24157156776526)</f>
        <v>1.241571568</v>
      </c>
    </row>
    <row r="1326">
      <c r="A1326" s="5">
        <f>IFERROR(__xludf.DUMMYFUNCTION("""COMPUTED_VALUE"""),43831.0)</f>
        <v>43831</v>
      </c>
      <c r="B1326" s="6" t="str">
        <f>IFERROR(__xludf.DUMMYFUNCTION("""COMPUTED_VALUE"""),"gpc_defensa_seguridad_pib")</f>
        <v>gpc_defensa_seguridad_pib</v>
      </c>
      <c r="C1326" s="6">
        <f>IFERROR(__xludf.DUMMYFUNCTION("""COMPUTED_VALUE"""),2.64072022569929)</f>
        <v>2.640720226</v>
      </c>
    </row>
    <row r="1327">
      <c r="A1327" s="5">
        <f>IFERROR(__xludf.DUMMYFUNCTION("""COMPUTED_VALUE"""),43831.0)</f>
        <v>43831</v>
      </c>
      <c r="B1327" s="6" t="str">
        <f>IFERROR(__xludf.DUMMYFUNCTION("""COMPUTED_VALUE"""),"gpc_servicios_sociales_pib")</f>
        <v>gpc_servicios_sociales_pib</v>
      </c>
      <c r="C1327" s="6">
        <f>IFERROR(__xludf.DUMMYFUNCTION("""COMPUTED_VALUE"""),32.8186791121317)</f>
        <v>32.81867911</v>
      </c>
    </row>
    <row r="1328">
      <c r="A1328" s="5">
        <f>IFERROR(__xludf.DUMMYFUNCTION("""COMPUTED_VALUE"""),43831.0)</f>
        <v>43831</v>
      </c>
      <c r="B1328" s="6" t="str">
        <f>IFERROR(__xludf.DUMMYFUNCTION("""COMPUTED_VALUE"""),"gpc_educacion_basica_pib")</f>
        <v>gpc_educacion_basica_pib</v>
      </c>
      <c r="C1328" s="6">
        <f>IFERROR(__xludf.DUMMYFUNCTION("""COMPUTED_VALUE"""),3.66754927336669)</f>
        <v>3.667549273</v>
      </c>
    </row>
    <row r="1329">
      <c r="A1329" s="5">
        <f>IFERROR(__xludf.DUMMYFUNCTION("""COMPUTED_VALUE"""),43831.0)</f>
        <v>43831</v>
      </c>
      <c r="B1329" s="6" t="str">
        <f>IFERROR(__xludf.DUMMYFUNCTION("""COMPUTED_VALUE"""),"gpc_educacion_universitaria_pib")</f>
        <v>gpc_educacion_universitaria_pib</v>
      </c>
      <c r="C1329" s="6">
        <f>IFERROR(__xludf.DUMMYFUNCTION("""COMPUTED_VALUE"""),1.1778968432375)</f>
        <v>1.177896843</v>
      </c>
    </row>
    <row r="1330">
      <c r="A1330" s="5">
        <f>IFERROR(__xludf.DUMMYFUNCTION("""COMPUTED_VALUE"""),43831.0)</f>
        <v>43831</v>
      </c>
      <c r="B1330" s="6" t="str">
        <f>IFERROR(__xludf.DUMMYFUNCTION("""COMPUTED_VALUE"""),"gpc_ciencia_tecnica_pib")</f>
        <v>gpc_ciencia_tecnica_pib</v>
      </c>
      <c r="C1330" s="6">
        <f>IFERROR(__xludf.DUMMYFUNCTION("""COMPUTED_VALUE"""),0.204468297067695)</f>
        <v>0.2044682971</v>
      </c>
    </row>
    <row r="1331">
      <c r="A1331" s="5">
        <f>IFERROR(__xludf.DUMMYFUNCTION("""COMPUTED_VALUE"""),43831.0)</f>
        <v>43831</v>
      </c>
      <c r="B1331" s="6" t="str">
        <f>IFERROR(__xludf.DUMMYFUNCTION("""COMPUTED_VALUE"""),"gpc_cultura_pib")</f>
        <v>gpc_cultura_pib</v>
      </c>
      <c r="C1331" s="6">
        <f>IFERROR(__xludf.DUMMYFUNCTION("""COMPUTED_VALUE"""),0.185666679813651)</f>
        <v>0.1856666798</v>
      </c>
    </row>
    <row r="1332">
      <c r="A1332" s="5">
        <f>IFERROR(__xludf.DUMMYFUNCTION("""COMPUTED_VALUE"""),43831.0)</f>
        <v>43831</v>
      </c>
      <c r="B1332" s="6" t="str">
        <f>IFERROR(__xludf.DUMMYFUNCTION("""COMPUTED_VALUE"""),"gpc_educacion_cultura_sin_discriminar_pib")</f>
        <v>gpc_educacion_cultura_sin_discriminar_pib</v>
      </c>
      <c r="C1332" s="6">
        <f>IFERROR(__xludf.DUMMYFUNCTION("""COMPUTED_VALUE"""),0.528711020209212)</f>
        <v>0.5287110202</v>
      </c>
    </row>
    <row r="1333">
      <c r="A1333" s="5">
        <f>IFERROR(__xludf.DUMMYFUNCTION("""COMPUTED_VALUE"""),43831.0)</f>
        <v>43831</v>
      </c>
      <c r="B1333" s="6" t="str">
        <f>IFERROR(__xludf.DUMMYFUNCTION("""COMPUTED_VALUE"""),"gpc_atencion_salud_pib")</f>
        <v>gpc_atencion_salud_pib</v>
      </c>
      <c r="C1333" s="6">
        <f>IFERROR(__xludf.DUMMYFUNCTION("""COMPUTED_VALUE"""),3.07362728651143)</f>
        <v>3.073627287</v>
      </c>
    </row>
    <row r="1334">
      <c r="A1334" s="5">
        <f>IFERROR(__xludf.DUMMYFUNCTION("""COMPUTED_VALUE"""),43831.0)</f>
        <v>43831</v>
      </c>
      <c r="B1334" s="6" t="str">
        <f>IFERROR(__xludf.DUMMYFUNCTION("""COMPUTED_VALUE"""),"gpc_obras_sociales_salud_pib")</f>
        <v>gpc_obras_sociales_salud_pib</v>
      </c>
      <c r="C1334" s="6">
        <f>IFERROR(__xludf.DUMMYFUNCTION("""COMPUTED_VALUE"""),3.11798900577642)</f>
        <v>3.117989006</v>
      </c>
    </row>
    <row r="1335">
      <c r="A1335" s="5">
        <f>IFERROR(__xludf.DUMMYFUNCTION("""COMPUTED_VALUE"""),43831.0)</f>
        <v>43831</v>
      </c>
      <c r="B1335" s="6" t="str">
        <f>IFERROR(__xludf.DUMMYFUNCTION("""COMPUTED_VALUE"""),"gpc_inssjyp_salud_pib")</f>
        <v>gpc_inssjyp_salud_pib</v>
      </c>
      <c r="C1335" s="6">
        <f>IFERROR(__xludf.DUMMYFUNCTION("""COMPUTED_VALUE"""),0.886428561861281)</f>
        <v>0.8864285619</v>
      </c>
    </row>
    <row r="1336">
      <c r="A1336" s="5">
        <f>IFERROR(__xludf.DUMMYFUNCTION("""COMPUTED_VALUE"""),43831.0)</f>
        <v>43831</v>
      </c>
      <c r="B1336" s="6" t="str">
        <f>IFERROR(__xludf.DUMMYFUNCTION("""COMPUTED_VALUE"""),"gpc_agua_alcantarillado_pib")</f>
        <v>gpc_agua_alcantarillado_pib</v>
      </c>
      <c r="C1336" s="6">
        <f>IFERROR(__xludf.DUMMYFUNCTION("""COMPUTED_VALUE"""),0.542350361349046)</f>
        <v>0.5423503613</v>
      </c>
    </row>
    <row r="1337">
      <c r="A1337" s="5">
        <f>IFERROR(__xludf.DUMMYFUNCTION("""COMPUTED_VALUE"""),43831.0)</f>
        <v>43831</v>
      </c>
      <c r="B1337" s="6" t="str">
        <f>IFERROR(__xludf.DUMMYFUNCTION("""COMPUTED_VALUE"""),"gpc_vivienda_urbanismo_pib")</f>
        <v>gpc_vivienda_urbanismo_pib</v>
      </c>
      <c r="C1337" s="6">
        <f>IFERROR(__xludf.DUMMYFUNCTION("""COMPUTED_VALUE"""),0.774726269854473)</f>
        <v>0.7747262699</v>
      </c>
    </row>
    <row r="1338">
      <c r="A1338" s="5">
        <f>IFERROR(__xludf.DUMMYFUNCTION("""COMPUTED_VALUE"""),43831.0)</f>
        <v>43831</v>
      </c>
      <c r="B1338" s="6" t="str">
        <f>IFERROR(__xludf.DUMMYFUNCTION("""COMPUTED_VALUE"""),"gpc_promocion_asistencia_social_pib")</f>
        <v>gpc_promocion_asistencia_social_pib</v>
      </c>
      <c r="C1338" s="6">
        <f>IFERROR(__xludf.DUMMYFUNCTION("""COMPUTED_VALUE"""),2.87138258742378)</f>
        <v>2.871382587</v>
      </c>
    </row>
    <row r="1339">
      <c r="A1339" s="5">
        <f>IFERROR(__xludf.DUMMYFUNCTION("""COMPUTED_VALUE"""),43831.0)</f>
        <v>43831</v>
      </c>
      <c r="B1339" s="6" t="str">
        <f>IFERROR(__xludf.DUMMYFUNCTION("""COMPUTED_VALUE"""),"gpc_obras_sociales_prestaciones_pib")</f>
        <v>gpc_obras_sociales_prestaciones_pib</v>
      </c>
      <c r="C1339" s="6">
        <f>IFERROR(__xludf.DUMMYFUNCTION("""COMPUTED_VALUE"""),0.164511840247989)</f>
        <v>0.1645118402</v>
      </c>
    </row>
    <row r="1340">
      <c r="A1340" s="5">
        <f>IFERROR(__xludf.DUMMYFUNCTION("""COMPUTED_VALUE"""),43831.0)</f>
        <v>43831</v>
      </c>
      <c r="B1340" s="6" t="str">
        <f>IFERROR(__xludf.DUMMYFUNCTION("""COMPUTED_VALUE"""),"gpc_inssjyp_prestaciones_pib")</f>
        <v>gpc_inssjyp_prestaciones_pib</v>
      </c>
      <c r="C1340" s="6">
        <f>IFERROR(__xludf.DUMMYFUNCTION("""COMPUTED_VALUE"""),0.194505025243243)</f>
        <v>0.1945050252</v>
      </c>
    </row>
    <row r="1341">
      <c r="A1341" s="5">
        <f>IFERROR(__xludf.DUMMYFUNCTION("""COMPUTED_VALUE"""),43831.0)</f>
        <v>43831</v>
      </c>
      <c r="B1341" s="6" t="str">
        <f>IFERROR(__xludf.DUMMYFUNCTION("""COMPUTED_VALUE"""),"gpc_prevision_social_pib")</f>
        <v>gpc_prevision_social_pib</v>
      </c>
      <c r="C1341" s="6">
        <f>IFERROR(__xludf.DUMMYFUNCTION("""COMPUTED_VALUE"""),12.1348711968218)</f>
        <v>12.1348712</v>
      </c>
    </row>
    <row r="1342">
      <c r="A1342" s="5">
        <f>IFERROR(__xludf.DUMMYFUNCTION("""COMPUTED_VALUE"""),43831.0)</f>
        <v>43831</v>
      </c>
      <c r="B1342" s="6" t="str">
        <f>IFERROR(__xludf.DUMMYFUNCTION("""COMPUTED_VALUE"""),"gpc_programas_empleo_pib")</f>
        <v>gpc_programas_empleo_pib</v>
      </c>
      <c r="C1342" s="6">
        <f>IFERROR(__xludf.DUMMYFUNCTION("""COMPUTED_VALUE"""),1.05708998125293)</f>
        <v>1.057089981</v>
      </c>
    </row>
    <row r="1343">
      <c r="A1343" s="5">
        <f>IFERROR(__xludf.DUMMYFUNCTION("""COMPUTED_VALUE"""),43831.0)</f>
        <v>43831</v>
      </c>
      <c r="B1343" s="6" t="str">
        <f>IFERROR(__xludf.DUMMYFUNCTION("""COMPUTED_VALUE"""),"gpc_asignaciones_familiares_pib")</f>
        <v>gpc_asignaciones_familiares_pib</v>
      </c>
      <c r="C1343" s="6">
        <f>IFERROR(__xludf.DUMMYFUNCTION("""COMPUTED_VALUE"""),1.27667732775159)</f>
        <v>1.276677328</v>
      </c>
    </row>
    <row r="1344">
      <c r="A1344" s="5">
        <f>IFERROR(__xludf.DUMMYFUNCTION("""COMPUTED_VALUE"""),43831.0)</f>
        <v>43831</v>
      </c>
      <c r="B1344" s="6" t="str">
        <f>IFERROR(__xludf.DUMMYFUNCTION("""COMPUTED_VALUE"""),"gpc_otros_servicios_urbanos_pib")</f>
        <v>gpc_otros_servicios_urbanos_pib</v>
      </c>
      <c r="C1344" s="6">
        <f>IFERROR(__xludf.DUMMYFUNCTION("""COMPUTED_VALUE"""),0.960227554342953)</f>
        <v>0.9602275543</v>
      </c>
    </row>
    <row r="1345">
      <c r="A1345" s="5">
        <f>IFERROR(__xludf.DUMMYFUNCTION("""COMPUTED_VALUE"""),43831.0)</f>
        <v>43831</v>
      </c>
      <c r="B1345" s="6" t="str">
        <f>IFERROR(__xludf.DUMMYFUNCTION("""COMPUTED_VALUE"""),"gpc_servicios_economicos_pib")</f>
        <v>gpc_servicios_economicos_pib</v>
      </c>
      <c r="C1345" s="6">
        <f>IFERROR(__xludf.DUMMYFUNCTION("""COMPUTED_VALUE"""),5.20940486312732)</f>
        <v>5.209404863</v>
      </c>
    </row>
    <row r="1346">
      <c r="A1346" s="5">
        <f>IFERROR(__xludf.DUMMYFUNCTION("""COMPUTED_VALUE"""),43831.0)</f>
        <v>43831</v>
      </c>
      <c r="B1346" s="6" t="str">
        <f>IFERROR(__xludf.DUMMYFUNCTION("""COMPUTED_VALUE"""),"gpc_produccion_primaria_pib")</f>
        <v>gpc_produccion_primaria_pib</v>
      </c>
      <c r="C1346" s="6">
        <f>IFERROR(__xludf.DUMMYFUNCTION("""COMPUTED_VALUE"""),0.373655288504759)</f>
        <v>0.3736552885</v>
      </c>
    </row>
    <row r="1347">
      <c r="A1347" s="5">
        <f>IFERROR(__xludf.DUMMYFUNCTION("""COMPUTED_VALUE"""),43831.0)</f>
        <v>43831</v>
      </c>
      <c r="B1347" s="6" t="str">
        <f>IFERROR(__xludf.DUMMYFUNCTION("""COMPUTED_VALUE"""),"gpc_energia_combustible_pib")</f>
        <v>gpc_energia_combustible_pib</v>
      </c>
      <c r="C1347" s="6">
        <f>IFERROR(__xludf.DUMMYFUNCTION("""COMPUTED_VALUE"""),1.97312160221922)</f>
        <v>1.973121602</v>
      </c>
    </row>
    <row r="1348">
      <c r="A1348" s="5">
        <f>IFERROR(__xludf.DUMMYFUNCTION("""COMPUTED_VALUE"""),43831.0)</f>
        <v>43831</v>
      </c>
      <c r="B1348" s="6" t="str">
        <f>IFERROR(__xludf.DUMMYFUNCTION("""COMPUTED_VALUE"""),"gpc_industria_pib")</f>
        <v>gpc_industria_pib</v>
      </c>
      <c r="C1348" s="6">
        <f>IFERROR(__xludf.DUMMYFUNCTION("""COMPUTED_VALUE"""),0.545357640575407)</f>
        <v>0.5453576406</v>
      </c>
    </row>
    <row r="1349">
      <c r="A1349" s="5">
        <f>IFERROR(__xludf.DUMMYFUNCTION("""COMPUTED_VALUE"""),43831.0)</f>
        <v>43831</v>
      </c>
      <c r="B1349" s="6" t="str">
        <f>IFERROR(__xludf.DUMMYFUNCTION("""COMPUTED_VALUE"""),"gpc_transporte_pib")</f>
        <v>gpc_transporte_pib</v>
      </c>
      <c r="C1349" s="6">
        <f>IFERROR(__xludf.DUMMYFUNCTION("""COMPUTED_VALUE"""),1.97152635944742)</f>
        <v>1.971526359</v>
      </c>
    </row>
    <row r="1350">
      <c r="A1350" s="5">
        <f>IFERROR(__xludf.DUMMYFUNCTION("""COMPUTED_VALUE"""),43831.0)</f>
        <v>43831</v>
      </c>
      <c r="B1350" s="6" t="str">
        <f>IFERROR(__xludf.DUMMYFUNCTION("""COMPUTED_VALUE"""),"gpc_comunicaciones_pib")</f>
        <v>gpc_comunicaciones_pib</v>
      </c>
      <c r="C1350" s="6">
        <f>IFERROR(__xludf.DUMMYFUNCTION("""COMPUTED_VALUE"""),0.129670767253813)</f>
        <v>0.1296707673</v>
      </c>
    </row>
    <row r="1351">
      <c r="A1351" s="5">
        <f>IFERROR(__xludf.DUMMYFUNCTION("""COMPUTED_VALUE"""),43831.0)</f>
        <v>43831</v>
      </c>
      <c r="B1351" s="6" t="str">
        <f>IFERROR(__xludf.DUMMYFUNCTION("""COMPUTED_VALUE"""),"gpc_otros_servicios_economicos_pib")</f>
        <v>gpc_otros_servicios_economicos_pib</v>
      </c>
      <c r="C1351" s="6">
        <f>IFERROR(__xludf.DUMMYFUNCTION("""COMPUTED_VALUE"""),0.216073205126695)</f>
        <v>0.2160732051</v>
      </c>
    </row>
    <row r="1352">
      <c r="A1352" s="5">
        <f>IFERROR(__xludf.DUMMYFUNCTION("""COMPUTED_VALUE"""),43831.0)</f>
        <v>43831</v>
      </c>
      <c r="B1352" s="6" t="str">
        <f>IFERROR(__xludf.DUMMYFUNCTION("""COMPUTED_VALUE"""),"gpc_servicios_deuda_publica_pib")</f>
        <v>gpc_servicios_deuda_publica_pib</v>
      </c>
      <c r="C1352" s="6">
        <f>IFERROR(__xludf.DUMMYFUNCTION("""COMPUTED_VALUE"""),2.7789732116533)</f>
        <v>2.778973212</v>
      </c>
    </row>
    <row r="1353">
      <c r="A1353" s="5">
        <f>IFERROR(__xludf.DUMMYFUNCTION("""COMPUTED_VALUE"""),43831.0)</f>
        <v>43831</v>
      </c>
      <c r="B1353" s="6"/>
      <c r="C1353" s="6"/>
    </row>
    <row r="1354">
      <c r="A1354" s="5">
        <f>IFERROR(__xludf.DUMMYFUNCTION("""COMPUTED_VALUE"""),43831.0)</f>
        <v>43831</v>
      </c>
      <c r="B1354" s="6"/>
      <c r="C1354" s="6"/>
    </row>
    <row r="1355">
      <c r="A1355" s="5">
        <f>IFERROR(__xludf.DUMMYFUNCTION("""COMPUTED_VALUE"""),44197.0)</f>
        <v>44197</v>
      </c>
      <c r="B1355" s="6" t="str">
        <f>IFERROR(__xludf.DUMMYFUNCTION("""COMPUTED_VALUE"""),"gpc_pib")</f>
        <v>gpc_pib</v>
      </c>
      <c r="C1355" s="6">
        <f>IFERROR(__xludf.DUMMYFUNCTION("""COMPUTED_VALUE"""),42.8088834701039)</f>
        <v>42.80888347</v>
      </c>
    </row>
    <row r="1356">
      <c r="A1356" s="5">
        <f>IFERROR(__xludf.DUMMYFUNCTION("""COMPUTED_VALUE"""),44197.0)</f>
        <v>44197</v>
      </c>
      <c r="B1356" s="6" t="str">
        <f>IFERROR(__xludf.DUMMYFUNCTION("""COMPUTED_VALUE"""),"gpc_funcionamiento_estado_pib")</f>
        <v>gpc_funcionamiento_estado_pib</v>
      </c>
      <c r="C1356" s="6">
        <f>IFERROR(__xludf.DUMMYFUNCTION("""COMPUTED_VALUE"""),6.17320859174794)</f>
        <v>6.173208592</v>
      </c>
    </row>
    <row r="1357">
      <c r="A1357" s="5">
        <f>IFERROR(__xludf.DUMMYFUNCTION("""COMPUTED_VALUE"""),44197.0)</f>
        <v>44197</v>
      </c>
      <c r="B1357" s="6" t="str">
        <f>IFERROR(__xludf.DUMMYFUNCTION("""COMPUTED_VALUE"""),"gpc_administracion_general_pib")</f>
        <v>gpc_administracion_general_pib</v>
      </c>
      <c r="C1357" s="6">
        <f>IFERROR(__xludf.DUMMYFUNCTION("""COMPUTED_VALUE"""),2.57392576370915)</f>
        <v>2.573925764</v>
      </c>
    </row>
    <row r="1358">
      <c r="A1358" s="5">
        <f>IFERROR(__xludf.DUMMYFUNCTION("""COMPUTED_VALUE"""),44197.0)</f>
        <v>44197</v>
      </c>
      <c r="B1358" s="6" t="str">
        <f>IFERROR(__xludf.DUMMYFUNCTION("""COMPUTED_VALUE"""),"gpc_justicia_pib")</f>
        <v>gpc_justicia_pib</v>
      </c>
      <c r="C1358" s="6">
        <f>IFERROR(__xludf.DUMMYFUNCTION("""COMPUTED_VALUE"""),1.1720817444179)</f>
        <v>1.172081744</v>
      </c>
    </row>
    <row r="1359">
      <c r="A1359" s="5">
        <f>IFERROR(__xludf.DUMMYFUNCTION("""COMPUTED_VALUE"""),44197.0)</f>
        <v>44197</v>
      </c>
      <c r="B1359" s="6" t="str">
        <f>IFERROR(__xludf.DUMMYFUNCTION("""COMPUTED_VALUE"""),"gpc_defensa_seguridad_pib")</f>
        <v>gpc_defensa_seguridad_pib</v>
      </c>
      <c r="C1359" s="6">
        <f>IFERROR(__xludf.DUMMYFUNCTION("""COMPUTED_VALUE"""),2.42720108362088)</f>
        <v>2.427201084</v>
      </c>
    </row>
    <row r="1360">
      <c r="A1360" s="5">
        <f>IFERROR(__xludf.DUMMYFUNCTION("""COMPUTED_VALUE"""),44197.0)</f>
        <v>44197</v>
      </c>
      <c r="B1360" s="6" t="str">
        <f>IFERROR(__xludf.DUMMYFUNCTION("""COMPUTED_VALUE"""),"gpc_servicios_sociales_pib")</f>
        <v>gpc_servicios_sociales_pib</v>
      </c>
      <c r="C1360" s="6">
        <f>IFERROR(__xludf.DUMMYFUNCTION("""COMPUTED_VALUE"""),29.0518180303589)</f>
        <v>29.05181803</v>
      </c>
    </row>
    <row r="1361">
      <c r="A1361" s="5">
        <f>IFERROR(__xludf.DUMMYFUNCTION("""COMPUTED_VALUE"""),44197.0)</f>
        <v>44197</v>
      </c>
      <c r="B1361" s="6" t="str">
        <f>IFERROR(__xludf.DUMMYFUNCTION("""COMPUTED_VALUE"""),"gpc_educacion_basica_pib")</f>
        <v>gpc_educacion_basica_pib</v>
      </c>
      <c r="C1361" s="6">
        <f>IFERROR(__xludf.DUMMYFUNCTION("""COMPUTED_VALUE"""),3.26038215473319)</f>
        <v>3.260382155</v>
      </c>
    </row>
    <row r="1362">
      <c r="A1362" s="5">
        <f>IFERROR(__xludf.DUMMYFUNCTION("""COMPUTED_VALUE"""),44197.0)</f>
        <v>44197</v>
      </c>
      <c r="B1362" s="6" t="str">
        <f>IFERROR(__xludf.DUMMYFUNCTION("""COMPUTED_VALUE"""),"gpc_educacion_universitaria_pib")</f>
        <v>gpc_educacion_universitaria_pib</v>
      </c>
      <c r="C1362" s="6">
        <f>IFERROR(__xludf.DUMMYFUNCTION("""COMPUTED_VALUE"""),1.05786444097302)</f>
        <v>1.057864441</v>
      </c>
    </row>
    <row r="1363">
      <c r="A1363" s="5">
        <f>IFERROR(__xludf.DUMMYFUNCTION("""COMPUTED_VALUE"""),44197.0)</f>
        <v>44197</v>
      </c>
      <c r="B1363" s="6" t="str">
        <f>IFERROR(__xludf.DUMMYFUNCTION("""COMPUTED_VALUE"""),"gpc_ciencia_tecnica_pib")</f>
        <v>gpc_ciencia_tecnica_pib</v>
      </c>
      <c r="C1363" s="6">
        <f>IFERROR(__xludf.DUMMYFUNCTION("""COMPUTED_VALUE"""),0.22031598942864)</f>
        <v>0.2203159894</v>
      </c>
    </row>
    <row r="1364">
      <c r="A1364" s="5">
        <f>IFERROR(__xludf.DUMMYFUNCTION("""COMPUTED_VALUE"""),44197.0)</f>
        <v>44197</v>
      </c>
      <c r="B1364" s="6" t="str">
        <f>IFERROR(__xludf.DUMMYFUNCTION("""COMPUTED_VALUE"""),"gpc_cultura_pib")</f>
        <v>gpc_cultura_pib</v>
      </c>
      <c r="C1364" s="6">
        <f>IFERROR(__xludf.DUMMYFUNCTION("""COMPUTED_VALUE"""),0.190357275099747)</f>
        <v>0.1903572751</v>
      </c>
    </row>
    <row r="1365">
      <c r="A1365" s="5">
        <f>IFERROR(__xludf.DUMMYFUNCTION("""COMPUTED_VALUE"""),44197.0)</f>
        <v>44197</v>
      </c>
      <c r="B1365" s="6" t="str">
        <f>IFERROR(__xludf.DUMMYFUNCTION("""COMPUTED_VALUE"""),"gpc_educacion_cultura_sin_discriminar_pib")</f>
        <v>gpc_educacion_cultura_sin_discriminar_pib</v>
      </c>
      <c r="C1365" s="6">
        <f>IFERROR(__xludf.DUMMYFUNCTION("""COMPUTED_VALUE"""),0.566265110149987)</f>
        <v>0.5662651101</v>
      </c>
    </row>
    <row r="1366">
      <c r="A1366" s="5">
        <f>IFERROR(__xludf.DUMMYFUNCTION("""COMPUTED_VALUE"""),44197.0)</f>
        <v>44197</v>
      </c>
      <c r="B1366" s="6" t="str">
        <f>IFERROR(__xludf.DUMMYFUNCTION("""COMPUTED_VALUE"""),"gpc_atencion_salud_pib")</f>
        <v>gpc_atencion_salud_pib</v>
      </c>
      <c r="C1366" s="6">
        <f>IFERROR(__xludf.DUMMYFUNCTION("""COMPUTED_VALUE"""),3.09652885869523)</f>
        <v>3.096528859</v>
      </c>
    </row>
    <row r="1367">
      <c r="A1367" s="5">
        <f>IFERROR(__xludf.DUMMYFUNCTION("""COMPUTED_VALUE"""),44197.0)</f>
        <v>44197</v>
      </c>
      <c r="B1367" s="6" t="str">
        <f>IFERROR(__xludf.DUMMYFUNCTION("""COMPUTED_VALUE"""),"gpc_obras_sociales_salud_pib")</f>
        <v>gpc_obras_sociales_salud_pib</v>
      </c>
      <c r="C1367" s="6">
        <f>IFERROR(__xludf.DUMMYFUNCTION("""COMPUTED_VALUE"""),2.65383913948818)</f>
        <v>2.653839139</v>
      </c>
    </row>
    <row r="1368">
      <c r="A1368" s="5">
        <f>IFERROR(__xludf.DUMMYFUNCTION("""COMPUTED_VALUE"""),44197.0)</f>
        <v>44197</v>
      </c>
      <c r="B1368" s="6" t="str">
        <f>IFERROR(__xludf.DUMMYFUNCTION("""COMPUTED_VALUE"""),"gpc_inssjyp_salud_pib")</f>
        <v>gpc_inssjyp_salud_pib</v>
      </c>
      <c r="C1368" s="6">
        <f>IFERROR(__xludf.DUMMYFUNCTION("""COMPUTED_VALUE"""),0.771715565554806)</f>
        <v>0.7717155656</v>
      </c>
    </row>
    <row r="1369">
      <c r="A1369" s="5">
        <f>IFERROR(__xludf.DUMMYFUNCTION("""COMPUTED_VALUE"""),44197.0)</f>
        <v>44197</v>
      </c>
      <c r="B1369" s="6" t="str">
        <f>IFERROR(__xludf.DUMMYFUNCTION("""COMPUTED_VALUE"""),"gpc_agua_alcantarillado_pib")</f>
        <v>gpc_agua_alcantarillado_pib</v>
      </c>
      <c r="C1369" s="6">
        <f>IFERROR(__xludf.DUMMYFUNCTION("""COMPUTED_VALUE"""),0.560541625190203)</f>
        <v>0.5605416252</v>
      </c>
    </row>
    <row r="1370">
      <c r="A1370" s="5">
        <f>IFERROR(__xludf.DUMMYFUNCTION("""COMPUTED_VALUE"""),44197.0)</f>
        <v>44197</v>
      </c>
      <c r="B1370" s="6" t="str">
        <f>IFERROR(__xludf.DUMMYFUNCTION("""COMPUTED_VALUE"""),"gpc_vivienda_urbanismo_pib")</f>
        <v>gpc_vivienda_urbanismo_pib</v>
      </c>
      <c r="C1370" s="6">
        <f>IFERROR(__xludf.DUMMYFUNCTION("""COMPUTED_VALUE"""),1.34486929388104)</f>
        <v>1.344869294</v>
      </c>
    </row>
    <row r="1371">
      <c r="A1371" s="5">
        <f>IFERROR(__xludf.DUMMYFUNCTION("""COMPUTED_VALUE"""),44197.0)</f>
        <v>44197</v>
      </c>
      <c r="B1371" s="6" t="str">
        <f>IFERROR(__xludf.DUMMYFUNCTION("""COMPUTED_VALUE"""),"gpc_promocion_asistencia_social_pib")</f>
        <v>gpc_promocion_asistencia_social_pib</v>
      </c>
      <c r="C1371" s="6">
        <f>IFERROR(__xludf.DUMMYFUNCTION("""COMPUTED_VALUE"""),2.22169023943166)</f>
        <v>2.221690239</v>
      </c>
    </row>
    <row r="1372">
      <c r="A1372" s="5">
        <f>IFERROR(__xludf.DUMMYFUNCTION("""COMPUTED_VALUE"""),44197.0)</f>
        <v>44197</v>
      </c>
      <c r="B1372" s="6" t="str">
        <f>IFERROR(__xludf.DUMMYFUNCTION("""COMPUTED_VALUE"""),"gpc_obras_sociales_prestaciones_pib")</f>
        <v>gpc_obras_sociales_prestaciones_pib</v>
      </c>
      <c r="C1372" s="6">
        <f>IFERROR(__xludf.DUMMYFUNCTION("""COMPUTED_VALUE"""),0.139681696598426)</f>
        <v>0.1396816966</v>
      </c>
    </row>
    <row r="1373">
      <c r="A1373" s="5">
        <f>IFERROR(__xludf.DUMMYFUNCTION("""COMPUTED_VALUE"""),44197.0)</f>
        <v>44197</v>
      </c>
      <c r="B1373" s="6" t="str">
        <f>IFERROR(__xludf.DUMMYFUNCTION("""COMPUTED_VALUE"""),"gpc_inssjyp_prestaciones_pib")</f>
        <v>gpc_inssjyp_prestaciones_pib</v>
      </c>
      <c r="C1373" s="6">
        <f>IFERROR(__xludf.DUMMYFUNCTION("""COMPUTED_VALUE"""),0.169334069339624)</f>
        <v>0.1693340693</v>
      </c>
    </row>
    <row r="1374">
      <c r="A1374" s="5">
        <f>IFERROR(__xludf.DUMMYFUNCTION("""COMPUTED_VALUE"""),44197.0)</f>
        <v>44197</v>
      </c>
      <c r="B1374" s="6" t="str">
        <f>IFERROR(__xludf.DUMMYFUNCTION("""COMPUTED_VALUE"""),"gpc_prevision_social_pib")</f>
        <v>gpc_prevision_social_pib</v>
      </c>
      <c r="C1374" s="6">
        <f>IFERROR(__xludf.DUMMYFUNCTION("""COMPUTED_VALUE"""),10.2521426594551)</f>
        <v>10.25214266</v>
      </c>
    </row>
    <row r="1375">
      <c r="A1375" s="5">
        <f>IFERROR(__xludf.DUMMYFUNCTION("""COMPUTED_VALUE"""),44197.0)</f>
        <v>44197</v>
      </c>
      <c r="B1375" s="6" t="str">
        <f>IFERROR(__xludf.DUMMYFUNCTION("""COMPUTED_VALUE"""),"gpc_programas_empleo_pib")</f>
        <v>gpc_programas_empleo_pib</v>
      </c>
      <c r="C1375" s="6">
        <f>IFERROR(__xludf.DUMMYFUNCTION("""COMPUTED_VALUE"""),0.436668644067172)</f>
        <v>0.4366686441</v>
      </c>
    </row>
    <row r="1376">
      <c r="A1376" s="5">
        <f>IFERROR(__xludf.DUMMYFUNCTION("""COMPUTED_VALUE"""),44197.0)</f>
        <v>44197</v>
      </c>
      <c r="B1376" s="6" t="str">
        <f>IFERROR(__xludf.DUMMYFUNCTION("""COMPUTED_VALUE"""),"gpc_asignaciones_familiares_pib")</f>
        <v>gpc_asignaciones_familiares_pib</v>
      </c>
      <c r="C1376" s="6">
        <f>IFERROR(__xludf.DUMMYFUNCTION("""COMPUTED_VALUE"""),1.11474048143197)</f>
        <v>1.114740481</v>
      </c>
    </row>
    <row r="1377">
      <c r="A1377" s="5">
        <f>IFERROR(__xludf.DUMMYFUNCTION("""COMPUTED_VALUE"""),44197.0)</f>
        <v>44197</v>
      </c>
      <c r="B1377" s="6" t="str">
        <f>IFERROR(__xludf.DUMMYFUNCTION("""COMPUTED_VALUE"""),"gpc_otros_servicios_urbanos_pib")</f>
        <v>gpc_otros_servicios_urbanos_pib</v>
      </c>
      <c r="C1377" s="6">
        <f>IFERROR(__xludf.DUMMYFUNCTION("""COMPUTED_VALUE"""),0.994880786840875)</f>
        <v>0.9948807868</v>
      </c>
    </row>
    <row r="1378">
      <c r="A1378" s="5">
        <f>IFERROR(__xludf.DUMMYFUNCTION("""COMPUTED_VALUE"""),44197.0)</f>
        <v>44197</v>
      </c>
      <c r="B1378" s="6" t="str">
        <f>IFERROR(__xludf.DUMMYFUNCTION("""COMPUTED_VALUE"""),"gpc_servicios_economicos_pib")</f>
        <v>gpc_servicios_economicos_pib</v>
      </c>
      <c r="C1378" s="6">
        <f>IFERROR(__xludf.DUMMYFUNCTION("""COMPUTED_VALUE"""),5.56297672378984)</f>
        <v>5.562976724</v>
      </c>
    </row>
    <row r="1379">
      <c r="A1379" s="5">
        <f>IFERROR(__xludf.DUMMYFUNCTION("""COMPUTED_VALUE"""),44197.0)</f>
        <v>44197</v>
      </c>
      <c r="B1379" s="6" t="str">
        <f>IFERROR(__xludf.DUMMYFUNCTION("""COMPUTED_VALUE"""),"gpc_produccion_primaria_pib")</f>
        <v>gpc_produccion_primaria_pib</v>
      </c>
      <c r="C1379" s="6">
        <f>IFERROR(__xludf.DUMMYFUNCTION("""COMPUTED_VALUE"""),0.368961810016842)</f>
        <v>0.36896181</v>
      </c>
    </row>
    <row r="1380">
      <c r="A1380" s="5">
        <f>IFERROR(__xludf.DUMMYFUNCTION("""COMPUTED_VALUE"""),44197.0)</f>
        <v>44197</v>
      </c>
      <c r="B1380" s="6" t="str">
        <f>IFERROR(__xludf.DUMMYFUNCTION("""COMPUTED_VALUE"""),"gpc_energia_combustible_pib")</f>
        <v>gpc_energia_combustible_pib</v>
      </c>
      <c r="C1380" s="6">
        <f>IFERROR(__xludf.DUMMYFUNCTION("""COMPUTED_VALUE"""),2.40534187090059)</f>
        <v>2.405341871</v>
      </c>
    </row>
    <row r="1381">
      <c r="A1381" s="5">
        <f>IFERROR(__xludf.DUMMYFUNCTION("""COMPUTED_VALUE"""),44197.0)</f>
        <v>44197</v>
      </c>
      <c r="B1381" s="6" t="str">
        <f>IFERROR(__xludf.DUMMYFUNCTION("""COMPUTED_VALUE"""),"gpc_industria_pib")</f>
        <v>gpc_industria_pib</v>
      </c>
      <c r="C1381" s="6">
        <f>IFERROR(__xludf.DUMMYFUNCTION("""COMPUTED_VALUE"""),0.338172090671297)</f>
        <v>0.3381720907</v>
      </c>
    </row>
    <row r="1382">
      <c r="A1382" s="5">
        <f>IFERROR(__xludf.DUMMYFUNCTION("""COMPUTED_VALUE"""),44197.0)</f>
        <v>44197</v>
      </c>
      <c r="B1382" s="6" t="str">
        <f>IFERROR(__xludf.DUMMYFUNCTION("""COMPUTED_VALUE"""),"gpc_transporte_pib")</f>
        <v>gpc_transporte_pib</v>
      </c>
      <c r="C1382" s="6">
        <f>IFERROR(__xludf.DUMMYFUNCTION("""COMPUTED_VALUE"""),2.03610551468767)</f>
        <v>2.036105515</v>
      </c>
    </row>
    <row r="1383">
      <c r="A1383" s="5">
        <f>IFERROR(__xludf.DUMMYFUNCTION("""COMPUTED_VALUE"""),44197.0)</f>
        <v>44197</v>
      </c>
      <c r="B1383" s="6" t="str">
        <f>IFERROR(__xludf.DUMMYFUNCTION("""COMPUTED_VALUE"""),"gpc_comunicaciones_pib")</f>
        <v>gpc_comunicaciones_pib</v>
      </c>
      <c r="C1383" s="6">
        <f>IFERROR(__xludf.DUMMYFUNCTION("""COMPUTED_VALUE"""),0.122638628673338)</f>
        <v>0.1226386287</v>
      </c>
    </row>
    <row r="1384">
      <c r="A1384" s="5">
        <f>IFERROR(__xludf.DUMMYFUNCTION("""COMPUTED_VALUE"""),44197.0)</f>
        <v>44197</v>
      </c>
      <c r="B1384" s="6" t="str">
        <f>IFERROR(__xludf.DUMMYFUNCTION("""COMPUTED_VALUE"""),"gpc_otros_servicios_economicos_pib")</f>
        <v>gpc_otros_servicios_economicos_pib</v>
      </c>
      <c r="C1384" s="6">
        <f>IFERROR(__xludf.DUMMYFUNCTION("""COMPUTED_VALUE"""),0.291756808840099)</f>
        <v>0.2917568088</v>
      </c>
    </row>
    <row r="1385">
      <c r="A1385" s="5">
        <f>IFERROR(__xludf.DUMMYFUNCTION("""COMPUTED_VALUE"""),44197.0)</f>
        <v>44197</v>
      </c>
      <c r="B1385" s="6" t="str">
        <f>IFERROR(__xludf.DUMMYFUNCTION("""COMPUTED_VALUE"""),"gpc_servicios_deuda_publica_pib")</f>
        <v>gpc_servicios_deuda_publica_pib</v>
      </c>
      <c r="C1385" s="6">
        <f>IFERROR(__xludf.DUMMYFUNCTION("""COMPUTED_VALUE"""),2.02088012420722)</f>
        <v>2.020880124</v>
      </c>
    </row>
    <row r="1386">
      <c r="A1386" s="5">
        <f>IFERROR(__xludf.DUMMYFUNCTION("""COMPUTED_VALUE"""),44197.0)</f>
        <v>44197</v>
      </c>
      <c r="B1386" s="6"/>
      <c r="C1386" s="6"/>
    </row>
    <row r="1387">
      <c r="A1387" s="5">
        <f>IFERROR(__xludf.DUMMYFUNCTION("""COMPUTED_VALUE"""),44197.0)</f>
        <v>44197</v>
      </c>
      <c r="B1387" s="6"/>
      <c r="C1387" s="6"/>
    </row>
    <row r="1388">
      <c r="A1388" s="5">
        <f>IFERROR(__xludf.DUMMYFUNCTION("""COMPUTED_VALUE"""),44562.0)</f>
        <v>44562</v>
      </c>
      <c r="B1388" s="6" t="str">
        <f>IFERROR(__xludf.DUMMYFUNCTION("""COMPUTED_VALUE"""),"gpc_pib")</f>
        <v>gpc_pib</v>
      </c>
      <c r="C1388" s="6">
        <f>IFERROR(__xludf.DUMMYFUNCTION("""COMPUTED_VALUE"""),42.2564486897025)</f>
        <v>42.25644869</v>
      </c>
    </row>
    <row r="1389">
      <c r="A1389" s="5">
        <f>IFERROR(__xludf.DUMMYFUNCTION("""COMPUTED_VALUE"""),44562.0)</f>
        <v>44562</v>
      </c>
      <c r="B1389" s="6" t="str">
        <f>IFERROR(__xludf.DUMMYFUNCTION("""COMPUTED_VALUE"""),"gpc_funcionamiento_estado_pib")</f>
        <v>gpc_funcionamiento_estado_pib</v>
      </c>
      <c r="C1389" s="6">
        <f>IFERROR(__xludf.DUMMYFUNCTION("""COMPUTED_VALUE"""),6.22660698845558)</f>
        <v>6.226606988</v>
      </c>
    </row>
    <row r="1390">
      <c r="A1390" s="5">
        <f>IFERROR(__xludf.DUMMYFUNCTION("""COMPUTED_VALUE"""),44562.0)</f>
        <v>44562</v>
      </c>
      <c r="B1390" s="6" t="str">
        <f>IFERROR(__xludf.DUMMYFUNCTION("""COMPUTED_VALUE"""),"gpc_administracion_general_pib")</f>
        <v>gpc_administracion_general_pib</v>
      </c>
      <c r="C1390" s="6">
        <f>IFERROR(__xludf.DUMMYFUNCTION("""COMPUTED_VALUE"""),2.57300612826636)</f>
        <v>2.573006128</v>
      </c>
    </row>
    <row r="1391">
      <c r="A1391" s="5">
        <f>IFERROR(__xludf.DUMMYFUNCTION("""COMPUTED_VALUE"""),44562.0)</f>
        <v>44562</v>
      </c>
      <c r="B1391" s="6" t="str">
        <f>IFERROR(__xludf.DUMMYFUNCTION("""COMPUTED_VALUE"""),"gpc_justicia_pib")</f>
        <v>gpc_justicia_pib</v>
      </c>
      <c r="C1391" s="6">
        <f>IFERROR(__xludf.DUMMYFUNCTION("""COMPUTED_VALUE"""),1.17393684663349)</f>
        <v>1.173936847</v>
      </c>
    </row>
    <row r="1392">
      <c r="A1392" s="5">
        <f>IFERROR(__xludf.DUMMYFUNCTION("""COMPUTED_VALUE"""),44562.0)</f>
        <v>44562</v>
      </c>
      <c r="B1392" s="6" t="str">
        <f>IFERROR(__xludf.DUMMYFUNCTION("""COMPUTED_VALUE"""),"gpc_defensa_seguridad_pib")</f>
        <v>gpc_defensa_seguridad_pib</v>
      </c>
      <c r="C1392" s="6">
        <f>IFERROR(__xludf.DUMMYFUNCTION("""COMPUTED_VALUE"""),2.47966401355572)</f>
        <v>2.479664014</v>
      </c>
    </row>
    <row r="1393">
      <c r="A1393" s="5">
        <f>IFERROR(__xludf.DUMMYFUNCTION("""COMPUTED_VALUE"""),44562.0)</f>
        <v>44562</v>
      </c>
      <c r="B1393" s="6" t="str">
        <f>IFERROR(__xludf.DUMMYFUNCTION("""COMPUTED_VALUE"""),"gpc_servicios_sociales_pib")</f>
        <v>gpc_servicios_sociales_pib</v>
      </c>
      <c r="C1393" s="6">
        <f>IFERROR(__xludf.DUMMYFUNCTION("""COMPUTED_VALUE"""),28.1643100000146)</f>
        <v>28.16431</v>
      </c>
    </row>
    <row r="1394">
      <c r="A1394" s="5">
        <f>IFERROR(__xludf.DUMMYFUNCTION("""COMPUTED_VALUE"""),44562.0)</f>
        <v>44562</v>
      </c>
      <c r="B1394" s="6" t="str">
        <f>IFERROR(__xludf.DUMMYFUNCTION("""COMPUTED_VALUE"""),"gpc_educacion_basica_pib")</f>
        <v>gpc_educacion_basica_pib</v>
      </c>
      <c r="C1394" s="6">
        <f>IFERROR(__xludf.DUMMYFUNCTION("""COMPUTED_VALUE"""),3.2523612326731)</f>
        <v>3.252361233</v>
      </c>
    </row>
    <row r="1395">
      <c r="A1395" s="5">
        <f>IFERROR(__xludf.DUMMYFUNCTION("""COMPUTED_VALUE"""),44562.0)</f>
        <v>44562</v>
      </c>
      <c r="B1395" s="6" t="str">
        <f>IFERROR(__xludf.DUMMYFUNCTION("""COMPUTED_VALUE"""),"gpc_educacion_universitaria_pib")</f>
        <v>gpc_educacion_universitaria_pib</v>
      </c>
      <c r="C1395" s="6">
        <f>IFERROR(__xludf.DUMMYFUNCTION("""COMPUTED_VALUE"""),1.04926585923016)</f>
        <v>1.049265859</v>
      </c>
    </row>
    <row r="1396">
      <c r="A1396" s="5">
        <f>IFERROR(__xludf.DUMMYFUNCTION("""COMPUTED_VALUE"""),44562.0)</f>
        <v>44562</v>
      </c>
      <c r="B1396" s="6" t="str">
        <f>IFERROR(__xludf.DUMMYFUNCTION("""COMPUTED_VALUE"""),"gpc_ciencia_tecnica_pib")</f>
        <v>gpc_ciencia_tecnica_pib</v>
      </c>
      <c r="C1396" s="6">
        <f>IFERROR(__xludf.DUMMYFUNCTION("""COMPUTED_VALUE"""),0.246089651636702)</f>
        <v>0.2460896516</v>
      </c>
    </row>
    <row r="1397">
      <c r="A1397" s="5">
        <f>IFERROR(__xludf.DUMMYFUNCTION("""COMPUTED_VALUE"""),44562.0)</f>
        <v>44562</v>
      </c>
      <c r="B1397" s="6" t="str">
        <f>IFERROR(__xludf.DUMMYFUNCTION("""COMPUTED_VALUE"""),"gpc_cultura_pib")</f>
        <v>gpc_cultura_pib</v>
      </c>
      <c r="C1397" s="6">
        <f>IFERROR(__xludf.DUMMYFUNCTION("""COMPUTED_VALUE"""),0.196900832202738)</f>
        <v>0.1969008322</v>
      </c>
    </row>
    <row r="1398">
      <c r="A1398" s="5">
        <f>IFERROR(__xludf.DUMMYFUNCTION("""COMPUTED_VALUE"""),44562.0)</f>
        <v>44562</v>
      </c>
      <c r="B1398" s="6" t="str">
        <f>IFERROR(__xludf.DUMMYFUNCTION("""COMPUTED_VALUE"""),"gpc_educacion_cultura_sin_discriminar_pib")</f>
        <v>gpc_educacion_cultura_sin_discriminar_pib</v>
      </c>
      <c r="C1398" s="6">
        <f>IFERROR(__xludf.DUMMYFUNCTION("""COMPUTED_VALUE"""),0.67050418159962)</f>
        <v>0.6705041816</v>
      </c>
    </row>
    <row r="1399">
      <c r="A1399" s="5">
        <f>IFERROR(__xludf.DUMMYFUNCTION("""COMPUTED_VALUE"""),44562.0)</f>
        <v>44562</v>
      </c>
      <c r="B1399" s="6" t="str">
        <f>IFERROR(__xludf.DUMMYFUNCTION("""COMPUTED_VALUE"""),"gpc_atencion_salud_pib")</f>
        <v>gpc_atencion_salud_pib</v>
      </c>
      <c r="C1399" s="6">
        <f>IFERROR(__xludf.DUMMYFUNCTION("""COMPUTED_VALUE"""),2.75574031283965)</f>
        <v>2.755740313</v>
      </c>
    </row>
    <row r="1400">
      <c r="A1400" s="5">
        <f>IFERROR(__xludf.DUMMYFUNCTION("""COMPUTED_VALUE"""),44562.0)</f>
        <v>44562</v>
      </c>
      <c r="B1400" s="6" t="str">
        <f>IFERROR(__xludf.DUMMYFUNCTION("""COMPUTED_VALUE"""),"gpc_obras_sociales_salud_pib")</f>
        <v>gpc_obras_sociales_salud_pib</v>
      </c>
      <c r="C1400" s="6">
        <f>IFERROR(__xludf.DUMMYFUNCTION("""COMPUTED_VALUE"""),2.56434756446758)</f>
        <v>2.564347564</v>
      </c>
    </row>
    <row r="1401">
      <c r="A1401" s="5">
        <f>IFERROR(__xludf.DUMMYFUNCTION("""COMPUTED_VALUE"""),44562.0)</f>
        <v>44562</v>
      </c>
      <c r="B1401" s="6" t="str">
        <f>IFERROR(__xludf.DUMMYFUNCTION("""COMPUTED_VALUE"""),"gpc_inssjyp_salud_pib")</f>
        <v>gpc_inssjyp_salud_pib</v>
      </c>
      <c r="C1401" s="6">
        <f>IFERROR(__xludf.DUMMYFUNCTION("""COMPUTED_VALUE"""),0.788813432235231)</f>
        <v>0.7888134322</v>
      </c>
    </row>
    <row r="1402">
      <c r="A1402" s="5">
        <f>IFERROR(__xludf.DUMMYFUNCTION("""COMPUTED_VALUE"""),44562.0)</f>
        <v>44562</v>
      </c>
      <c r="B1402" s="6" t="str">
        <f>IFERROR(__xludf.DUMMYFUNCTION("""COMPUTED_VALUE"""),"gpc_agua_alcantarillado_pib")</f>
        <v>gpc_agua_alcantarillado_pib</v>
      </c>
      <c r="C1402" s="6">
        <f>IFERROR(__xludf.DUMMYFUNCTION("""COMPUTED_VALUE"""),0.593181930983876)</f>
        <v>0.593181931</v>
      </c>
    </row>
    <row r="1403">
      <c r="A1403" s="5">
        <f>IFERROR(__xludf.DUMMYFUNCTION("""COMPUTED_VALUE"""),44562.0)</f>
        <v>44562</v>
      </c>
      <c r="B1403" s="6" t="str">
        <f>IFERROR(__xludf.DUMMYFUNCTION("""COMPUTED_VALUE"""),"gpc_vivienda_urbanismo_pib")</f>
        <v>gpc_vivienda_urbanismo_pib</v>
      </c>
      <c r="C1403" s="6">
        <f>IFERROR(__xludf.DUMMYFUNCTION("""COMPUTED_VALUE"""),1.01269805167452)</f>
        <v>1.012698052</v>
      </c>
    </row>
    <row r="1404">
      <c r="A1404" s="5">
        <f>IFERROR(__xludf.DUMMYFUNCTION("""COMPUTED_VALUE"""),44562.0)</f>
        <v>44562</v>
      </c>
      <c r="B1404" s="6" t="str">
        <f>IFERROR(__xludf.DUMMYFUNCTION("""COMPUTED_VALUE"""),"gpc_promocion_asistencia_social_pib")</f>
        <v>gpc_promocion_asistencia_social_pib</v>
      </c>
      <c r="C1404" s="6">
        <f>IFERROR(__xludf.DUMMYFUNCTION("""COMPUTED_VALUE"""),2.5343599394945)</f>
        <v>2.534359939</v>
      </c>
    </row>
    <row r="1405">
      <c r="A1405" s="5">
        <f>IFERROR(__xludf.DUMMYFUNCTION("""COMPUTED_VALUE"""),44562.0)</f>
        <v>44562</v>
      </c>
      <c r="B1405" s="6" t="str">
        <f>IFERROR(__xludf.DUMMYFUNCTION("""COMPUTED_VALUE"""),"gpc_obras_sociales_prestaciones_pib")</f>
        <v>gpc_obras_sociales_prestaciones_pib</v>
      </c>
      <c r="C1405" s="6">
        <f>IFERROR(__xludf.DUMMYFUNCTION("""COMPUTED_VALUE"""),0.13637622210721)</f>
        <v>0.1363762221</v>
      </c>
    </row>
    <row r="1406">
      <c r="A1406" s="5">
        <f>IFERROR(__xludf.DUMMYFUNCTION("""COMPUTED_VALUE"""),44562.0)</f>
        <v>44562</v>
      </c>
      <c r="B1406" s="6" t="str">
        <f>IFERROR(__xludf.DUMMYFUNCTION("""COMPUTED_VALUE"""),"gpc_inssjyp_prestaciones_pib")</f>
        <v>gpc_inssjyp_prestaciones_pib</v>
      </c>
      <c r="C1406" s="6">
        <f>IFERROR(__xludf.DUMMYFUNCTION("""COMPUTED_VALUE"""),0.17308577718543)</f>
        <v>0.1730857772</v>
      </c>
    </row>
    <row r="1407">
      <c r="A1407" s="5">
        <f>IFERROR(__xludf.DUMMYFUNCTION("""COMPUTED_VALUE"""),44562.0)</f>
        <v>44562</v>
      </c>
      <c r="B1407" s="6" t="str">
        <f>IFERROR(__xludf.DUMMYFUNCTION("""COMPUTED_VALUE"""),"gpc_prevision_social_pib")</f>
        <v>gpc_prevision_social_pib</v>
      </c>
      <c r="C1407" s="6">
        <f>IFERROR(__xludf.DUMMYFUNCTION("""COMPUTED_VALUE"""),10.0249198460687)</f>
        <v>10.02491985</v>
      </c>
    </row>
    <row r="1408">
      <c r="A1408" s="5">
        <f>IFERROR(__xludf.DUMMYFUNCTION("""COMPUTED_VALUE"""),44562.0)</f>
        <v>44562</v>
      </c>
      <c r="B1408" s="6" t="str">
        <f>IFERROR(__xludf.DUMMYFUNCTION("""COMPUTED_VALUE"""),"gpc_programas_empleo_pib")</f>
        <v>gpc_programas_empleo_pib</v>
      </c>
      <c r="C1408" s="6">
        <f>IFERROR(__xludf.DUMMYFUNCTION("""COMPUTED_VALUE"""),0.176286212613072)</f>
        <v>0.1762862126</v>
      </c>
    </row>
    <row r="1409">
      <c r="A1409" s="5">
        <f>IFERROR(__xludf.DUMMYFUNCTION("""COMPUTED_VALUE"""),44562.0)</f>
        <v>44562</v>
      </c>
      <c r="B1409" s="6" t="str">
        <f>IFERROR(__xludf.DUMMYFUNCTION("""COMPUTED_VALUE"""),"gpc_asignaciones_familiares_pib")</f>
        <v>gpc_asignaciones_familiares_pib</v>
      </c>
      <c r="C1409" s="6">
        <f>IFERROR(__xludf.DUMMYFUNCTION("""COMPUTED_VALUE"""),1.04987231924594)</f>
        <v>1.049872319</v>
      </c>
    </row>
    <row r="1410">
      <c r="A1410" s="5">
        <f>IFERROR(__xludf.DUMMYFUNCTION("""COMPUTED_VALUE"""),44562.0)</f>
        <v>44562</v>
      </c>
      <c r="B1410" s="6" t="str">
        <f>IFERROR(__xludf.DUMMYFUNCTION("""COMPUTED_VALUE"""),"gpc_otros_servicios_urbanos_pib")</f>
        <v>gpc_otros_servicios_urbanos_pib</v>
      </c>
      <c r="C1410" s="6">
        <f>IFERROR(__xludf.DUMMYFUNCTION("""COMPUTED_VALUE"""),0.939506633756532)</f>
        <v>0.9395066338</v>
      </c>
    </row>
    <row r="1411">
      <c r="A1411" s="5">
        <f>IFERROR(__xludf.DUMMYFUNCTION("""COMPUTED_VALUE"""),44562.0)</f>
        <v>44562</v>
      </c>
      <c r="B1411" s="6" t="str">
        <f>IFERROR(__xludf.DUMMYFUNCTION("""COMPUTED_VALUE"""),"gpc_servicios_economicos_pib")</f>
        <v>gpc_servicios_economicos_pib</v>
      </c>
      <c r="C1411" s="6">
        <f>IFERROR(__xludf.DUMMYFUNCTION("""COMPUTED_VALUE"""),5.61647856715444)</f>
        <v>5.616478567</v>
      </c>
    </row>
    <row r="1412">
      <c r="A1412" s="5">
        <f>IFERROR(__xludf.DUMMYFUNCTION("""COMPUTED_VALUE"""),44562.0)</f>
        <v>44562</v>
      </c>
      <c r="B1412" s="6" t="str">
        <f>IFERROR(__xludf.DUMMYFUNCTION("""COMPUTED_VALUE"""),"gpc_produccion_primaria_pib")</f>
        <v>gpc_produccion_primaria_pib</v>
      </c>
      <c r="C1412" s="6">
        <f>IFERROR(__xludf.DUMMYFUNCTION("""COMPUTED_VALUE"""),0.417449810498628)</f>
        <v>0.4174498105</v>
      </c>
    </row>
    <row r="1413">
      <c r="A1413" s="5">
        <f>IFERROR(__xludf.DUMMYFUNCTION("""COMPUTED_VALUE"""),44562.0)</f>
        <v>44562</v>
      </c>
      <c r="B1413" s="6" t="str">
        <f>IFERROR(__xludf.DUMMYFUNCTION("""COMPUTED_VALUE"""),"gpc_energia_combustible_pib")</f>
        <v>gpc_energia_combustible_pib</v>
      </c>
      <c r="C1413" s="6">
        <f>IFERROR(__xludf.DUMMYFUNCTION("""COMPUTED_VALUE"""),2.5871983539642)</f>
        <v>2.587198354</v>
      </c>
    </row>
    <row r="1414">
      <c r="A1414" s="5">
        <f>IFERROR(__xludf.DUMMYFUNCTION("""COMPUTED_VALUE"""),44562.0)</f>
        <v>44562</v>
      </c>
      <c r="B1414" s="6" t="str">
        <f>IFERROR(__xludf.DUMMYFUNCTION("""COMPUTED_VALUE"""),"gpc_industria_pib")</f>
        <v>gpc_industria_pib</v>
      </c>
      <c r="C1414" s="6">
        <f>IFERROR(__xludf.DUMMYFUNCTION("""COMPUTED_VALUE"""),0.164597377843138)</f>
        <v>0.1645973778</v>
      </c>
    </row>
    <row r="1415">
      <c r="A1415" s="5">
        <f>IFERROR(__xludf.DUMMYFUNCTION("""COMPUTED_VALUE"""),44562.0)</f>
        <v>44562</v>
      </c>
      <c r="B1415" s="6" t="str">
        <f>IFERROR(__xludf.DUMMYFUNCTION("""COMPUTED_VALUE"""),"gpc_transporte_pib")</f>
        <v>gpc_transporte_pib</v>
      </c>
      <c r="C1415" s="6">
        <f>IFERROR(__xludf.DUMMYFUNCTION("""COMPUTED_VALUE"""),1.98274719594041)</f>
        <v>1.982747196</v>
      </c>
    </row>
    <row r="1416">
      <c r="A1416" s="5">
        <f>IFERROR(__xludf.DUMMYFUNCTION("""COMPUTED_VALUE"""),44562.0)</f>
        <v>44562</v>
      </c>
      <c r="B1416" s="6" t="str">
        <f>IFERROR(__xludf.DUMMYFUNCTION("""COMPUTED_VALUE"""),"gpc_comunicaciones_pib")</f>
        <v>gpc_comunicaciones_pib</v>
      </c>
      <c r="C1416" s="6">
        <f>IFERROR(__xludf.DUMMYFUNCTION("""COMPUTED_VALUE"""),0.155796022110739)</f>
        <v>0.1557960221</v>
      </c>
    </row>
    <row r="1417">
      <c r="A1417" s="5">
        <f>IFERROR(__xludf.DUMMYFUNCTION("""COMPUTED_VALUE"""),44562.0)</f>
        <v>44562</v>
      </c>
      <c r="B1417" s="6" t="str">
        <f>IFERROR(__xludf.DUMMYFUNCTION("""COMPUTED_VALUE"""),"gpc_otros_servicios_economicos_pib")</f>
        <v>gpc_otros_servicios_economicos_pib</v>
      </c>
      <c r="C1417" s="6">
        <f>IFERROR(__xludf.DUMMYFUNCTION("""COMPUTED_VALUE"""),0.308689806797321)</f>
        <v>0.3086898068</v>
      </c>
    </row>
    <row r="1418">
      <c r="A1418" s="5">
        <f>IFERROR(__xludf.DUMMYFUNCTION("""COMPUTED_VALUE"""),44562.0)</f>
        <v>44562</v>
      </c>
      <c r="B1418" s="6" t="str">
        <f>IFERROR(__xludf.DUMMYFUNCTION("""COMPUTED_VALUE"""),"gpc_servicios_deuda_publica_pib")</f>
        <v>gpc_servicios_deuda_publica_pib</v>
      </c>
      <c r="C1418" s="6">
        <f>IFERROR(__xludf.DUMMYFUNCTION("""COMPUTED_VALUE"""),2.24905313407792)</f>
        <v>2.249053134</v>
      </c>
    </row>
    <row r="1419">
      <c r="A1419" s="5">
        <f>IFERROR(__xludf.DUMMYFUNCTION("""COMPUTED_VALUE"""),44562.0)</f>
        <v>44562</v>
      </c>
      <c r="B1419" s="6"/>
      <c r="C1419" s="6"/>
    </row>
    <row r="1420">
      <c r="A1420" s="5">
        <f>IFERROR(__xludf.DUMMYFUNCTION("""COMPUTED_VALUE"""),44562.0)</f>
        <v>44562</v>
      </c>
      <c r="B1420" s="6"/>
      <c r="C1420" s="6"/>
    </row>
    <row r="1421">
      <c r="A1421" s="5">
        <f>IFERROR(__xludf.DUMMYFUNCTION("""COMPUTED_VALUE"""),44927.0)</f>
        <v>44927</v>
      </c>
      <c r="B1421" s="6" t="str">
        <f>IFERROR(__xludf.DUMMYFUNCTION("""COMPUTED_VALUE"""),"gpc_pib")</f>
        <v>gpc_pib</v>
      </c>
      <c r="C1421" s="6">
        <f>IFERROR(__xludf.DUMMYFUNCTION("""COMPUTED_VALUE"""),41.86654045227)</f>
        <v>41.86654045</v>
      </c>
    </row>
    <row r="1422">
      <c r="A1422" s="5">
        <f>IFERROR(__xludf.DUMMYFUNCTION("""COMPUTED_VALUE"""),44927.0)</f>
        <v>44927</v>
      </c>
      <c r="B1422" s="6" t="str">
        <f>IFERROR(__xludf.DUMMYFUNCTION("""COMPUTED_VALUE"""),"gpc_funcionamiento_estado_pib")</f>
        <v>gpc_funcionamiento_estado_pib</v>
      </c>
      <c r="C1422" s="6">
        <f>IFERROR(__xludf.DUMMYFUNCTION("""COMPUTED_VALUE"""),6.56488195353367)</f>
        <v>6.564881954</v>
      </c>
    </row>
    <row r="1423">
      <c r="A1423" s="5">
        <f>IFERROR(__xludf.DUMMYFUNCTION("""COMPUTED_VALUE"""),44927.0)</f>
        <v>44927</v>
      </c>
      <c r="B1423" s="6" t="str">
        <f>IFERROR(__xludf.DUMMYFUNCTION("""COMPUTED_VALUE"""),"gpc_administracion_general_pib")</f>
        <v>gpc_administracion_general_pib</v>
      </c>
      <c r="C1423" s="6">
        <f>IFERROR(__xludf.DUMMYFUNCTION("""COMPUTED_VALUE"""),2.75379546737265)</f>
        <v>2.753795467</v>
      </c>
    </row>
    <row r="1424">
      <c r="A1424" s="5">
        <f>IFERROR(__xludf.DUMMYFUNCTION("""COMPUTED_VALUE"""),44927.0)</f>
        <v>44927</v>
      </c>
      <c r="B1424" s="6" t="str">
        <f>IFERROR(__xludf.DUMMYFUNCTION("""COMPUTED_VALUE"""),"gpc_justicia_pib")</f>
        <v>gpc_justicia_pib</v>
      </c>
      <c r="C1424" s="6">
        <f>IFERROR(__xludf.DUMMYFUNCTION("""COMPUTED_VALUE"""),1.24669297615779)</f>
        <v>1.246692976</v>
      </c>
    </row>
    <row r="1425">
      <c r="A1425" s="5">
        <f>IFERROR(__xludf.DUMMYFUNCTION("""COMPUTED_VALUE"""),44927.0)</f>
        <v>44927</v>
      </c>
      <c r="B1425" s="6" t="str">
        <f>IFERROR(__xludf.DUMMYFUNCTION("""COMPUTED_VALUE"""),"gpc_defensa_seguridad_pib")</f>
        <v>gpc_defensa_seguridad_pib</v>
      </c>
      <c r="C1425" s="6">
        <f>IFERROR(__xludf.DUMMYFUNCTION("""COMPUTED_VALUE"""),2.56439351000322)</f>
        <v>2.56439351</v>
      </c>
    </row>
    <row r="1426">
      <c r="A1426" s="5">
        <f>IFERROR(__xludf.DUMMYFUNCTION("""COMPUTED_VALUE"""),44927.0)</f>
        <v>44927</v>
      </c>
      <c r="B1426" s="6" t="str">
        <f>IFERROR(__xludf.DUMMYFUNCTION("""COMPUTED_VALUE"""),"gpc_servicios_sociales_pib")</f>
        <v>gpc_servicios_sociales_pib</v>
      </c>
      <c r="C1426" s="6">
        <f>IFERROR(__xludf.DUMMYFUNCTION("""COMPUTED_VALUE"""),28.1918159869333)</f>
        <v>28.19181599</v>
      </c>
    </row>
    <row r="1427">
      <c r="A1427" s="5">
        <f>IFERROR(__xludf.DUMMYFUNCTION("""COMPUTED_VALUE"""),44927.0)</f>
        <v>44927</v>
      </c>
      <c r="B1427" s="6" t="str">
        <f>IFERROR(__xludf.DUMMYFUNCTION("""COMPUTED_VALUE"""),"gpc_educacion_basica_pib")</f>
        <v>gpc_educacion_basica_pib</v>
      </c>
      <c r="C1427" s="6">
        <f>IFERROR(__xludf.DUMMYFUNCTION("""COMPUTED_VALUE"""),3.45927897594365)</f>
        <v>3.459278976</v>
      </c>
    </row>
    <row r="1428">
      <c r="A1428" s="5">
        <f>IFERROR(__xludf.DUMMYFUNCTION("""COMPUTED_VALUE"""),44927.0)</f>
        <v>44927</v>
      </c>
      <c r="B1428" s="6" t="str">
        <f>IFERROR(__xludf.DUMMYFUNCTION("""COMPUTED_VALUE"""),"gpc_educacion_universitaria_pib")</f>
        <v>gpc_educacion_universitaria_pib</v>
      </c>
      <c r="C1428" s="6">
        <f>IFERROR(__xludf.DUMMYFUNCTION("""COMPUTED_VALUE"""),1.12745658453769)</f>
        <v>1.127456585</v>
      </c>
    </row>
    <row r="1429">
      <c r="A1429" s="5">
        <f>IFERROR(__xludf.DUMMYFUNCTION("""COMPUTED_VALUE"""),44927.0)</f>
        <v>44927</v>
      </c>
      <c r="B1429" s="6" t="str">
        <f>IFERROR(__xludf.DUMMYFUNCTION("""COMPUTED_VALUE"""),"gpc_ciencia_tecnica_pib")</f>
        <v>gpc_ciencia_tecnica_pib</v>
      </c>
      <c r="C1429" s="6">
        <f>IFERROR(__xludf.DUMMYFUNCTION("""COMPUTED_VALUE"""),0.267382988187198)</f>
        <v>0.2673829882</v>
      </c>
    </row>
    <row r="1430">
      <c r="A1430" s="5">
        <f>IFERROR(__xludf.DUMMYFUNCTION("""COMPUTED_VALUE"""),44927.0)</f>
        <v>44927</v>
      </c>
      <c r="B1430" s="6" t="str">
        <f>IFERROR(__xludf.DUMMYFUNCTION("""COMPUTED_VALUE"""),"gpc_cultura_pib")</f>
        <v>gpc_cultura_pib</v>
      </c>
      <c r="C1430" s="6">
        <f>IFERROR(__xludf.DUMMYFUNCTION("""COMPUTED_VALUE"""),0.200339244226641)</f>
        <v>0.2003392442</v>
      </c>
    </row>
    <row r="1431">
      <c r="A1431" s="5">
        <f>IFERROR(__xludf.DUMMYFUNCTION("""COMPUTED_VALUE"""),44927.0)</f>
        <v>44927</v>
      </c>
      <c r="B1431" s="6" t="str">
        <f>IFERROR(__xludf.DUMMYFUNCTION("""COMPUTED_VALUE"""),"gpc_educacion_cultura_sin_discriminar_pib")</f>
        <v>gpc_educacion_cultura_sin_discriminar_pib</v>
      </c>
      <c r="C1431" s="6">
        <f>IFERROR(__xludf.DUMMYFUNCTION("""COMPUTED_VALUE"""),0.793024305904271)</f>
        <v>0.7930243059</v>
      </c>
    </row>
    <row r="1432">
      <c r="A1432" s="5">
        <f>IFERROR(__xludf.DUMMYFUNCTION("""COMPUTED_VALUE"""),44927.0)</f>
        <v>44927</v>
      </c>
      <c r="B1432" s="6" t="str">
        <f>IFERROR(__xludf.DUMMYFUNCTION("""COMPUTED_VALUE"""),"gpc_atencion_salud_pib")</f>
        <v>gpc_atencion_salud_pib</v>
      </c>
      <c r="C1432" s="6">
        <f>IFERROR(__xludf.DUMMYFUNCTION("""COMPUTED_VALUE"""),2.73847209063528)</f>
        <v>2.738472091</v>
      </c>
    </row>
    <row r="1433">
      <c r="A1433" s="5">
        <f>IFERROR(__xludf.DUMMYFUNCTION("""COMPUTED_VALUE"""),44927.0)</f>
        <v>44927</v>
      </c>
      <c r="B1433" s="6" t="str">
        <f>IFERROR(__xludf.DUMMYFUNCTION("""COMPUTED_VALUE"""),"gpc_obras_sociales_salud_pib")</f>
        <v>gpc_obras_sociales_salud_pib</v>
      </c>
      <c r="C1433" s="6">
        <f>IFERROR(__xludf.DUMMYFUNCTION("""COMPUTED_VALUE"""),2.5255728386879)</f>
        <v>2.525572839</v>
      </c>
    </row>
    <row r="1434">
      <c r="A1434" s="5">
        <f>IFERROR(__xludf.DUMMYFUNCTION("""COMPUTED_VALUE"""),44927.0)</f>
        <v>44927</v>
      </c>
      <c r="B1434" s="6" t="str">
        <f>IFERROR(__xludf.DUMMYFUNCTION("""COMPUTED_VALUE"""),"gpc_inssjyp_salud_pib")</f>
        <v>gpc_inssjyp_salud_pib</v>
      </c>
      <c r="C1434" s="6">
        <f>IFERROR(__xludf.DUMMYFUNCTION("""COMPUTED_VALUE"""),1.02546652903556)</f>
        <v>1.025466529</v>
      </c>
    </row>
    <row r="1435">
      <c r="A1435" s="5">
        <f>IFERROR(__xludf.DUMMYFUNCTION("""COMPUTED_VALUE"""),44927.0)</f>
        <v>44927</v>
      </c>
      <c r="B1435" s="6" t="str">
        <f>IFERROR(__xludf.DUMMYFUNCTION("""COMPUTED_VALUE"""),"gpc_agua_alcantarillado_pib")</f>
        <v>gpc_agua_alcantarillado_pib</v>
      </c>
      <c r="C1435" s="6">
        <f>IFERROR(__xludf.DUMMYFUNCTION("""COMPUTED_VALUE"""),0.680249048691894)</f>
        <v>0.6802490487</v>
      </c>
    </row>
    <row r="1436">
      <c r="A1436" s="5">
        <f>IFERROR(__xludf.DUMMYFUNCTION("""COMPUTED_VALUE"""),44927.0)</f>
        <v>44927</v>
      </c>
      <c r="B1436" s="6" t="str">
        <f>IFERROR(__xludf.DUMMYFUNCTION("""COMPUTED_VALUE"""),"gpc_vivienda_urbanismo_pib")</f>
        <v>gpc_vivienda_urbanismo_pib</v>
      </c>
      <c r="C1436" s="6">
        <f>IFERROR(__xludf.DUMMYFUNCTION("""COMPUTED_VALUE"""),0.938284251889905)</f>
        <v>0.9382842519</v>
      </c>
    </row>
    <row r="1437">
      <c r="A1437" s="5">
        <f>IFERROR(__xludf.DUMMYFUNCTION("""COMPUTED_VALUE"""),44927.0)</f>
        <v>44927</v>
      </c>
      <c r="B1437" s="6" t="str">
        <f>IFERROR(__xludf.DUMMYFUNCTION("""COMPUTED_VALUE"""),"gpc_promocion_asistencia_social_pib")</f>
        <v>gpc_promocion_asistencia_social_pib</v>
      </c>
      <c r="C1437" s="6">
        <f>IFERROR(__xludf.DUMMYFUNCTION("""COMPUTED_VALUE"""),2.4222227589445)</f>
        <v>2.422222759</v>
      </c>
    </row>
    <row r="1438">
      <c r="A1438" s="5">
        <f>IFERROR(__xludf.DUMMYFUNCTION("""COMPUTED_VALUE"""),44927.0)</f>
        <v>44927</v>
      </c>
      <c r="B1438" s="6" t="str">
        <f>IFERROR(__xludf.DUMMYFUNCTION("""COMPUTED_VALUE"""),"gpc_obras_sociales_prestaciones_pib")</f>
        <v>gpc_obras_sociales_prestaciones_pib</v>
      </c>
      <c r="C1438" s="6">
        <f>IFERROR(__xludf.DUMMYFUNCTION("""COMPUTED_VALUE"""),0.133667070881879)</f>
        <v>0.1336670709</v>
      </c>
    </row>
    <row r="1439">
      <c r="A1439" s="5">
        <f>IFERROR(__xludf.DUMMYFUNCTION("""COMPUTED_VALUE"""),44927.0)</f>
        <v>44927</v>
      </c>
      <c r="B1439" s="6" t="str">
        <f>IFERROR(__xludf.DUMMYFUNCTION("""COMPUTED_VALUE"""),"gpc_inssjyp_prestaciones_pib")</f>
        <v>gpc_inssjyp_prestaciones_pib</v>
      </c>
      <c r="C1439" s="6">
        <f>IFERROR(__xludf.DUMMYFUNCTION("""COMPUTED_VALUE"""),0.225013499900488)</f>
        <v>0.2250134999</v>
      </c>
    </row>
    <row r="1440">
      <c r="A1440" s="5">
        <f>IFERROR(__xludf.DUMMYFUNCTION("""COMPUTED_VALUE"""),44927.0)</f>
        <v>44927</v>
      </c>
      <c r="B1440" s="6" t="str">
        <f>IFERROR(__xludf.DUMMYFUNCTION("""COMPUTED_VALUE"""),"gpc_prevision_social_pib")</f>
        <v>gpc_prevision_social_pib</v>
      </c>
      <c r="C1440" s="6">
        <f>IFERROR(__xludf.DUMMYFUNCTION("""COMPUTED_VALUE"""),9.79877955508495)</f>
        <v>9.798779555</v>
      </c>
    </row>
    <row r="1441">
      <c r="A1441" s="5">
        <f>IFERROR(__xludf.DUMMYFUNCTION("""COMPUTED_VALUE"""),44927.0)</f>
        <v>44927</v>
      </c>
      <c r="B1441" s="6" t="str">
        <f>IFERROR(__xludf.DUMMYFUNCTION("""COMPUTED_VALUE"""),"gpc_programas_empleo_pib")</f>
        <v>gpc_programas_empleo_pib</v>
      </c>
      <c r="C1441" s="6">
        <f>IFERROR(__xludf.DUMMYFUNCTION("""COMPUTED_VALUE"""),0.211971363356368)</f>
        <v>0.2119713634</v>
      </c>
    </row>
    <row r="1442">
      <c r="A1442" s="5">
        <f>IFERROR(__xludf.DUMMYFUNCTION("""COMPUTED_VALUE"""),44927.0)</f>
        <v>44927</v>
      </c>
      <c r="B1442" s="6" t="str">
        <f>IFERROR(__xludf.DUMMYFUNCTION("""COMPUTED_VALUE"""),"gpc_asignaciones_familiares_pib")</f>
        <v>gpc_asignaciones_familiares_pib</v>
      </c>
      <c r="C1442" s="6">
        <f>IFERROR(__xludf.DUMMYFUNCTION("""COMPUTED_VALUE"""),0.705148935609698)</f>
        <v>0.7051489356</v>
      </c>
    </row>
    <row r="1443">
      <c r="A1443" s="5">
        <f>IFERROR(__xludf.DUMMYFUNCTION("""COMPUTED_VALUE"""),44927.0)</f>
        <v>44927</v>
      </c>
      <c r="B1443" s="6" t="str">
        <f>IFERROR(__xludf.DUMMYFUNCTION("""COMPUTED_VALUE"""),"gpc_otros_servicios_urbanos_pib")</f>
        <v>gpc_otros_servicios_urbanos_pib</v>
      </c>
      <c r="C1443" s="6">
        <f>IFERROR(__xludf.DUMMYFUNCTION("""COMPUTED_VALUE"""),0.939485945415393)</f>
        <v>0.9394859454</v>
      </c>
    </row>
    <row r="1444">
      <c r="A1444" s="5">
        <f>IFERROR(__xludf.DUMMYFUNCTION("""COMPUTED_VALUE"""),44927.0)</f>
        <v>44927</v>
      </c>
      <c r="B1444" s="6" t="str">
        <f>IFERROR(__xludf.DUMMYFUNCTION("""COMPUTED_VALUE"""),"gpc_servicios_economicos_pib")</f>
        <v>gpc_servicios_economicos_pib</v>
      </c>
      <c r="C1444" s="6">
        <f>IFERROR(__xludf.DUMMYFUNCTION("""COMPUTED_VALUE"""),4.93150058947682)</f>
        <v>4.931500589</v>
      </c>
    </row>
    <row r="1445">
      <c r="A1445" s="5">
        <f>IFERROR(__xludf.DUMMYFUNCTION("""COMPUTED_VALUE"""),44927.0)</f>
        <v>44927</v>
      </c>
      <c r="B1445" s="6" t="str">
        <f>IFERROR(__xludf.DUMMYFUNCTION("""COMPUTED_VALUE"""),"gpc_produccion_primaria_pib")</f>
        <v>gpc_produccion_primaria_pib</v>
      </c>
      <c r="C1445" s="6">
        <f>IFERROR(__xludf.DUMMYFUNCTION("""COMPUTED_VALUE"""),0.435872141886336)</f>
        <v>0.4358721419</v>
      </c>
    </row>
    <row r="1446">
      <c r="A1446" s="5">
        <f>IFERROR(__xludf.DUMMYFUNCTION("""COMPUTED_VALUE"""),44927.0)</f>
        <v>44927</v>
      </c>
      <c r="B1446" s="6" t="str">
        <f>IFERROR(__xludf.DUMMYFUNCTION("""COMPUTED_VALUE"""),"gpc_energia_combustible_pib")</f>
        <v>gpc_energia_combustible_pib</v>
      </c>
      <c r="C1446" s="6">
        <f>IFERROR(__xludf.DUMMYFUNCTION("""COMPUTED_VALUE"""),2.00719834940272)</f>
        <v>2.007198349</v>
      </c>
    </row>
    <row r="1447">
      <c r="A1447" s="5">
        <f>IFERROR(__xludf.DUMMYFUNCTION("""COMPUTED_VALUE"""),44927.0)</f>
        <v>44927</v>
      </c>
      <c r="B1447" s="6" t="str">
        <f>IFERROR(__xludf.DUMMYFUNCTION("""COMPUTED_VALUE"""),"gpc_industria_pib")</f>
        <v>gpc_industria_pib</v>
      </c>
      <c r="C1447" s="6">
        <f>IFERROR(__xludf.DUMMYFUNCTION("""COMPUTED_VALUE"""),0.137636612512571)</f>
        <v>0.1376366125</v>
      </c>
    </row>
    <row r="1448">
      <c r="A1448" s="5">
        <f>IFERROR(__xludf.DUMMYFUNCTION("""COMPUTED_VALUE"""),44927.0)</f>
        <v>44927</v>
      </c>
      <c r="B1448" s="6" t="str">
        <f>IFERROR(__xludf.DUMMYFUNCTION("""COMPUTED_VALUE"""),"gpc_transporte_pib")</f>
        <v>gpc_transporte_pib</v>
      </c>
      <c r="C1448" s="6">
        <f>IFERROR(__xludf.DUMMYFUNCTION("""COMPUTED_VALUE"""),1.88968890540065)</f>
        <v>1.889688905</v>
      </c>
    </row>
    <row r="1449">
      <c r="A1449" s="5">
        <f>IFERROR(__xludf.DUMMYFUNCTION("""COMPUTED_VALUE"""),44927.0)</f>
        <v>44927</v>
      </c>
      <c r="B1449" s="6" t="str">
        <f>IFERROR(__xludf.DUMMYFUNCTION("""COMPUTED_VALUE"""),"gpc_comunicaciones_pib")</f>
        <v>gpc_comunicaciones_pib</v>
      </c>
      <c r="C1449" s="6">
        <f>IFERROR(__xludf.DUMMYFUNCTION("""COMPUTED_VALUE"""),0.145212126990021)</f>
        <v>0.145212127</v>
      </c>
    </row>
    <row r="1450">
      <c r="A1450" s="5">
        <f>IFERROR(__xludf.DUMMYFUNCTION("""COMPUTED_VALUE"""),44927.0)</f>
        <v>44927</v>
      </c>
      <c r="B1450" s="6" t="str">
        <f>IFERROR(__xludf.DUMMYFUNCTION("""COMPUTED_VALUE"""),"gpc_otros_servicios_economicos_pib")</f>
        <v>gpc_otros_servicios_economicos_pib</v>
      </c>
      <c r="C1450" s="6">
        <f>IFERROR(__xludf.DUMMYFUNCTION("""COMPUTED_VALUE"""),0.315892453284517)</f>
        <v>0.3158924533</v>
      </c>
    </row>
    <row r="1451">
      <c r="A1451" s="5">
        <f>IFERROR(__xludf.DUMMYFUNCTION("""COMPUTED_VALUE"""),44927.0)</f>
        <v>44927</v>
      </c>
      <c r="B1451" s="6" t="str">
        <f>IFERROR(__xludf.DUMMYFUNCTION("""COMPUTED_VALUE"""),"gpc_servicios_deuda_publica_pib")</f>
        <v>gpc_servicios_deuda_publica_pib</v>
      </c>
      <c r="C1451" s="6">
        <f>IFERROR(__xludf.DUMMYFUNCTION("""COMPUTED_VALUE"""),2.17834192232627)</f>
        <v>2.178341922</v>
      </c>
    </row>
    <row r="1452">
      <c r="A1452" s="5">
        <f>IFERROR(__xludf.DUMMYFUNCTION("""COMPUTED_VALUE"""),44927.0)</f>
        <v>44927</v>
      </c>
      <c r="B1452" s="6"/>
      <c r="C1452" s="6"/>
    </row>
    <row r="1453">
      <c r="A1453" s="5">
        <f>IFERROR(__xludf.DUMMYFUNCTION("""COMPUTED_VALUE"""),44927.0)</f>
        <v>44927</v>
      </c>
      <c r="B1453" s="6"/>
      <c r="C1453" s="6"/>
    </row>
    <row r="1454">
      <c r="A1454" s="5" t="str">
        <f>IFERROR(__xludf.DUMMYFUNCTION("""COMPUTED_VALUE"""),"gpc_pib")</f>
        <v>gpc_pib</v>
      </c>
      <c r="B1454" s="6"/>
      <c r="C1454" s="6"/>
    </row>
    <row r="1455">
      <c r="A1455" s="5" t="str">
        <f>IFERROR(__xludf.DUMMYFUNCTION("""COMPUTED_VALUE"""),"gpc_funcionamiento_estado_pib")</f>
        <v>gpc_funcionamiento_estado_pib</v>
      </c>
      <c r="B1455" s="6"/>
      <c r="C1455" s="6"/>
    </row>
    <row r="1456">
      <c r="A1456" s="5" t="str">
        <f>IFERROR(__xludf.DUMMYFUNCTION("""COMPUTED_VALUE"""),"gpc_administracion_general_pib")</f>
        <v>gpc_administracion_general_pib</v>
      </c>
      <c r="B1456" s="6"/>
      <c r="C1456" s="6"/>
    </row>
    <row r="1457">
      <c r="A1457" s="5" t="str">
        <f>IFERROR(__xludf.DUMMYFUNCTION("""COMPUTED_VALUE"""),"gpc_justicia_pib")</f>
        <v>gpc_justicia_pib</v>
      </c>
      <c r="B1457" s="6"/>
      <c r="C1457" s="6"/>
    </row>
    <row r="1458">
      <c r="A1458" s="5" t="str">
        <f>IFERROR(__xludf.DUMMYFUNCTION("""COMPUTED_VALUE"""),"gpc_defensa_seguridad_pib")</f>
        <v>gpc_defensa_seguridad_pib</v>
      </c>
      <c r="B1458" s="6"/>
      <c r="C1458" s="6"/>
    </row>
    <row r="1459">
      <c r="A1459" s="5" t="str">
        <f>IFERROR(__xludf.DUMMYFUNCTION("""COMPUTED_VALUE"""),"gpc_servicios_sociales_pib")</f>
        <v>gpc_servicios_sociales_pib</v>
      </c>
      <c r="B1459" s="6"/>
      <c r="C1459" s="6"/>
    </row>
    <row r="1460">
      <c r="A1460" s="5" t="str">
        <f>IFERROR(__xludf.DUMMYFUNCTION("""COMPUTED_VALUE"""),"gpc_educacion_basica_pib")</f>
        <v>gpc_educacion_basica_pib</v>
      </c>
      <c r="B1460" s="6"/>
      <c r="C1460" s="6"/>
    </row>
    <row r="1461">
      <c r="A1461" s="5" t="str">
        <f>IFERROR(__xludf.DUMMYFUNCTION("""COMPUTED_VALUE"""),"gpc_educacion_universitaria_pib")</f>
        <v>gpc_educacion_universitaria_pib</v>
      </c>
      <c r="B1461" s="6"/>
      <c r="C1461" s="6"/>
    </row>
    <row r="1462">
      <c r="A1462" s="5" t="str">
        <f>IFERROR(__xludf.DUMMYFUNCTION("""COMPUTED_VALUE"""),"gpc_ciencia_tecnica_pib")</f>
        <v>gpc_ciencia_tecnica_pib</v>
      </c>
      <c r="B1462" s="6"/>
      <c r="C1462" s="6"/>
    </row>
    <row r="1463">
      <c r="A1463" s="5" t="str">
        <f>IFERROR(__xludf.DUMMYFUNCTION("""COMPUTED_VALUE"""),"gpc_cultura_pib")</f>
        <v>gpc_cultura_pib</v>
      </c>
      <c r="B1463" s="6"/>
      <c r="C1463" s="6"/>
    </row>
    <row r="1464">
      <c r="A1464" s="5" t="str">
        <f>IFERROR(__xludf.DUMMYFUNCTION("""COMPUTED_VALUE"""),"gpc_educacion_cultura_sin_discriminar_pib")</f>
        <v>gpc_educacion_cultura_sin_discriminar_pib</v>
      </c>
      <c r="B1464" s="6"/>
      <c r="C1464" s="6"/>
    </row>
    <row r="1465">
      <c r="A1465" s="5" t="str">
        <f>IFERROR(__xludf.DUMMYFUNCTION("""COMPUTED_VALUE"""),"gpc_atencion_salud_pib")</f>
        <v>gpc_atencion_salud_pib</v>
      </c>
      <c r="B1465" s="6"/>
      <c r="C1465" s="6"/>
    </row>
    <row r="1466">
      <c r="A1466" s="5" t="str">
        <f>IFERROR(__xludf.DUMMYFUNCTION("""COMPUTED_VALUE"""),"gpc_obras_sociales_salud_pib")</f>
        <v>gpc_obras_sociales_salud_pib</v>
      </c>
      <c r="B1466" s="6"/>
      <c r="C1466" s="6"/>
    </row>
    <row r="1467">
      <c r="A1467" s="5" t="str">
        <f>IFERROR(__xludf.DUMMYFUNCTION("""COMPUTED_VALUE"""),"gpc_inssjyp_salud_pib")</f>
        <v>gpc_inssjyp_salud_pib</v>
      </c>
      <c r="B1467" s="6"/>
      <c r="C1467" s="6"/>
    </row>
    <row r="1468">
      <c r="A1468" s="5" t="str">
        <f>IFERROR(__xludf.DUMMYFUNCTION("""COMPUTED_VALUE"""),"gpc_agua_alcantarillado_pib")</f>
        <v>gpc_agua_alcantarillado_pib</v>
      </c>
      <c r="B1468" s="6"/>
      <c r="C1468" s="6"/>
    </row>
    <row r="1469">
      <c r="A1469" s="5" t="str">
        <f>IFERROR(__xludf.DUMMYFUNCTION("""COMPUTED_VALUE"""),"gpc_vivienda_urbanismo_pib")</f>
        <v>gpc_vivienda_urbanismo_pib</v>
      </c>
      <c r="B1469" s="6"/>
      <c r="C1469" s="6"/>
    </row>
    <row r="1470">
      <c r="A1470" s="5" t="str">
        <f>IFERROR(__xludf.DUMMYFUNCTION("""COMPUTED_VALUE"""),"gpc_promocion_asistencia_social_pib")</f>
        <v>gpc_promocion_asistencia_social_pib</v>
      </c>
      <c r="B1470" s="6"/>
      <c r="C1470" s="6"/>
    </row>
    <row r="1471">
      <c r="A1471" s="5" t="str">
        <f>IFERROR(__xludf.DUMMYFUNCTION("""COMPUTED_VALUE"""),"gpc_obras_sociales_prestaciones_pib")</f>
        <v>gpc_obras_sociales_prestaciones_pib</v>
      </c>
      <c r="B1471" s="6"/>
      <c r="C1471" s="6"/>
    </row>
    <row r="1472">
      <c r="A1472" s="5" t="str">
        <f>IFERROR(__xludf.DUMMYFUNCTION("""COMPUTED_VALUE"""),"gpc_inssjyp_prestaciones_pib")</f>
        <v>gpc_inssjyp_prestaciones_pib</v>
      </c>
      <c r="B1472" s="6"/>
      <c r="C1472" s="6"/>
    </row>
    <row r="1473">
      <c r="A1473" s="5" t="str">
        <f>IFERROR(__xludf.DUMMYFUNCTION("""COMPUTED_VALUE"""),"gpc_prevision_social_pib")</f>
        <v>gpc_prevision_social_pib</v>
      </c>
      <c r="B1473" s="6"/>
      <c r="C1473" s="6"/>
    </row>
    <row r="1474">
      <c r="A1474" s="5" t="str">
        <f>IFERROR(__xludf.DUMMYFUNCTION("""COMPUTED_VALUE"""),"gpc_programas_empleo_pib")</f>
        <v>gpc_programas_empleo_pib</v>
      </c>
      <c r="B1474" s="6"/>
      <c r="C1474" s="6"/>
    </row>
    <row r="1475">
      <c r="A1475" s="5" t="str">
        <f>IFERROR(__xludf.DUMMYFUNCTION("""COMPUTED_VALUE"""),"gpc_asignaciones_familiares_pib")</f>
        <v>gpc_asignaciones_familiares_pib</v>
      </c>
      <c r="B1475" s="6"/>
      <c r="C1475" s="6"/>
    </row>
    <row r="1476">
      <c r="A1476" s="5" t="str">
        <f>IFERROR(__xludf.DUMMYFUNCTION("""COMPUTED_VALUE"""),"gpc_otros_servicios_urbanos_pib")</f>
        <v>gpc_otros_servicios_urbanos_pib</v>
      </c>
      <c r="B1476" s="6"/>
      <c r="C1476" s="6"/>
    </row>
    <row r="1477">
      <c r="A1477" s="5" t="str">
        <f>IFERROR(__xludf.DUMMYFUNCTION("""COMPUTED_VALUE"""),"gpc_servicios_economicos_pib")</f>
        <v>gpc_servicios_economicos_pib</v>
      </c>
      <c r="B1477" s="6"/>
      <c r="C1477" s="6"/>
    </row>
    <row r="1478">
      <c r="A1478" s="5" t="str">
        <f>IFERROR(__xludf.DUMMYFUNCTION("""COMPUTED_VALUE"""),"gpc_produccion_primaria_pib")</f>
        <v>gpc_produccion_primaria_pib</v>
      </c>
      <c r="B1478" s="6"/>
      <c r="C1478" s="6"/>
    </row>
    <row r="1479">
      <c r="A1479" s="5" t="str">
        <f>IFERROR(__xludf.DUMMYFUNCTION("""COMPUTED_VALUE"""),"gpc_energia_combustible_pib")</f>
        <v>gpc_energia_combustible_pib</v>
      </c>
      <c r="B1479" s="6"/>
      <c r="C1479" s="6"/>
    </row>
    <row r="1480">
      <c r="A1480" s="5" t="str">
        <f>IFERROR(__xludf.DUMMYFUNCTION("""COMPUTED_VALUE"""),"gpc_industria_pib")</f>
        <v>gpc_industria_pib</v>
      </c>
      <c r="B1480" s="6"/>
      <c r="C1480" s="6"/>
    </row>
    <row r="1481">
      <c r="A1481" s="5" t="str">
        <f>IFERROR(__xludf.DUMMYFUNCTION("""COMPUTED_VALUE"""),"gpc_transporte_pib")</f>
        <v>gpc_transporte_pib</v>
      </c>
      <c r="B1481" s="6"/>
      <c r="C1481" s="6"/>
    </row>
    <row r="1482">
      <c r="A1482" s="5" t="str">
        <f>IFERROR(__xludf.DUMMYFUNCTION("""COMPUTED_VALUE"""),"gpc_comunicaciones_pib")</f>
        <v>gpc_comunicaciones_pib</v>
      </c>
      <c r="B1482" s="6"/>
      <c r="C1482" s="6"/>
    </row>
    <row r="1483">
      <c r="A1483" s="5" t="str">
        <f>IFERROR(__xludf.DUMMYFUNCTION("""COMPUTED_VALUE"""),"gpc_otros_servicios_economicos_pib")</f>
        <v>gpc_otros_servicios_economicos_pib</v>
      </c>
      <c r="B1483" s="6"/>
      <c r="C1483" s="6"/>
    </row>
    <row r="1484">
      <c r="A1484" s="5" t="str">
        <f>IFERROR(__xludf.DUMMYFUNCTION("""COMPUTED_VALUE"""),"gpc_servicios_deuda_publica_pib")</f>
        <v>gpc_servicios_deuda_publica_pib</v>
      </c>
      <c r="B1484" s="6"/>
      <c r="C1484" s="6"/>
    </row>
    <row r="1485">
      <c r="A1485" s="5" t="str">
        <f>IFERROR(__xludf.DUMMYFUNCTION("""COMPUTED_VALUE"""),"||")</f>
        <v>||</v>
      </c>
      <c r="B1485" s="6"/>
      <c r="C1485" s="6"/>
    </row>
    <row r="1486">
      <c r="A1486" s="5" t="str">
        <f>IFERROR(__xludf.DUMMYFUNCTION("""COMPUTED_VALUE"""),"||")</f>
        <v>||</v>
      </c>
      <c r="B1486" s="6"/>
      <c r="C1486" s="6"/>
    </row>
    <row r="1487">
      <c r="A1487" s="5" t="str">
        <f>IFERROR(__xludf.DUMMYFUNCTION("""COMPUTED_VALUE"""),"gpc_pib")</f>
        <v>gpc_pib</v>
      </c>
      <c r="B1487" s="6"/>
      <c r="C1487" s="6"/>
    </row>
    <row r="1488">
      <c r="A1488" s="5" t="str">
        <f>IFERROR(__xludf.DUMMYFUNCTION("""COMPUTED_VALUE"""),"gpc_funcionamiento_estado_pib")</f>
        <v>gpc_funcionamiento_estado_pib</v>
      </c>
      <c r="B1488" s="6"/>
      <c r="C1488" s="6"/>
    </row>
    <row r="1489">
      <c r="A1489" s="5" t="str">
        <f>IFERROR(__xludf.DUMMYFUNCTION("""COMPUTED_VALUE"""),"gpc_administracion_general_pib")</f>
        <v>gpc_administracion_general_pib</v>
      </c>
      <c r="B1489" s="6"/>
      <c r="C1489" s="6"/>
    </row>
    <row r="1490">
      <c r="A1490" s="5" t="str">
        <f>IFERROR(__xludf.DUMMYFUNCTION("""COMPUTED_VALUE"""),"gpc_justicia_pib")</f>
        <v>gpc_justicia_pib</v>
      </c>
      <c r="B1490" s="6"/>
      <c r="C1490" s="6"/>
    </row>
    <row r="1491">
      <c r="A1491" s="5" t="str">
        <f>IFERROR(__xludf.DUMMYFUNCTION("""COMPUTED_VALUE"""),"gpc_defensa_seguridad_pib")</f>
        <v>gpc_defensa_seguridad_pib</v>
      </c>
      <c r="B1491" s="6"/>
      <c r="C1491" s="6"/>
    </row>
    <row r="1492">
      <c r="A1492" s="5" t="str">
        <f>IFERROR(__xludf.DUMMYFUNCTION("""COMPUTED_VALUE"""),"gpc_servicios_sociales_pib")</f>
        <v>gpc_servicios_sociales_pib</v>
      </c>
      <c r="B1492" s="6"/>
      <c r="C1492" s="6"/>
    </row>
    <row r="1493">
      <c r="A1493" s="5" t="str">
        <f>IFERROR(__xludf.DUMMYFUNCTION("""COMPUTED_VALUE"""),"gpc_educacion_basica_pib")</f>
        <v>gpc_educacion_basica_pib</v>
      </c>
      <c r="B1493" s="6"/>
      <c r="C1493" s="6"/>
    </row>
    <row r="1494">
      <c r="A1494" s="5" t="str">
        <f>IFERROR(__xludf.DUMMYFUNCTION("""COMPUTED_VALUE"""),"gpc_educacion_universitaria_pib")</f>
        <v>gpc_educacion_universitaria_pib</v>
      </c>
      <c r="B1494" s="6"/>
      <c r="C1494" s="6"/>
    </row>
    <row r="1495">
      <c r="A1495" s="5" t="str">
        <f>IFERROR(__xludf.DUMMYFUNCTION("""COMPUTED_VALUE"""),"gpc_ciencia_tecnica_pib")</f>
        <v>gpc_ciencia_tecnica_pib</v>
      </c>
      <c r="B1495" s="6"/>
      <c r="C1495" s="6"/>
    </row>
    <row r="1496">
      <c r="A1496" s="5" t="str">
        <f>IFERROR(__xludf.DUMMYFUNCTION("""COMPUTED_VALUE"""),"gpc_cultura_pib")</f>
        <v>gpc_cultura_pib</v>
      </c>
      <c r="B1496" s="6"/>
      <c r="C1496" s="6"/>
    </row>
    <row r="1497">
      <c r="A1497" s="5" t="str">
        <f>IFERROR(__xludf.DUMMYFUNCTION("""COMPUTED_VALUE"""),"gpc_educacion_cultura_sin_discriminar_pib")</f>
        <v>gpc_educacion_cultura_sin_discriminar_pib</v>
      </c>
      <c r="B1497" s="6"/>
      <c r="C1497" s="6"/>
    </row>
    <row r="1498">
      <c r="A1498" s="5" t="str">
        <f>IFERROR(__xludf.DUMMYFUNCTION("""COMPUTED_VALUE"""),"gpc_atencion_salud_pib")</f>
        <v>gpc_atencion_salud_pib</v>
      </c>
      <c r="B1498" s="6"/>
      <c r="C1498" s="6"/>
    </row>
    <row r="1499">
      <c r="A1499" s="5" t="str">
        <f>IFERROR(__xludf.DUMMYFUNCTION("""COMPUTED_VALUE"""),"gpc_obras_sociales_salud_pib")</f>
        <v>gpc_obras_sociales_salud_pib</v>
      </c>
      <c r="B1499" s="6"/>
      <c r="C1499" s="6"/>
    </row>
    <row r="1500">
      <c r="A1500" s="5" t="str">
        <f>IFERROR(__xludf.DUMMYFUNCTION("""COMPUTED_VALUE"""),"gpc_inssjyp_salud_pib")</f>
        <v>gpc_inssjyp_salud_pib</v>
      </c>
      <c r="B1500" s="6"/>
      <c r="C1500" s="6"/>
    </row>
    <row r="1501">
      <c r="A1501" s="5" t="str">
        <f>IFERROR(__xludf.DUMMYFUNCTION("""COMPUTED_VALUE"""),"gpc_agua_alcantarillado_pib")</f>
        <v>gpc_agua_alcantarillado_pib</v>
      </c>
      <c r="B1501" s="6"/>
      <c r="C1501" s="6"/>
    </row>
    <row r="1502">
      <c r="A1502" s="5" t="str">
        <f>IFERROR(__xludf.DUMMYFUNCTION("""COMPUTED_VALUE"""),"gpc_vivienda_urbanismo_pib")</f>
        <v>gpc_vivienda_urbanismo_pib</v>
      </c>
      <c r="B1502" s="6"/>
      <c r="C1502" s="6"/>
    </row>
    <row r="1503">
      <c r="A1503" s="5" t="str">
        <f>IFERROR(__xludf.DUMMYFUNCTION("""COMPUTED_VALUE"""),"gpc_promocion_asistencia_social_pib")</f>
        <v>gpc_promocion_asistencia_social_pib</v>
      </c>
      <c r="B1503" s="6"/>
      <c r="C1503" s="6"/>
    </row>
    <row r="1504">
      <c r="A1504" s="5" t="str">
        <f>IFERROR(__xludf.DUMMYFUNCTION("""COMPUTED_VALUE"""),"gpc_obras_sociales_prestaciones_pib")</f>
        <v>gpc_obras_sociales_prestaciones_pib</v>
      </c>
      <c r="B1504" s="6"/>
      <c r="C1504" s="6"/>
    </row>
    <row r="1505">
      <c r="A1505" s="5" t="str">
        <f>IFERROR(__xludf.DUMMYFUNCTION("""COMPUTED_VALUE"""),"gpc_inssjyp_prestaciones_pib")</f>
        <v>gpc_inssjyp_prestaciones_pib</v>
      </c>
      <c r="B1505" s="6"/>
      <c r="C1505" s="6"/>
    </row>
    <row r="1506">
      <c r="A1506" s="5" t="str">
        <f>IFERROR(__xludf.DUMMYFUNCTION("""COMPUTED_VALUE"""),"gpc_prevision_social_pib")</f>
        <v>gpc_prevision_social_pib</v>
      </c>
      <c r="B1506" s="6"/>
      <c r="C1506" s="6"/>
    </row>
    <row r="1507">
      <c r="A1507" s="5" t="str">
        <f>IFERROR(__xludf.DUMMYFUNCTION("""COMPUTED_VALUE"""),"gpc_programas_empleo_pib")</f>
        <v>gpc_programas_empleo_pib</v>
      </c>
      <c r="B1507" s="6"/>
      <c r="C1507" s="6"/>
    </row>
    <row r="1508">
      <c r="A1508" s="5" t="str">
        <f>IFERROR(__xludf.DUMMYFUNCTION("""COMPUTED_VALUE"""),"gpc_asignaciones_familiares_pib")</f>
        <v>gpc_asignaciones_familiares_pib</v>
      </c>
      <c r="B1508" s="6"/>
      <c r="C1508" s="6"/>
    </row>
    <row r="1509">
      <c r="A1509" s="5" t="str">
        <f>IFERROR(__xludf.DUMMYFUNCTION("""COMPUTED_VALUE"""),"gpc_otros_servicios_urbanos_pib")</f>
        <v>gpc_otros_servicios_urbanos_pib</v>
      </c>
      <c r="B1509" s="6"/>
      <c r="C1509" s="6"/>
    </row>
    <row r="1510">
      <c r="A1510" s="5" t="str">
        <f>IFERROR(__xludf.DUMMYFUNCTION("""COMPUTED_VALUE"""),"gpc_servicios_economicos_pib")</f>
        <v>gpc_servicios_economicos_pib</v>
      </c>
      <c r="B1510" s="6"/>
      <c r="C1510" s="6"/>
    </row>
    <row r="1511">
      <c r="A1511" s="5" t="str">
        <f>IFERROR(__xludf.DUMMYFUNCTION("""COMPUTED_VALUE"""),"gpc_produccion_primaria_pib")</f>
        <v>gpc_produccion_primaria_pib</v>
      </c>
      <c r="B1511" s="6"/>
      <c r="C1511" s="6"/>
    </row>
    <row r="1512">
      <c r="A1512" s="5" t="str">
        <f>IFERROR(__xludf.DUMMYFUNCTION("""COMPUTED_VALUE"""),"gpc_energia_combustible_pib")</f>
        <v>gpc_energia_combustible_pib</v>
      </c>
      <c r="B1512" s="6"/>
      <c r="C1512" s="6"/>
    </row>
    <row r="1513">
      <c r="A1513" s="5" t="str">
        <f>IFERROR(__xludf.DUMMYFUNCTION("""COMPUTED_VALUE"""),"gpc_industria_pib")</f>
        <v>gpc_industria_pib</v>
      </c>
      <c r="B1513" s="6"/>
      <c r="C1513" s="6"/>
    </row>
    <row r="1514">
      <c r="A1514" s="5" t="str">
        <f>IFERROR(__xludf.DUMMYFUNCTION("""COMPUTED_VALUE"""),"gpc_transporte_pib")</f>
        <v>gpc_transporte_pib</v>
      </c>
      <c r="B1514" s="6"/>
      <c r="C1514" s="6"/>
    </row>
    <row r="1515">
      <c r="A1515" s="5" t="str">
        <f>IFERROR(__xludf.DUMMYFUNCTION("""COMPUTED_VALUE"""),"gpc_comunicaciones_pib")</f>
        <v>gpc_comunicaciones_pib</v>
      </c>
      <c r="B1515" s="6"/>
      <c r="C1515" s="6"/>
    </row>
    <row r="1516">
      <c r="A1516" s="5" t="str">
        <f>IFERROR(__xludf.DUMMYFUNCTION("""COMPUTED_VALUE"""),"gpc_otros_servicios_economicos_pib")</f>
        <v>gpc_otros_servicios_economicos_pib</v>
      </c>
      <c r="B1516" s="6"/>
      <c r="C1516" s="6"/>
    </row>
    <row r="1517">
      <c r="A1517" s="5" t="str">
        <f>IFERROR(__xludf.DUMMYFUNCTION("""COMPUTED_VALUE"""),"gpc_servicios_deuda_publica_pib")</f>
        <v>gpc_servicios_deuda_publica_pib</v>
      </c>
      <c r="B1517" s="6"/>
      <c r="C1517" s="6"/>
    </row>
    <row r="1518">
      <c r="A1518" s="5" t="str">
        <f>IFERROR(__xludf.DUMMYFUNCTION("""COMPUTED_VALUE"""),"||")</f>
        <v>||</v>
      </c>
      <c r="B1518" s="6"/>
      <c r="C1518" s="6"/>
    </row>
    <row r="1519">
      <c r="A1519" s="5" t="str">
        <f>IFERROR(__xludf.DUMMYFUNCTION("""COMPUTED_VALUE"""),"||")</f>
        <v>||</v>
      </c>
      <c r="B1519" s="6"/>
      <c r="C1519" s="6"/>
    </row>
    <row r="1520">
      <c r="A1520" s="5"/>
      <c r="B1520" s="6"/>
      <c r="C1520" s="6"/>
    </row>
    <row r="1521">
      <c r="A1521" s="5"/>
      <c r="B1521" s="6"/>
      <c r="C1521" s="6"/>
    </row>
    <row r="1522">
      <c r="A1522" s="5"/>
      <c r="B1522" s="6"/>
      <c r="C1522" s="6"/>
    </row>
    <row r="1523">
      <c r="A1523" s="5"/>
      <c r="B1523" s="6"/>
      <c r="C1523" s="6"/>
    </row>
    <row r="1524">
      <c r="A1524" s="5"/>
      <c r="B1524" s="6"/>
      <c r="C1524" s="6"/>
    </row>
    <row r="1525">
      <c r="A1525" s="5"/>
      <c r="B1525" s="6"/>
      <c r="C1525" s="6"/>
    </row>
    <row r="1526">
      <c r="A1526" s="5"/>
      <c r="B1526" s="6"/>
      <c r="C1526" s="6"/>
    </row>
    <row r="1527">
      <c r="A1527" s="5"/>
      <c r="B1527" s="6"/>
      <c r="C1527" s="6"/>
    </row>
    <row r="1528">
      <c r="A1528" s="5"/>
      <c r="B1528" s="6"/>
      <c r="C1528" s="6"/>
    </row>
    <row r="1529">
      <c r="A1529" s="5"/>
      <c r="B1529" s="6"/>
      <c r="C1529" s="6"/>
    </row>
    <row r="1530">
      <c r="A1530" s="5"/>
      <c r="B1530" s="6"/>
      <c r="C1530" s="6"/>
    </row>
    <row r="1531">
      <c r="A1531" s="5"/>
      <c r="B1531" s="6"/>
      <c r="C1531" s="6"/>
    </row>
    <row r="1532">
      <c r="A1532" s="5"/>
      <c r="B1532" s="6"/>
      <c r="C1532" s="6"/>
    </row>
    <row r="1533">
      <c r="A1533" s="5"/>
      <c r="B1533" s="6"/>
      <c r="C1533" s="6"/>
    </row>
    <row r="1534">
      <c r="A1534" s="5"/>
      <c r="B1534" s="6"/>
      <c r="C1534" s="6"/>
    </row>
    <row r="1535">
      <c r="A1535" s="5"/>
      <c r="B1535" s="6"/>
      <c r="C1535" s="6"/>
    </row>
    <row r="1536">
      <c r="A1536" s="5"/>
      <c r="B1536" s="6"/>
      <c r="C1536" s="6"/>
    </row>
    <row r="1537">
      <c r="A1537" s="5"/>
      <c r="B1537" s="6"/>
      <c r="C1537" s="6"/>
    </row>
    <row r="1538">
      <c r="A1538" s="5"/>
      <c r="B1538" s="6"/>
      <c r="C1538" s="6"/>
    </row>
    <row r="1539">
      <c r="A1539" s="5"/>
      <c r="B1539" s="6"/>
      <c r="C1539" s="6"/>
    </row>
    <row r="1540">
      <c r="A1540" s="5"/>
      <c r="B1540" s="6"/>
      <c r="C1540" s="6"/>
    </row>
    <row r="1541">
      <c r="A1541" s="5"/>
      <c r="B1541" s="6"/>
      <c r="C1541" s="6"/>
    </row>
    <row r="1542">
      <c r="A1542" s="5"/>
      <c r="B1542" s="6"/>
      <c r="C1542" s="6"/>
    </row>
    <row r="1543">
      <c r="A1543" s="5"/>
      <c r="B1543" s="6"/>
      <c r="C1543" s="6"/>
    </row>
    <row r="1544">
      <c r="A1544" s="5"/>
      <c r="B1544" s="6"/>
      <c r="C1544" s="6"/>
    </row>
    <row r="1545">
      <c r="A1545" s="5"/>
      <c r="B1545" s="6"/>
      <c r="C1545" s="6"/>
    </row>
    <row r="1546">
      <c r="A1546" s="5"/>
      <c r="B1546" s="6"/>
      <c r="C1546" s="6"/>
    </row>
    <row r="1547">
      <c r="A1547" s="5"/>
      <c r="B1547" s="6"/>
      <c r="C1547" s="6"/>
    </row>
    <row r="1548">
      <c r="A1548" s="5"/>
      <c r="B1548" s="6"/>
      <c r="C1548" s="6"/>
    </row>
    <row r="1549">
      <c r="A1549" s="5"/>
      <c r="B1549" s="6"/>
      <c r="C1549" s="6"/>
    </row>
    <row r="1550">
      <c r="A1550" s="5"/>
      <c r="B1550" s="6"/>
      <c r="C1550" s="6"/>
    </row>
    <row r="1551">
      <c r="A1551" s="5"/>
      <c r="B1551" s="6"/>
      <c r="C1551" s="6"/>
    </row>
    <row r="1552">
      <c r="A1552" s="5"/>
      <c r="B1552" s="6"/>
      <c r="C1552" s="6"/>
    </row>
    <row r="1553">
      <c r="A1553" s="5"/>
      <c r="B1553" s="6"/>
      <c r="C1553" s="6"/>
    </row>
    <row r="1554">
      <c r="A1554" s="5"/>
      <c r="B1554" s="6"/>
      <c r="C1554" s="6"/>
    </row>
    <row r="1555">
      <c r="A1555" s="5"/>
      <c r="B1555" s="6"/>
      <c r="C1555" s="6"/>
    </row>
    <row r="1556">
      <c r="A1556" s="5"/>
      <c r="B1556" s="6"/>
      <c r="C1556" s="6"/>
    </row>
    <row r="1557">
      <c r="A1557" s="5"/>
      <c r="B1557" s="6"/>
      <c r="C1557" s="6"/>
    </row>
    <row r="1558">
      <c r="A1558" s="5"/>
      <c r="B1558" s="6"/>
      <c r="C1558" s="6"/>
    </row>
    <row r="1559">
      <c r="A1559" s="5"/>
      <c r="B1559" s="6"/>
      <c r="C1559" s="6"/>
    </row>
    <row r="1560">
      <c r="A1560" s="5"/>
      <c r="B1560" s="6"/>
      <c r="C1560" s="6"/>
    </row>
    <row r="1561">
      <c r="A1561" s="5"/>
      <c r="B1561" s="6"/>
      <c r="C1561" s="6"/>
    </row>
    <row r="1562">
      <c r="A1562" s="5"/>
      <c r="B1562" s="6"/>
      <c r="C1562" s="6"/>
    </row>
    <row r="1563">
      <c r="A1563" s="5"/>
      <c r="B1563" s="6"/>
      <c r="C1563" s="6"/>
    </row>
    <row r="1564">
      <c r="A1564" s="5"/>
      <c r="B1564" s="6"/>
      <c r="C1564" s="6"/>
    </row>
    <row r="1565">
      <c r="A1565" s="5"/>
      <c r="B1565" s="6"/>
      <c r="C1565" s="6"/>
    </row>
    <row r="1566">
      <c r="A1566" s="5"/>
      <c r="B1566" s="6"/>
      <c r="C1566" s="6"/>
    </row>
    <row r="1567">
      <c r="A1567" s="5"/>
      <c r="B1567" s="6"/>
      <c r="C1567" s="6"/>
    </row>
    <row r="1568">
      <c r="A1568" s="5"/>
      <c r="B1568" s="6"/>
      <c r="C1568" s="6"/>
    </row>
    <row r="1569">
      <c r="A1569" s="5"/>
      <c r="B1569" s="6"/>
      <c r="C1569" s="6"/>
    </row>
    <row r="1570">
      <c r="A1570" s="5"/>
      <c r="B1570" s="6"/>
      <c r="C1570" s="6"/>
    </row>
    <row r="1571">
      <c r="A1571" s="5"/>
      <c r="B1571" s="6"/>
      <c r="C1571" s="6"/>
    </row>
    <row r="1572">
      <c r="A1572" s="5"/>
      <c r="B1572" s="6"/>
      <c r="C1572" s="6"/>
    </row>
    <row r="1573">
      <c r="A1573" s="5"/>
      <c r="B1573" s="6"/>
      <c r="C1573" s="6"/>
    </row>
    <row r="1574">
      <c r="A1574" s="5"/>
      <c r="B1574" s="6"/>
      <c r="C1574" s="6"/>
    </row>
    <row r="1575">
      <c r="A1575" s="5"/>
      <c r="B1575" s="6"/>
      <c r="C1575" s="6"/>
    </row>
    <row r="1576">
      <c r="A1576" s="5"/>
      <c r="B1576" s="6"/>
      <c r="C1576" s="6"/>
    </row>
    <row r="1577">
      <c r="A1577" s="5"/>
      <c r="B1577" s="6"/>
      <c r="C1577" s="6"/>
    </row>
    <row r="1578">
      <c r="A1578" s="5"/>
      <c r="B1578" s="6"/>
      <c r="C1578" s="6"/>
    </row>
    <row r="1579">
      <c r="A1579" s="5"/>
      <c r="B1579" s="6"/>
      <c r="C1579" s="6"/>
    </row>
    <row r="1580">
      <c r="A1580" s="5"/>
      <c r="B1580" s="6"/>
      <c r="C1580" s="6"/>
    </row>
    <row r="1581">
      <c r="A1581" s="5"/>
      <c r="B1581" s="6"/>
      <c r="C1581" s="6"/>
    </row>
    <row r="1582">
      <c r="A1582" s="5"/>
      <c r="B1582" s="6"/>
      <c r="C1582" s="6"/>
    </row>
    <row r="1583">
      <c r="A1583" s="5"/>
      <c r="B1583" s="6"/>
      <c r="C1583" s="6"/>
    </row>
    <row r="1584">
      <c r="A1584" s="5"/>
      <c r="B1584" s="6"/>
      <c r="C1584" s="6"/>
    </row>
    <row r="1585">
      <c r="A1585" s="5"/>
      <c r="B1585" s="6"/>
      <c r="C1585" s="6"/>
    </row>
    <row r="1586">
      <c r="A1586" s="5"/>
      <c r="B1586" s="6"/>
      <c r="C1586" s="6"/>
    </row>
    <row r="1587">
      <c r="A1587" s="5"/>
      <c r="B1587" s="6"/>
      <c r="C1587" s="6"/>
    </row>
    <row r="1588">
      <c r="A1588" s="5"/>
      <c r="B1588" s="6"/>
      <c r="C1588" s="6"/>
    </row>
    <row r="1589">
      <c r="A1589" s="5"/>
      <c r="B1589" s="6"/>
      <c r="C1589" s="6"/>
    </row>
    <row r="1590">
      <c r="A1590" s="5"/>
      <c r="B1590" s="6"/>
      <c r="C1590" s="6"/>
    </row>
    <row r="1591">
      <c r="A1591" s="5"/>
      <c r="B1591" s="6"/>
      <c r="C1591" s="6"/>
    </row>
    <row r="1592">
      <c r="A1592" s="5"/>
      <c r="B1592" s="6"/>
      <c r="C1592" s="6"/>
    </row>
    <row r="1593">
      <c r="A1593" s="5"/>
      <c r="B1593" s="6"/>
      <c r="C1593" s="6"/>
    </row>
    <row r="1594">
      <c r="A1594" s="5"/>
      <c r="B1594" s="6"/>
      <c r="C1594" s="6"/>
    </row>
    <row r="1595">
      <c r="A1595" s="5"/>
      <c r="B1595" s="6"/>
      <c r="C1595" s="6"/>
    </row>
    <row r="1596">
      <c r="A1596" s="5"/>
      <c r="B1596" s="6"/>
      <c r="C1596" s="6"/>
    </row>
    <row r="1597">
      <c r="A1597" s="5"/>
      <c r="B1597" s="6"/>
      <c r="C1597" s="6"/>
    </row>
    <row r="1598">
      <c r="A1598" s="5"/>
      <c r="B1598" s="6"/>
      <c r="C1598" s="6"/>
    </row>
    <row r="1599">
      <c r="A1599" s="5"/>
      <c r="B1599" s="6"/>
      <c r="C1599" s="6"/>
    </row>
    <row r="1600">
      <c r="A1600" s="5"/>
      <c r="B1600" s="6"/>
      <c r="C1600" s="6"/>
    </row>
    <row r="1601">
      <c r="A1601" s="5"/>
      <c r="B1601" s="6"/>
      <c r="C1601" s="6"/>
    </row>
    <row r="1602">
      <c r="A1602" s="5"/>
      <c r="B1602" s="6"/>
      <c r="C1602" s="6"/>
    </row>
    <row r="1603">
      <c r="A1603" s="5"/>
      <c r="B1603" s="6"/>
      <c r="C1603" s="6"/>
    </row>
    <row r="1604">
      <c r="A1604" s="5"/>
      <c r="B1604" s="6"/>
      <c r="C1604" s="6"/>
    </row>
    <row r="1605">
      <c r="A1605" s="5"/>
      <c r="B1605" s="6"/>
      <c r="C1605" s="6"/>
    </row>
    <row r="1606">
      <c r="A1606" s="5"/>
      <c r="B1606" s="6"/>
      <c r="C1606" s="6"/>
    </row>
    <row r="1607">
      <c r="A1607" s="5"/>
      <c r="B1607" s="6"/>
      <c r="C1607" s="6"/>
    </row>
    <row r="1608">
      <c r="A1608" s="5"/>
      <c r="B1608" s="6"/>
      <c r="C1608" s="6"/>
    </row>
    <row r="1609">
      <c r="A1609" s="5"/>
      <c r="B1609" s="6"/>
      <c r="C1609" s="6"/>
    </row>
    <row r="1610">
      <c r="A1610" s="5"/>
      <c r="B1610" s="6"/>
      <c r="C1610" s="6"/>
    </row>
    <row r="1611">
      <c r="A1611" s="5"/>
      <c r="B1611" s="6"/>
      <c r="C1611" s="6"/>
    </row>
    <row r="1612">
      <c r="A1612" s="5"/>
      <c r="B1612" s="6"/>
      <c r="C1612" s="6"/>
    </row>
    <row r="1613">
      <c r="A1613" s="5"/>
      <c r="B1613" s="6"/>
      <c r="C1613" s="6"/>
    </row>
    <row r="1614">
      <c r="A1614" s="5"/>
      <c r="B1614" s="6"/>
      <c r="C1614" s="6"/>
    </row>
    <row r="1615">
      <c r="A1615" s="5"/>
      <c r="B1615" s="6"/>
      <c r="C1615" s="6"/>
    </row>
    <row r="1616">
      <c r="A1616" s="5"/>
      <c r="B1616" s="6"/>
      <c r="C1616" s="6"/>
    </row>
    <row r="1617">
      <c r="A1617" s="5"/>
      <c r="B1617" s="6"/>
      <c r="C1617" s="6"/>
    </row>
    <row r="1618">
      <c r="A1618" s="5"/>
      <c r="B1618" s="6"/>
      <c r="C1618" s="6"/>
    </row>
    <row r="1619">
      <c r="A1619" s="5"/>
      <c r="B1619" s="6"/>
      <c r="C1619" s="6"/>
    </row>
    <row r="1620">
      <c r="A1620" s="5"/>
      <c r="B1620" s="6"/>
      <c r="C1620" s="6"/>
    </row>
    <row r="1621">
      <c r="A1621" s="5"/>
      <c r="B1621" s="6"/>
      <c r="C1621" s="6"/>
    </row>
    <row r="1622">
      <c r="A1622" s="5"/>
      <c r="B1622" s="6"/>
      <c r="C1622" s="6"/>
    </row>
    <row r="1623">
      <c r="A1623" s="5"/>
      <c r="B1623" s="6"/>
      <c r="C1623" s="6"/>
    </row>
    <row r="1624">
      <c r="A1624" s="5"/>
      <c r="B1624" s="6"/>
      <c r="C1624" s="6"/>
    </row>
    <row r="1625">
      <c r="A1625" s="5"/>
      <c r="B1625" s="6"/>
      <c r="C1625" s="6"/>
    </row>
    <row r="1626">
      <c r="A1626" s="5"/>
      <c r="B1626" s="6"/>
      <c r="C1626" s="6"/>
    </row>
    <row r="1627">
      <c r="A1627" s="5"/>
      <c r="B1627" s="6"/>
      <c r="C1627" s="6"/>
    </row>
    <row r="1628">
      <c r="A1628" s="5"/>
      <c r="B1628" s="6"/>
      <c r="C1628" s="6"/>
    </row>
    <row r="1629">
      <c r="A1629" s="5"/>
      <c r="B1629" s="6"/>
      <c r="C1629" s="6"/>
    </row>
    <row r="1630">
      <c r="A1630" s="5"/>
      <c r="B1630" s="6"/>
      <c r="C1630" s="6"/>
    </row>
    <row r="1631">
      <c r="A1631" s="5"/>
      <c r="B1631" s="6"/>
      <c r="C1631" s="6"/>
    </row>
    <row r="1632">
      <c r="A1632" s="5"/>
      <c r="B1632" s="6"/>
      <c r="C1632" s="6"/>
    </row>
    <row r="1633">
      <c r="A1633" s="5"/>
      <c r="B1633" s="6"/>
      <c r="C1633" s="6"/>
    </row>
    <row r="1634">
      <c r="A1634" s="5"/>
      <c r="B1634" s="6"/>
      <c r="C1634" s="6"/>
    </row>
    <row r="1635">
      <c r="A1635" s="5"/>
      <c r="B1635" s="6"/>
      <c r="C1635" s="6"/>
    </row>
    <row r="1636">
      <c r="A1636" s="5"/>
      <c r="B1636" s="6"/>
      <c r="C1636" s="6"/>
    </row>
    <row r="1637">
      <c r="A1637" s="5"/>
      <c r="B1637" s="6"/>
      <c r="C1637" s="6"/>
    </row>
    <row r="1638">
      <c r="A1638" s="5"/>
      <c r="B1638" s="6"/>
      <c r="C1638" s="6"/>
    </row>
    <row r="1639">
      <c r="A1639" s="5"/>
      <c r="B1639" s="6"/>
      <c r="C1639" s="6"/>
    </row>
    <row r="1640">
      <c r="A1640" s="5"/>
      <c r="B1640" s="6"/>
      <c r="C1640" s="6"/>
    </row>
    <row r="1641">
      <c r="A1641" s="5"/>
      <c r="B1641" s="6"/>
      <c r="C1641" s="6"/>
    </row>
    <row r="1642">
      <c r="A1642" s="5"/>
      <c r="B1642" s="6"/>
      <c r="C1642" s="6"/>
    </row>
    <row r="1643">
      <c r="A1643" s="5"/>
      <c r="B1643" s="6"/>
      <c r="C1643" s="6"/>
    </row>
    <row r="1644">
      <c r="A1644" s="5"/>
      <c r="B1644" s="6"/>
      <c r="C1644" s="6"/>
    </row>
    <row r="1645">
      <c r="A1645" s="5"/>
      <c r="B1645" s="6"/>
      <c r="C1645" s="6"/>
    </row>
    <row r="1646">
      <c r="A1646" s="5"/>
      <c r="B1646" s="6"/>
      <c r="C1646" s="6"/>
    </row>
    <row r="1647">
      <c r="A1647" s="5"/>
      <c r="B1647" s="6"/>
      <c r="C1647" s="6"/>
    </row>
    <row r="1648">
      <c r="A1648" s="5"/>
      <c r="B1648" s="6"/>
      <c r="C1648" s="6"/>
    </row>
    <row r="1649">
      <c r="A1649" s="5"/>
      <c r="B1649" s="6"/>
      <c r="C1649" s="6"/>
    </row>
    <row r="1650">
      <c r="A1650" s="5"/>
      <c r="B1650" s="6"/>
      <c r="C1650" s="6"/>
    </row>
    <row r="1651">
      <c r="A1651" s="5"/>
      <c r="B1651" s="6"/>
      <c r="C1651" s="6"/>
    </row>
    <row r="1652">
      <c r="A1652" s="5"/>
      <c r="B1652" s="6"/>
      <c r="C1652" s="6"/>
    </row>
    <row r="1653">
      <c r="A1653" s="5"/>
      <c r="B1653" s="6"/>
      <c r="C1653" s="6"/>
    </row>
    <row r="1654">
      <c r="A1654" s="5"/>
      <c r="B1654" s="6"/>
      <c r="C1654" s="6"/>
    </row>
    <row r="1655">
      <c r="A1655" s="5"/>
      <c r="B1655" s="6"/>
      <c r="C1655" s="6"/>
    </row>
    <row r="1656">
      <c r="A1656" s="5"/>
      <c r="B1656" s="6"/>
      <c r="C1656" s="6"/>
    </row>
    <row r="1657">
      <c r="A1657" s="5"/>
      <c r="B1657" s="6"/>
      <c r="C1657" s="6"/>
    </row>
    <row r="1658">
      <c r="A1658" s="5"/>
      <c r="B1658" s="6"/>
      <c r="C1658" s="6"/>
    </row>
    <row r="1659">
      <c r="A1659" s="5"/>
      <c r="B1659" s="6"/>
      <c r="C1659" s="6"/>
    </row>
    <row r="1660">
      <c r="A1660" s="5"/>
      <c r="B1660" s="6"/>
      <c r="C1660" s="6"/>
    </row>
    <row r="1661">
      <c r="A1661" s="5"/>
      <c r="B1661" s="6"/>
      <c r="C1661" s="6"/>
    </row>
    <row r="1662">
      <c r="A1662" s="5"/>
      <c r="B1662" s="6"/>
      <c r="C1662" s="6"/>
    </row>
    <row r="1663">
      <c r="A1663" s="5"/>
      <c r="B1663" s="6"/>
      <c r="C1663" s="6"/>
    </row>
    <row r="1664">
      <c r="A1664" s="5"/>
      <c r="B1664" s="6"/>
      <c r="C1664" s="6"/>
    </row>
    <row r="1665">
      <c r="A1665" s="5"/>
      <c r="B1665" s="6"/>
      <c r="C1665" s="6"/>
    </row>
    <row r="1666">
      <c r="A1666" s="5"/>
      <c r="B1666" s="6"/>
      <c r="C1666" s="6"/>
    </row>
    <row r="1667">
      <c r="A1667" s="5"/>
      <c r="B1667" s="6"/>
      <c r="C1667" s="6"/>
    </row>
    <row r="1668">
      <c r="A1668" s="5"/>
      <c r="B1668" s="6"/>
      <c r="C1668" s="6"/>
    </row>
    <row r="1669">
      <c r="A1669" s="5"/>
      <c r="B1669" s="6"/>
      <c r="C1669" s="6"/>
    </row>
    <row r="1670">
      <c r="A1670" s="5"/>
      <c r="B1670" s="6"/>
      <c r="C1670" s="6"/>
    </row>
    <row r="1671">
      <c r="A1671" s="5"/>
      <c r="B1671" s="6"/>
      <c r="C1671" s="6"/>
    </row>
    <row r="1672">
      <c r="A1672" s="5"/>
      <c r="B1672" s="6"/>
      <c r="C1672" s="6"/>
    </row>
    <row r="1673">
      <c r="A1673" s="5"/>
      <c r="B1673" s="6"/>
      <c r="C1673" s="6"/>
    </row>
    <row r="1674">
      <c r="A1674" s="5"/>
      <c r="B1674" s="6"/>
      <c r="C1674" s="6"/>
    </row>
    <row r="1675">
      <c r="A1675" s="5"/>
      <c r="B1675" s="6"/>
      <c r="C1675" s="6"/>
    </row>
    <row r="1676">
      <c r="A1676" s="5"/>
      <c r="B1676" s="6"/>
      <c r="C1676" s="6"/>
    </row>
    <row r="1677">
      <c r="A1677" s="5"/>
      <c r="B1677" s="6"/>
      <c r="C1677" s="6"/>
    </row>
    <row r="1678">
      <c r="A1678" s="5"/>
      <c r="B1678" s="6"/>
      <c r="C1678" s="6"/>
    </row>
    <row r="1679">
      <c r="A1679" s="5"/>
      <c r="B1679" s="6"/>
      <c r="C1679" s="6"/>
    </row>
    <row r="1680">
      <c r="A1680" s="5"/>
      <c r="B1680" s="6"/>
      <c r="C1680" s="6"/>
    </row>
    <row r="1681">
      <c r="A1681" s="5"/>
      <c r="B1681" s="6"/>
      <c r="C1681" s="6"/>
    </row>
    <row r="1682">
      <c r="A1682" s="5"/>
      <c r="B1682" s="6"/>
      <c r="C1682" s="6"/>
    </row>
    <row r="1683">
      <c r="A1683" s="5"/>
      <c r="B1683" s="6"/>
      <c r="C1683" s="6"/>
    </row>
    <row r="1684">
      <c r="A1684" s="5"/>
      <c r="B1684" s="6"/>
      <c r="C1684" s="6"/>
    </row>
    <row r="1685">
      <c r="A1685" s="5"/>
      <c r="B1685" s="6"/>
      <c r="C1685" s="6"/>
    </row>
    <row r="1686">
      <c r="A1686" s="5"/>
      <c r="B1686" s="6"/>
      <c r="C1686" s="6"/>
    </row>
    <row r="1687">
      <c r="A1687" s="5"/>
      <c r="B1687" s="6"/>
      <c r="C1687" s="6"/>
    </row>
    <row r="1688">
      <c r="A1688" s="5"/>
      <c r="B1688" s="6"/>
      <c r="C1688" s="6"/>
    </row>
    <row r="1689">
      <c r="A1689" s="5"/>
      <c r="B1689" s="6"/>
      <c r="C1689" s="6"/>
    </row>
    <row r="1690">
      <c r="A1690" s="5"/>
      <c r="B1690" s="6"/>
      <c r="C1690" s="6"/>
    </row>
    <row r="1691">
      <c r="A1691" s="5"/>
      <c r="B1691" s="6"/>
      <c r="C1691" s="6"/>
    </row>
    <row r="1692">
      <c r="A1692" s="5"/>
      <c r="B1692" s="6"/>
      <c r="C1692" s="6"/>
    </row>
    <row r="1693">
      <c r="A1693" s="5"/>
      <c r="B1693" s="6"/>
      <c r="C1693" s="6"/>
    </row>
    <row r="1694">
      <c r="A1694" s="5"/>
      <c r="B1694" s="6"/>
      <c r="C1694" s="6"/>
    </row>
    <row r="1695">
      <c r="A1695" s="5"/>
      <c r="B1695" s="6"/>
      <c r="C1695" s="6"/>
    </row>
    <row r="1696">
      <c r="A1696" s="5"/>
      <c r="B1696" s="6"/>
      <c r="C1696" s="6"/>
    </row>
    <row r="1697">
      <c r="A1697" s="5"/>
      <c r="B1697" s="6"/>
      <c r="C1697" s="6"/>
    </row>
    <row r="1698">
      <c r="A1698" s="5"/>
      <c r="B1698" s="6"/>
      <c r="C1698" s="6"/>
    </row>
    <row r="1699">
      <c r="A1699" s="5"/>
      <c r="B1699" s="6"/>
      <c r="C1699" s="6"/>
    </row>
    <row r="1700">
      <c r="A1700" s="5"/>
      <c r="B1700" s="6"/>
      <c r="C1700" s="6"/>
    </row>
    <row r="1701">
      <c r="A1701" s="5"/>
      <c r="B1701" s="6"/>
      <c r="C1701" s="6"/>
    </row>
    <row r="1702">
      <c r="A1702" s="5"/>
      <c r="B1702" s="6"/>
      <c r="C1702" s="6"/>
    </row>
    <row r="1703">
      <c r="A1703" s="5"/>
      <c r="B1703" s="6"/>
      <c r="C1703" s="6"/>
    </row>
    <row r="1704">
      <c r="A1704" s="5"/>
      <c r="B1704" s="6"/>
      <c r="C1704" s="6"/>
    </row>
    <row r="1705">
      <c r="A1705" s="5"/>
      <c r="B1705" s="6"/>
      <c r="C1705" s="6"/>
    </row>
    <row r="1706">
      <c r="A1706" s="5"/>
      <c r="B1706" s="6"/>
      <c r="C1706" s="6"/>
    </row>
    <row r="1707">
      <c r="A1707" s="5"/>
      <c r="B1707" s="6"/>
      <c r="C1707" s="6"/>
    </row>
    <row r="1708">
      <c r="A1708" s="5"/>
      <c r="B1708" s="6"/>
      <c r="C1708" s="6"/>
    </row>
    <row r="1709">
      <c r="A1709" s="5"/>
      <c r="B1709" s="6"/>
      <c r="C1709" s="6"/>
    </row>
    <row r="1710">
      <c r="A1710" s="5"/>
      <c r="B1710" s="6"/>
      <c r="C1710" s="6"/>
    </row>
    <row r="1711">
      <c r="A1711" s="5"/>
      <c r="B1711" s="6"/>
      <c r="C1711" s="6"/>
    </row>
    <row r="1712">
      <c r="A1712" s="5"/>
      <c r="B1712" s="6"/>
      <c r="C1712" s="6"/>
    </row>
    <row r="1713">
      <c r="A1713" s="5"/>
      <c r="B1713" s="6"/>
      <c r="C1713" s="6"/>
    </row>
    <row r="1714">
      <c r="A1714" s="5"/>
      <c r="B1714" s="6"/>
      <c r="C1714" s="6"/>
    </row>
    <row r="1715">
      <c r="A1715" s="5"/>
      <c r="B1715" s="6"/>
      <c r="C1715" s="6"/>
    </row>
    <row r="1716">
      <c r="A1716" s="5"/>
      <c r="B1716" s="6"/>
      <c r="C1716" s="6"/>
    </row>
    <row r="1717">
      <c r="A1717" s="5"/>
      <c r="B1717" s="6"/>
      <c r="C1717" s="6"/>
    </row>
    <row r="1718">
      <c r="A1718" s="5"/>
      <c r="B1718" s="6"/>
      <c r="C1718" s="6"/>
    </row>
    <row r="1719">
      <c r="A1719" s="5"/>
      <c r="B1719" s="6"/>
      <c r="C1719" s="6"/>
    </row>
    <row r="1720">
      <c r="A1720" s="5"/>
      <c r="B1720" s="6"/>
      <c r="C1720" s="6"/>
    </row>
    <row r="1721">
      <c r="A1721" s="5"/>
      <c r="B1721" s="6"/>
      <c r="C1721" s="6"/>
    </row>
    <row r="1722">
      <c r="A1722" s="5"/>
      <c r="B1722" s="6"/>
      <c r="C1722" s="6"/>
    </row>
    <row r="1723">
      <c r="A1723" s="5"/>
      <c r="B1723" s="6"/>
      <c r="C1723" s="6"/>
    </row>
    <row r="1724">
      <c r="A1724" s="5"/>
      <c r="B1724" s="6"/>
      <c r="C1724" s="6"/>
    </row>
    <row r="1725">
      <c r="A1725" s="5"/>
      <c r="B1725" s="6"/>
      <c r="C1725" s="6"/>
    </row>
    <row r="1726">
      <c r="A1726" s="5"/>
      <c r="B1726" s="6"/>
      <c r="C1726" s="6"/>
    </row>
    <row r="1727">
      <c r="A1727" s="5"/>
      <c r="B1727" s="6"/>
      <c r="C1727" s="6"/>
    </row>
    <row r="1728">
      <c r="A1728" s="5"/>
      <c r="B1728" s="6"/>
      <c r="C1728" s="6"/>
    </row>
    <row r="1729">
      <c r="A1729" s="5"/>
      <c r="B1729" s="6"/>
      <c r="C1729" s="6"/>
    </row>
    <row r="1730">
      <c r="A1730" s="5"/>
      <c r="B1730" s="6"/>
      <c r="C1730" s="6"/>
    </row>
    <row r="1731">
      <c r="A1731" s="5"/>
      <c r="B1731" s="6"/>
      <c r="C1731" s="6"/>
    </row>
    <row r="1732">
      <c r="A1732" s="5"/>
      <c r="B1732" s="6"/>
      <c r="C1732" s="6"/>
    </row>
    <row r="1733">
      <c r="A1733" s="5"/>
      <c r="B1733" s="6"/>
      <c r="C1733" s="6"/>
    </row>
    <row r="1734">
      <c r="A1734" s="5"/>
      <c r="B1734" s="6"/>
      <c r="C1734" s="6"/>
    </row>
    <row r="1735">
      <c r="A1735" s="5"/>
      <c r="B1735" s="6"/>
      <c r="C1735" s="6"/>
    </row>
    <row r="1736">
      <c r="A1736" s="5"/>
      <c r="B1736" s="6"/>
      <c r="C1736" s="6"/>
    </row>
    <row r="1737">
      <c r="A1737" s="5"/>
      <c r="B1737" s="6"/>
      <c r="C1737" s="6"/>
    </row>
    <row r="1738">
      <c r="A1738" s="5"/>
      <c r="B1738" s="6"/>
      <c r="C1738" s="6"/>
    </row>
    <row r="1739">
      <c r="A1739" s="5"/>
      <c r="B1739" s="6"/>
      <c r="C1739" s="6"/>
    </row>
    <row r="1740">
      <c r="A1740" s="5"/>
      <c r="B1740" s="6"/>
      <c r="C1740" s="6"/>
    </row>
    <row r="1741">
      <c r="A1741" s="5"/>
      <c r="B1741" s="6"/>
      <c r="C1741" s="6"/>
    </row>
    <row r="1742">
      <c r="A1742" s="5"/>
      <c r="B1742" s="6"/>
      <c r="C1742" s="6"/>
    </row>
    <row r="1743">
      <c r="A1743" s="5"/>
      <c r="B1743" s="6"/>
      <c r="C1743" s="6"/>
    </row>
    <row r="1744">
      <c r="A1744" s="5"/>
      <c r="B1744" s="6"/>
      <c r="C1744" s="6"/>
    </row>
    <row r="1745">
      <c r="A1745" s="5"/>
      <c r="B1745" s="6"/>
      <c r="C1745" s="6"/>
    </row>
    <row r="1746">
      <c r="A1746" s="5"/>
      <c r="B1746" s="6"/>
      <c r="C1746" s="6"/>
    </row>
    <row r="1747">
      <c r="A1747" s="5"/>
      <c r="B1747" s="6"/>
      <c r="C1747" s="6"/>
    </row>
    <row r="1748">
      <c r="A1748" s="5"/>
      <c r="B1748" s="6"/>
      <c r="C1748" s="6"/>
    </row>
    <row r="1749">
      <c r="A1749" s="5"/>
      <c r="B1749" s="6"/>
      <c r="C1749" s="6"/>
    </row>
    <row r="1750">
      <c r="A1750" s="5"/>
      <c r="B1750" s="6"/>
      <c r="C1750" s="6"/>
    </row>
    <row r="1751">
      <c r="A1751" s="5"/>
      <c r="B1751" s="6"/>
      <c r="C1751" s="6"/>
    </row>
    <row r="1752">
      <c r="A1752" s="5"/>
      <c r="B1752" s="6"/>
      <c r="C1752" s="6"/>
    </row>
    <row r="1753">
      <c r="A1753" s="5"/>
      <c r="B1753" s="6"/>
      <c r="C1753" s="6"/>
    </row>
    <row r="1754">
      <c r="A1754" s="5"/>
      <c r="B1754" s="6"/>
      <c r="C1754" s="6"/>
    </row>
    <row r="1755">
      <c r="A1755" s="5"/>
      <c r="B1755" s="6"/>
      <c r="C1755" s="6"/>
    </row>
    <row r="1756">
      <c r="A1756" s="5"/>
      <c r="B1756" s="6"/>
      <c r="C1756" s="6"/>
    </row>
    <row r="1757">
      <c r="A1757" s="5"/>
      <c r="B1757" s="6"/>
      <c r="C1757" s="6"/>
    </row>
    <row r="1758">
      <c r="A1758" s="5"/>
      <c r="B1758" s="6"/>
      <c r="C1758" s="6"/>
    </row>
    <row r="1759">
      <c r="A1759" s="5"/>
      <c r="B1759" s="6"/>
      <c r="C1759" s="6"/>
    </row>
    <row r="1760">
      <c r="A1760" s="5"/>
      <c r="B1760" s="6"/>
      <c r="C1760" s="6"/>
    </row>
    <row r="1761">
      <c r="A1761" s="5"/>
      <c r="B1761" s="6"/>
      <c r="C1761" s="6"/>
    </row>
    <row r="1762">
      <c r="A1762" s="5"/>
      <c r="B1762" s="6"/>
      <c r="C1762" s="6"/>
    </row>
    <row r="1763">
      <c r="A1763" s="5"/>
      <c r="B1763" s="6"/>
      <c r="C1763" s="6"/>
    </row>
    <row r="1764">
      <c r="A1764" s="5"/>
      <c r="B1764" s="6"/>
      <c r="C1764" s="6"/>
    </row>
    <row r="1765">
      <c r="A1765" s="5"/>
      <c r="B1765" s="6"/>
      <c r="C1765" s="6"/>
    </row>
    <row r="1766">
      <c r="A1766" s="5"/>
      <c r="B1766" s="6"/>
      <c r="C1766" s="6"/>
    </row>
    <row r="1767">
      <c r="A1767" s="5"/>
      <c r="B1767" s="6"/>
      <c r="C1767" s="6"/>
    </row>
    <row r="1768">
      <c r="A1768" s="5"/>
      <c r="B1768" s="6"/>
      <c r="C1768" s="6"/>
    </row>
    <row r="1769">
      <c r="A1769" s="5"/>
      <c r="B1769" s="6"/>
      <c r="C1769" s="6"/>
    </row>
    <row r="1770">
      <c r="A1770" s="5"/>
      <c r="B1770" s="6"/>
      <c r="C1770" s="6"/>
    </row>
    <row r="1771">
      <c r="A1771" s="5"/>
      <c r="B1771" s="6"/>
      <c r="C1771" s="6"/>
    </row>
    <row r="1772">
      <c r="A1772" s="5"/>
      <c r="B1772" s="6"/>
      <c r="C1772" s="6"/>
    </row>
    <row r="1773">
      <c r="A1773" s="5"/>
      <c r="B1773" s="6"/>
      <c r="C1773" s="6"/>
    </row>
    <row r="1774">
      <c r="A1774" s="5"/>
      <c r="B1774" s="6"/>
      <c r="C1774" s="6"/>
    </row>
    <row r="1775">
      <c r="A1775" s="5"/>
      <c r="B1775" s="6"/>
      <c r="C1775" s="6"/>
    </row>
    <row r="1776">
      <c r="A1776" s="5"/>
      <c r="B1776" s="6"/>
      <c r="C1776" s="6"/>
    </row>
    <row r="1777">
      <c r="A1777" s="5"/>
      <c r="B1777" s="6"/>
      <c r="C1777" s="6"/>
    </row>
    <row r="1778">
      <c r="A1778" s="5"/>
      <c r="B1778" s="6"/>
      <c r="C1778" s="6"/>
    </row>
    <row r="1779">
      <c r="A1779" s="5"/>
      <c r="B1779" s="6"/>
      <c r="C1779" s="6"/>
    </row>
    <row r="1780">
      <c r="A1780" s="5"/>
      <c r="B1780" s="6"/>
      <c r="C1780" s="6"/>
    </row>
    <row r="1781">
      <c r="A1781" s="5"/>
      <c r="B1781" s="6"/>
      <c r="C1781" s="6"/>
    </row>
    <row r="1782">
      <c r="A1782" s="5"/>
      <c r="B1782" s="6"/>
      <c r="C1782" s="6"/>
    </row>
    <row r="1783">
      <c r="A1783" s="5"/>
      <c r="B1783" s="6"/>
      <c r="C1783" s="6"/>
    </row>
    <row r="1784">
      <c r="A1784" s="5"/>
      <c r="B1784" s="6"/>
      <c r="C1784" s="6"/>
    </row>
    <row r="1785">
      <c r="A1785" s="5"/>
      <c r="B1785" s="6"/>
      <c r="C1785" s="6"/>
    </row>
    <row r="1786">
      <c r="A1786" s="5"/>
      <c r="B1786" s="6"/>
      <c r="C1786" s="6"/>
    </row>
    <row r="1787">
      <c r="A1787" s="5"/>
      <c r="B1787" s="6"/>
      <c r="C1787" s="6"/>
    </row>
    <row r="1788">
      <c r="A1788" s="5"/>
      <c r="B1788" s="6"/>
      <c r="C1788" s="6"/>
    </row>
    <row r="1789">
      <c r="A1789" s="5"/>
      <c r="B1789" s="6"/>
      <c r="C1789" s="6"/>
    </row>
    <row r="1790">
      <c r="A1790" s="5"/>
      <c r="B1790" s="6"/>
      <c r="C1790" s="6"/>
    </row>
    <row r="1791">
      <c r="A1791" s="5"/>
      <c r="B1791" s="6"/>
      <c r="C1791" s="6"/>
    </row>
    <row r="1792">
      <c r="A1792" s="5"/>
      <c r="B1792" s="6"/>
      <c r="C1792" s="6"/>
    </row>
    <row r="1793">
      <c r="A1793" s="5"/>
      <c r="B1793" s="6"/>
      <c r="C1793" s="6"/>
    </row>
    <row r="1794">
      <c r="A1794" s="5"/>
      <c r="B1794" s="6"/>
      <c r="C1794" s="6"/>
    </row>
    <row r="1795">
      <c r="A1795" s="5"/>
      <c r="B1795" s="6"/>
      <c r="C1795" s="6"/>
    </row>
    <row r="1796">
      <c r="A1796" s="5"/>
      <c r="B1796" s="6"/>
      <c r="C1796" s="6"/>
    </row>
    <row r="1797">
      <c r="A1797" s="5"/>
      <c r="B1797" s="6"/>
      <c r="C1797" s="6"/>
    </row>
    <row r="1798">
      <c r="A1798" s="5"/>
      <c r="B1798" s="6"/>
      <c r="C1798" s="6"/>
    </row>
    <row r="1799">
      <c r="A1799" s="5"/>
      <c r="B1799" s="6"/>
      <c r="C1799" s="6"/>
    </row>
    <row r="1800">
      <c r="A1800" s="5"/>
      <c r="B1800" s="6"/>
      <c r="C1800" s="6"/>
    </row>
    <row r="1801">
      <c r="A1801" s="5"/>
      <c r="B1801" s="6"/>
      <c r="C1801" s="6"/>
    </row>
    <row r="1802">
      <c r="A1802" s="5"/>
      <c r="B1802" s="6"/>
      <c r="C1802" s="6"/>
    </row>
    <row r="1803">
      <c r="A1803" s="5"/>
      <c r="B1803" s="6"/>
      <c r="C1803" s="6"/>
    </row>
    <row r="1804">
      <c r="A1804" s="5"/>
      <c r="B1804" s="6"/>
      <c r="C1804" s="6"/>
    </row>
    <row r="1805">
      <c r="A1805" s="5"/>
      <c r="B1805" s="6"/>
      <c r="C1805" s="6"/>
    </row>
    <row r="1806">
      <c r="A1806" s="5"/>
      <c r="B1806" s="6"/>
      <c r="C1806" s="6"/>
    </row>
    <row r="1807">
      <c r="A1807" s="5"/>
      <c r="B1807" s="6"/>
      <c r="C1807" s="6"/>
    </row>
    <row r="1808">
      <c r="A1808" s="5"/>
      <c r="B1808" s="6"/>
      <c r="C1808" s="6"/>
    </row>
    <row r="1809">
      <c r="A1809" s="5"/>
      <c r="B1809" s="6"/>
      <c r="C1809" s="6"/>
    </row>
    <row r="1810">
      <c r="A1810" s="5"/>
      <c r="B1810" s="6"/>
      <c r="C1810" s="6"/>
    </row>
    <row r="1811">
      <c r="A1811" s="5"/>
      <c r="B1811" s="6"/>
      <c r="C1811" s="6"/>
    </row>
    <row r="1812">
      <c r="A1812" s="5"/>
      <c r="B1812" s="6"/>
      <c r="C1812" s="6"/>
    </row>
    <row r="1813">
      <c r="A1813" s="5"/>
      <c r="B1813" s="6"/>
      <c r="C1813" s="6"/>
    </row>
    <row r="1814">
      <c r="A1814" s="5"/>
      <c r="B1814" s="6"/>
      <c r="C1814" s="6"/>
    </row>
    <row r="1815">
      <c r="A1815" s="5"/>
      <c r="B1815" s="6"/>
      <c r="C1815" s="6"/>
    </row>
    <row r="1816">
      <c r="A1816" s="5"/>
      <c r="B1816" s="6"/>
      <c r="C1816" s="6"/>
    </row>
    <row r="1817">
      <c r="A1817" s="5"/>
      <c r="B1817" s="6"/>
      <c r="C1817" s="6"/>
    </row>
    <row r="1818">
      <c r="A1818" s="5"/>
      <c r="B1818" s="6"/>
      <c r="C1818" s="6"/>
    </row>
    <row r="1819">
      <c r="A1819" s="5"/>
      <c r="B1819" s="6"/>
      <c r="C1819" s="6"/>
    </row>
    <row r="1820">
      <c r="A1820" s="5"/>
      <c r="B1820" s="6"/>
      <c r="C1820" s="6"/>
    </row>
    <row r="1821">
      <c r="A1821" s="5"/>
      <c r="B1821" s="6"/>
      <c r="C1821" s="6"/>
    </row>
    <row r="1822">
      <c r="A1822" s="5"/>
      <c r="B1822" s="6"/>
      <c r="C1822" s="6"/>
    </row>
    <row r="1823">
      <c r="A1823" s="5"/>
      <c r="B1823" s="6"/>
      <c r="C1823" s="6"/>
    </row>
    <row r="1824">
      <c r="A1824" s="5"/>
      <c r="B1824" s="6"/>
      <c r="C1824" s="6"/>
    </row>
    <row r="1825">
      <c r="A1825" s="5"/>
      <c r="B1825" s="6"/>
      <c r="C1825" s="6"/>
    </row>
    <row r="1826">
      <c r="A1826" s="5"/>
      <c r="B1826" s="6"/>
      <c r="C1826" s="6"/>
    </row>
    <row r="1827">
      <c r="A1827" s="5"/>
      <c r="B1827" s="6"/>
      <c r="C1827" s="6"/>
    </row>
    <row r="1828">
      <c r="A1828" s="5"/>
      <c r="B1828" s="6"/>
      <c r="C1828" s="6"/>
    </row>
    <row r="1829">
      <c r="A1829" s="5"/>
      <c r="B1829" s="6"/>
      <c r="C1829" s="6"/>
    </row>
    <row r="1830">
      <c r="A1830" s="5"/>
      <c r="B1830" s="6"/>
      <c r="C1830" s="6"/>
    </row>
    <row r="1831">
      <c r="A1831" s="5"/>
      <c r="B1831" s="6"/>
      <c r="C1831" s="6"/>
    </row>
    <row r="1832">
      <c r="A1832" s="5"/>
      <c r="B1832" s="6"/>
      <c r="C1832" s="6"/>
    </row>
    <row r="1833">
      <c r="A1833" s="5"/>
      <c r="B1833" s="6"/>
      <c r="C1833" s="6"/>
    </row>
    <row r="1834">
      <c r="A1834" s="5"/>
      <c r="B1834" s="6"/>
      <c r="C1834" s="6"/>
    </row>
    <row r="1835">
      <c r="A1835" s="5"/>
      <c r="B1835" s="6"/>
      <c r="C1835" s="6"/>
    </row>
    <row r="1836">
      <c r="A1836" s="5"/>
      <c r="B1836" s="6"/>
      <c r="C1836" s="6"/>
    </row>
    <row r="1837">
      <c r="A1837" s="5"/>
      <c r="B1837" s="6"/>
      <c r="C1837" s="6"/>
    </row>
    <row r="1838">
      <c r="A1838" s="5"/>
      <c r="B1838" s="6"/>
      <c r="C1838" s="6"/>
    </row>
    <row r="1839">
      <c r="A1839" s="5"/>
      <c r="B1839" s="6"/>
      <c r="C1839" s="6"/>
    </row>
    <row r="1840">
      <c r="A1840" s="5"/>
      <c r="B1840" s="6"/>
      <c r="C1840" s="6"/>
    </row>
    <row r="1841">
      <c r="A1841" s="5"/>
      <c r="B1841" s="6"/>
      <c r="C1841" s="6"/>
    </row>
    <row r="1842">
      <c r="A1842" s="5"/>
      <c r="B1842" s="6"/>
      <c r="C1842" s="6"/>
    </row>
    <row r="1843">
      <c r="A1843" s="5"/>
      <c r="B1843" s="6"/>
      <c r="C1843" s="6"/>
    </row>
    <row r="1844">
      <c r="A1844" s="5"/>
      <c r="B1844" s="6"/>
      <c r="C1844" s="6"/>
    </row>
    <row r="1845">
      <c r="A1845" s="5"/>
      <c r="B1845" s="6"/>
      <c r="C1845" s="6"/>
    </row>
    <row r="1846">
      <c r="A1846" s="5"/>
      <c r="B1846" s="6"/>
      <c r="C1846" s="6"/>
    </row>
    <row r="1847">
      <c r="A1847" s="5"/>
      <c r="B1847" s="6"/>
      <c r="C1847" s="6"/>
    </row>
    <row r="1848">
      <c r="A1848" s="5"/>
      <c r="B1848" s="6"/>
      <c r="C1848" s="6"/>
    </row>
    <row r="1849">
      <c r="A1849" s="5"/>
      <c r="B1849" s="6"/>
      <c r="C1849" s="6"/>
    </row>
    <row r="1850">
      <c r="A1850" s="5"/>
      <c r="B1850" s="6"/>
      <c r="C1850" s="6"/>
    </row>
    <row r="1851">
      <c r="A1851" s="5"/>
      <c r="B1851" s="6"/>
      <c r="C1851" s="6"/>
    </row>
    <row r="1852">
      <c r="A1852" s="5"/>
      <c r="B1852" s="6"/>
      <c r="C1852" s="6"/>
    </row>
    <row r="1853">
      <c r="A1853" s="5"/>
      <c r="B1853" s="6"/>
      <c r="C1853" s="6"/>
    </row>
    <row r="1854">
      <c r="A1854" s="5"/>
      <c r="B1854" s="6"/>
      <c r="C1854" s="6"/>
    </row>
    <row r="1855">
      <c r="A1855" s="5"/>
      <c r="B1855" s="6"/>
      <c r="C1855" s="6"/>
    </row>
    <row r="1856">
      <c r="A1856" s="5"/>
      <c r="B1856" s="6"/>
      <c r="C1856" s="6"/>
    </row>
    <row r="1857">
      <c r="A1857" s="5"/>
      <c r="B1857" s="6"/>
      <c r="C1857" s="6"/>
    </row>
    <row r="1858">
      <c r="A1858" s="5"/>
      <c r="B1858" s="6"/>
      <c r="C1858" s="6"/>
    </row>
    <row r="1859">
      <c r="A1859" s="5"/>
      <c r="B1859" s="6"/>
      <c r="C1859" s="6"/>
    </row>
    <row r="1860">
      <c r="A1860" s="5"/>
      <c r="B1860" s="6"/>
      <c r="C1860" s="6"/>
    </row>
    <row r="1861">
      <c r="A1861" s="5"/>
      <c r="B1861" s="6"/>
      <c r="C1861" s="6"/>
    </row>
    <row r="1862">
      <c r="A1862" s="5"/>
      <c r="B1862" s="6"/>
      <c r="C1862" s="6"/>
    </row>
    <row r="1863">
      <c r="A1863" s="5"/>
      <c r="B1863" s="6"/>
      <c r="C1863" s="6"/>
    </row>
    <row r="1864">
      <c r="A1864" s="5"/>
      <c r="B1864" s="6"/>
      <c r="C1864" s="6"/>
    </row>
    <row r="1865">
      <c r="A1865" s="5"/>
      <c r="B1865" s="6"/>
      <c r="C1865" s="6"/>
    </row>
    <row r="1866">
      <c r="A1866" s="5"/>
      <c r="B1866" s="6"/>
      <c r="C1866" s="6"/>
    </row>
    <row r="1867">
      <c r="A1867" s="5"/>
      <c r="B1867" s="6"/>
      <c r="C1867" s="6"/>
    </row>
    <row r="1868">
      <c r="A1868" s="5"/>
      <c r="B1868" s="6"/>
      <c r="C1868" s="6"/>
    </row>
    <row r="1869">
      <c r="A1869" s="5"/>
      <c r="B1869" s="6"/>
      <c r="C1869" s="6"/>
    </row>
    <row r="1870">
      <c r="A1870" s="5"/>
      <c r="B1870" s="6"/>
      <c r="C1870" s="6"/>
    </row>
    <row r="1871">
      <c r="A1871" s="5"/>
      <c r="B1871" s="6"/>
      <c r="C1871" s="6"/>
    </row>
    <row r="1872">
      <c r="A1872" s="5"/>
      <c r="B1872" s="6"/>
      <c r="C1872" s="6"/>
    </row>
    <row r="1873">
      <c r="A1873" s="5"/>
      <c r="B1873" s="6"/>
      <c r="C1873" s="6"/>
    </row>
    <row r="1874">
      <c r="A1874" s="5"/>
      <c r="B1874" s="6"/>
      <c r="C1874" s="6"/>
    </row>
    <row r="1875">
      <c r="A1875" s="5"/>
      <c r="B1875" s="6"/>
      <c r="C1875" s="6"/>
    </row>
    <row r="1876">
      <c r="A1876" s="5"/>
      <c r="B1876" s="6"/>
      <c r="C1876" s="6"/>
    </row>
    <row r="1877">
      <c r="A1877" s="5"/>
      <c r="B1877" s="6"/>
      <c r="C1877" s="6"/>
    </row>
    <row r="1878">
      <c r="A1878" s="5"/>
      <c r="B1878" s="6"/>
      <c r="C1878" s="6"/>
    </row>
    <row r="1879">
      <c r="A1879" s="5"/>
      <c r="B1879" s="6"/>
      <c r="C1879" s="6"/>
    </row>
    <row r="1880">
      <c r="A1880" s="5"/>
      <c r="B1880" s="6"/>
      <c r="C1880" s="6"/>
    </row>
    <row r="1881">
      <c r="A1881" s="5"/>
      <c r="B1881" s="6"/>
      <c r="C1881" s="6"/>
    </row>
    <row r="1882">
      <c r="A1882" s="5"/>
      <c r="B1882" s="6"/>
      <c r="C1882" s="6"/>
    </row>
    <row r="1883">
      <c r="A1883" s="5"/>
      <c r="B1883" s="6"/>
      <c r="C1883" s="6"/>
    </row>
    <row r="1884">
      <c r="A1884" s="5"/>
      <c r="B1884" s="6"/>
      <c r="C1884" s="6"/>
    </row>
    <row r="1885">
      <c r="A1885" s="5"/>
      <c r="B1885" s="6"/>
      <c r="C1885" s="6"/>
    </row>
    <row r="1886">
      <c r="A1886" s="5"/>
      <c r="B1886" s="6"/>
      <c r="C1886" s="6"/>
    </row>
    <row r="1887">
      <c r="A1887" s="5"/>
      <c r="B1887" s="6"/>
      <c r="C1887" s="6"/>
    </row>
    <row r="1888">
      <c r="A1888" s="5"/>
      <c r="B1888" s="6"/>
      <c r="C1888" s="6"/>
    </row>
    <row r="1889">
      <c r="A1889" s="5"/>
      <c r="B1889" s="6"/>
      <c r="C1889" s="6"/>
    </row>
    <row r="1890">
      <c r="A1890" s="5"/>
      <c r="B1890" s="6"/>
      <c r="C1890" s="6"/>
    </row>
    <row r="1891">
      <c r="A1891" s="5"/>
      <c r="B1891" s="6"/>
      <c r="C1891" s="6"/>
    </row>
    <row r="1892">
      <c r="A1892" s="5"/>
      <c r="B1892" s="6"/>
      <c r="C1892" s="6"/>
    </row>
    <row r="1893">
      <c r="A1893" s="5"/>
      <c r="B1893" s="6"/>
      <c r="C1893" s="6"/>
    </row>
    <row r="1894">
      <c r="A1894" s="5"/>
      <c r="B1894" s="6"/>
      <c r="C1894" s="6"/>
    </row>
    <row r="1895">
      <c r="A1895" s="5"/>
      <c r="B1895" s="6"/>
      <c r="C1895" s="6"/>
    </row>
    <row r="1896">
      <c r="A1896" s="5"/>
      <c r="B1896" s="6"/>
      <c r="C1896" s="6"/>
    </row>
    <row r="1897">
      <c r="A1897" s="5"/>
      <c r="B1897" s="6"/>
      <c r="C1897" s="6"/>
    </row>
    <row r="1898">
      <c r="A1898" s="5"/>
      <c r="B1898" s="6"/>
      <c r="C1898" s="6"/>
    </row>
    <row r="1899">
      <c r="A1899" s="5"/>
      <c r="B1899" s="6"/>
      <c r="C1899" s="6"/>
    </row>
    <row r="1900">
      <c r="A1900" s="5"/>
      <c r="B1900" s="6"/>
      <c r="C1900" s="6"/>
    </row>
    <row r="1901">
      <c r="A1901" s="5"/>
      <c r="B1901" s="6"/>
      <c r="C1901" s="6"/>
    </row>
    <row r="1902">
      <c r="A1902" s="5"/>
      <c r="B1902" s="6"/>
      <c r="C1902" s="6"/>
    </row>
    <row r="1903">
      <c r="A1903" s="5"/>
      <c r="B1903" s="6"/>
      <c r="C1903" s="6"/>
    </row>
    <row r="1904">
      <c r="A1904" s="5"/>
      <c r="B1904" s="6"/>
      <c r="C1904" s="6"/>
    </row>
    <row r="1905">
      <c r="A1905" s="5"/>
      <c r="B1905" s="6"/>
      <c r="C1905" s="6"/>
    </row>
    <row r="1906">
      <c r="A1906" s="5"/>
      <c r="B1906" s="6"/>
      <c r="C1906" s="6"/>
    </row>
    <row r="1907">
      <c r="A1907" s="5"/>
      <c r="B1907" s="6"/>
      <c r="C1907" s="6"/>
    </row>
    <row r="1908">
      <c r="A1908" s="5"/>
      <c r="B1908" s="6"/>
      <c r="C1908" s="6"/>
    </row>
    <row r="1909">
      <c r="A1909" s="5"/>
      <c r="B1909" s="6"/>
      <c r="C1909" s="6"/>
    </row>
    <row r="1910">
      <c r="A1910" s="5"/>
      <c r="B1910" s="6"/>
      <c r="C1910" s="6"/>
    </row>
    <row r="1911">
      <c r="A1911" s="5"/>
      <c r="B1911" s="6"/>
      <c r="C1911" s="6"/>
    </row>
    <row r="1912">
      <c r="A1912" s="5"/>
      <c r="B1912" s="6"/>
      <c r="C1912" s="6"/>
    </row>
    <row r="1913">
      <c r="A1913" s="5"/>
      <c r="B1913" s="6"/>
      <c r="C1913" s="6"/>
    </row>
    <row r="1914">
      <c r="A1914" s="5"/>
      <c r="B1914" s="6"/>
      <c r="C1914" s="6"/>
    </row>
    <row r="1915">
      <c r="A1915" s="5"/>
      <c r="B1915" s="6"/>
      <c r="C1915" s="6"/>
    </row>
    <row r="1916">
      <c r="A1916" s="5"/>
      <c r="B1916" s="6"/>
      <c r="C1916" s="6"/>
    </row>
    <row r="1917">
      <c r="A1917" s="5"/>
      <c r="B1917" s="6"/>
      <c r="C1917" s="6"/>
    </row>
    <row r="1918">
      <c r="A1918" s="5"/>
      <c r="B1918" s="6"/>
      <c r="C1918" s="6"/>
    </row>
    <row r="1919">
      <c r="A1919" s="5"/>
      <c r="B1919" s="6"/>
      <c r="C1919" s="6"/>
    </row>
    <row r="1920">
      <c r="A1920" s="5"/>
      <c r="B1920" s="6"/>
      <c r="C1920" s="6"/>
    </row>
    <row r="1921">
      <c r="A1921" s="5"/>
      <c r="B1921" s="6"/>
      <c r="C1921" s="6"/>
    </row>
    <row r="1922">
      <c r="A1922" s="5"/>
      <c r="B1922" s="6"/>
      <c r="C1922" s="6"/>
    </row>
    <row r="1923">
      <c r="A1923" s="5"/>
      <c r="B1923" s="6"/>
      <c r="C1923" s="6"/>
    </row>
    <row r="1924">
      <c r="A1924" s="5"/>
      <c r="B1924" s="6"/>
      <c r="C1924" s="6"/>
    </row>
    <row r="1925">
      <c r="A1925" s="5"/>
      <c r="B1925" s="6"/>
      <c r="C1925" s="6"/>
    </row>
    <row r="1926">
      <c r="A1926" s="5"/>
      <c r="B1926" s="6"/>
      <c r="C1926" s="6"/>
    </row>
    <row r="1927">
      <c r="A1927" s="5"/>
      <c r="B1927" s="6"/>
      <c r="C1927" s="6"/>
    </row>
    <row r="1928">
      <c r="A1928" s="5"/>
      <c r="B1928" s="6"/>
      <c r="C1928" s="6"/>
    </row>
    <row r="1929">
      <c r="A1929" s="5"/>
      <c r="B1929" s="6"/>
      <c r="C1929" s="6"/>
    </row>
    <row r="1930">
      <c r="A1930" s="5"/>
      <c r="B1930" s="6"/>
      <c r="C1930" s="6"/>
    </row>
    <row r="1931">
      <c r="A1931" s="5"/>
      <c r="B1931" s="6"/>
      <c r="C1931" s="6"/>
    </row>
    <row r="1932">
      <c r="A1932" s="5"/>
      <c r="B1932" s="6"/>
      <c r="C1932" s="6"/>
    </row>
    <row r="1933">
      <c r="A1933" s="5"/>
      <c r="B1933" s="6"/>
      <c r="C1933" s="6"/>
    </row>
    <row r="1934">
      <c r="A1934" s="5"/>
      <c r="B1934" s="6"/>
      <c r="C1934" s="6"/>
    </row>
    <row r="1935">
      <c r="A1935" s="5"/>
      <c r="B1935" s="6"/>
      <c r="C1935" s="6"/>
    </row>
    <row r="1936">
      <c r="A1936" s="5"/>
      <c r="B1936" s="6"/>
      <c r="C1936" s="6"/>
    </row>
    <row r="1937">
      <c r="A1937" s="5"/>
      <c r="B1937" s="6"/>
      <c r="C1937" s="6"/>
    </row>
    <row r="1938">
      <c r="A1938" s="5"/>
      <c r="B1938" s="6"/>
      <c r="C1938" s="6"/>
    </row>
    <row r="1939">
      <c r="A1939" s="5"/>
      <c r="B1939" s="6"/>
      <c r="C1939" s="6"/>
    </row>
    <row r="1940">
      <c r="A1940" s="5"/>
      <c r="B1940" s="6"/>
      <c r="C1940" s="6"/>
    </row>
    <row r="1941">
      <c r="A1941" s="5"/>
      <c r="B1941" s="6"/>
      <c r="C1941" s="6"/>
    </row>
    <row r="1942">
      <c r="A1942" s="5"/>
      <c r="B1942" s="6"/>
      <c r="C1942" s="6"/>
    </row>
    <row r="1943">
      <c r="A1943" s="5"/>
      <c r="B1943" s="6"/>
      <c r="C1943" s="6"/>
    </row>
    <row r="1944">
      <c r="A1944" s="5"/>
      <c r="B1944" s="6"/>
      <c r="C1944" s="6"/>
    </row>
    <row r="1945">
      <c r="A1945" s="5"/>
      <c r="B1945" s="6"/>
      <c r="C1945" s="6"/>
    </row>
    <row r="1946">
      <c r="A1946" s="5"/>
      <c r="B1946" s="6"/>
      <c r="C1946" s="6"/>
    </row>
    <row r="1947">
      <c r="A1947" s="5"/>
      <c r="B1947" s="6"/>
      <c r="C1947" s="6"/>
    </row>
    <row r="1948">
      <c r="A1948" s="5"/>
      <c r="B1948" s="6"/>
      <c r="C1948" s="6"/>
    </row>
    <row r="1949">
      <c r="A1949" s="5"/>
      <c r="B1949" s="6"/>
      <c r="C1949" s="6"/>
    </row>
    <row r="1950">
      <c r="A1950" s="5"/>
      <c r="B1950" s="6"/>
      <c r="C1950" s="6"/>
    </row>
    <row r="1951">
      <c r="A1951" s="5"/>
      <c r="B1951" s="6"/>
      <c r="C1951" s="6"/>
    </row>
    <row r="1952">
      <c r="A1952" s="5"/>
      <c r="B1952" s="6"/>
      <c r="C1952" s="6"/>
    </row>
    <row r="1953">
      <c r="A1953" s="5"/>
      <c r="B1953" s="6"/>
      <c r="C1953" s="6"/>
    </row>
    <row r="1954">
      <c r="A1954" s="5"/>
      <c r="B1954" s="6"/>
      <c r="C1954" s="6"/>
    </row>
    <row r="1955">
      <c r="A1955" s="5"/>
      <c r="B1955" s="6"/>
      <c r="C1955" s="6"/>
    </row>
    <row r="1956">
      <c r="A1956" s="5"/>
      <c r="B1956" s="6"/>
      <c r="C1956" s="6"/>
    </row>
    <row r="1957">
      <c r="A1957" s="5"/>
      <c r="B1957" s="6"/>
      <c r="C1957" s="6"/>
    </row>
    <row r="1958">
      <c r="A1958" s="5"/>
      <c r="B1958" s="6"/>
      <c r="C1958" s="6"/>
    </row>
    <row r="1959">
      <c r="A1959" s="5"/>
      <c r="B1959" s="6"/>
      <c r="C1959" s="6"/>
    </row>
    <row r="1960">
      <c r="A1960" s="5"/>
      <c r="B1960" s="6"/>
      <c r="C1960" s="6"/>
    </row>
    <row r="1961">
      <c r="A1961" s="5"/>
      <c r="B1961" s="6"/>
      <c r="C1961" s="6"/>
    </row>
    <row r="1962">
      <c r="A1962" s="5"/>
      <c r="B1962" s="6"/>
      <c r="C1962" s="6"/>
    </row>
    <row r="1963">
      <c r="A1963" s="5"/>
      <c r="B1963" s="6"/>
      <c r="C1963" s="6"/>
    </row>
    <row r="1964">
      <c r="A1964" s="5"/>
      <c r="B1964" s="6"/>
      <c r="C1964" s="6"/>
    </row>
    <row r="1965">
      <c r="A1965" s="5"/>
      <c r="B1965" s="6"/>
      <c r="C1965" s="6"/>
    </row>
    <row r="1966">
      <c r="A1966" s="5"/>
      <c r="B1966" s="6"/>
      <c r="C1966" s="6"/>
    </row>
    <row r="1967">
      <c r="A1967" s="5"/>
      <c r="B1967" s="6"/>
      <c r="C1967" s="6"/>
    </row>
    <row r="1968">
      <c r="A1968" s="5"/>
      <c r="B1968" s="6"/>
      <c r="C1968" s="6"/>
    </row>
    <row r="1969">
      <c r="A1969" s="5"/>
      <c r="B1969" s="6"/>
      <c r="C1969" s="6"/>
    </row>
    <row r="1970">
      <c r="A1970" s="5"/>
      <c r="B1970" s="6"/>
      <c r="C1970" s="6"/>
    </row>
    <row r="1971">
      <c r="A1971" s="5"/>
      <c r="B1971" s="6"/>
      <c r="C1971" s="6"/>
    </row>
    <row r="1972">
      <c r="A1972" s="5"/>
      <c r="B1972" s="6"/>
      <c r="C1972" s="6"/>
    </row>
    <row r="1973">
      <c r="A1973" s="5"/>
      <c r="B1973" s="6"/>
      <c r="C1973" s="6"/>
    </row>
    <row r="1974">
      <c r="A1974" s="5"/>
      <c r="B1974" s="6"/>
      <c r="C1974" s="6"/>
    </row>
    <row r="1975">
      <c r="A1975" s="5"/>
      <c r="B1975" s="6"/>
      <c r="C1975" s="6"/>
    </row>
    <row r="1976">
      <c r="A1976" s="5"/>
      <c r="B1976" s="6"/>
      <c r="C1976" s="6"/>
    </row>
    <row r="1977">
      <c r="A1977" s="5"/>
      <c r="B1977" s="6"/>
      <c r="C1977" s="6"/>
    </row>
    <row r="1978">
      <c r="A1978" s="5"/>
      <c r="B1978" s="6"/>
      <c r="C1978" s="6"/>
    </row>
    <row r="1979">
      <c r="A1979" s="5"/>
      <c r="B1979" s="6"/>
      <c r="C1979" s="6"/>
    </row>
    <row r="1980">
      <c r="A1980" s="5"/>
      <c r="B1980" s="6"/>
      <c r="C1980" s="6"/>
    </row>
    <row r="1981">
      <c r="A1981" s="5"/>
      <c r="B1981" s="6"/>
      <c r="C1981" s="6"/>
    </row>
    <row r="1982">
      <c r="A1982" s="5"/>
      <c r="B1982" s="6"/>
      <c r="C1982" s="6"/>
    </row>
    <row r="1983">
      <c r="A1983" s="5"/>
      <c r="B1983" s="6"/>
      <c r="C1983" s="6"/>
    </row>
    <row r="1984">
      <c r="A1984" s="5"/>
      <c r="B1984" s="6"/>
      <c r="C1984" s="6"/>
    </row>
    <row r="1985">
      <c r="A1985" s="5"/>
      <c r="B1985" s="6"/>
      <c r="C1985" s="6"/>
    </row>
    <row r="1986">
      <c r="A1986" s="5"/>
      <c r="B1986" s="6"/>
      <c r="C1986" s="6"/>
    </row>
    <row r="1987">
      <c r="A1987" s="5"/>
      <c r="B1987" s="6"/>
      <c r="C1987" s="6"/>
    </row>
    <row r="1988">
      <c r="A1988" s="5"/>
      <c r="B1988" s="6"/>
      <c r="C1988" s="6"/>
    </row>
    <row r="1989">
      <c r="A1989" s="5"/>
      <c r="B1989" s="6"/>
      <c r="C1989" s="6"/>
    </row>
    <row r="1990">
      <c r="A1990" s="5"/>
      <c r="B1990" s="6"/>
      <c r="C1990" s="6"/>
    </row>
    <row r="1991">
      <c r="A1991" s="5"/>
      <c r="B1991" s="6"/>
      <c r="C1991" s="6"/>
    </row>
    <row r="1992">
      <c r="A1992" s="5"/>
      <c r="B1992" s="6"/>
      <c r="C1992" s="6"/>
    </row>
    <row r="1993">
      <c r="A1993" s="5"/>
      <c r="B1993" s="6"/>
      <c r="C1993" s="6"/>
    </row>
    <row r="1994">
      <c r="A1994" s="5"/>
      <c r="B1994" s="6"/>
      <c r="C1994" s="6"/>
    </row>
    <row r="1995">
      <c r="A1995" s="5"/>
      <c r="B1995" s="6"/>
      <c r="C1995" s="6"/>
    </row>
    <row r="1996">
      <c r="A1996" s="5"/>
      <c r="B1996" s="6"/>
      <c r="C1996" s="6"/>
    </row>
    <row r="1997">
      <c r="A1997" s="5"/>
      <c r="B1997" s="6"/>
      <c r="C1997" s="6"/>
    </row>
    <row r="1998">
      <c r="A1998" s="5"/>
      <c r="B1998" s="6"/>
      <c r="C1998" s="6"/>
    </row>
    <row r="1999">
      <c r="A1999" s="5"/>
      <c r="B1999" s="6"/>
      <c r="C1999" s="6"/>
    </row>
    <row r="2000">
      <c r="A2000" s="5"/>
      <c r="B2000" s="6"/>
      <c r="C2000" s="6"/>
    </row>
    <row r="2001">
      <c r="A2001" s="5"/>
      <c r="B2001" s="6"/>
      <c r="C2001" s="6"/>
    </row>
    <row r="2002">
      <c r="A2002" s="5"/>
      <c r="B2002" s="6"/>
      <c r="C2002" s="6"/>
    </row>
    <row r="2003">
      <c r="A2003" s="5"/>
      <c r="B2003" s="6"/>
      <c r="C2003" s="6"/>
    </row>
    <row r="2004">
      <c r="A2004" s="5"/>
      <c r="B2004" s="6"/>
      <c r="C2004" s="6"/>
    </row>
    <row r="2005">
      <c r="A2005" s="5"/>
      <c r="B2005" s="6"/>
      <c r="C2005" s="6"/>
    </row>
    <row r="2006">
      <c r="A2006" s="5"/>
      <c r="B2006" s="6"/>
      <c r="C2006" s="6"/>
    </row>
    <row r="2007">
      <c r="A2007" s="5"/>
      <c r="B2007" s="6"/>
      <c r="C2007" s="6"/>
    </row>
    <row r="2008">
      <c r="A2008" s="5"/>
      <c r="B2008" s="6"/>
      <c r="C2008" s="6"/>
    </row>
    <row r="2009">
      <c r="A2009" s="5"/>
      <c r="B2009" s="6"/>
      <c r="C2009" s="6"/>
    </row>
    <row r="2010">
      <c r="A2010" s="5"/>
      <c r="B2010" s="6"/>
      <c r="C2010" s="6"/>
    </row>
    <row r="2011">
      <c r="A2011" s="5"/>
      <c r="B2011" s="6"/>
      <c r="C2011" s="6"/>
    </row>
    <row r="2012">
      <c r="A2012" s="5"/>
      <c r="B2012" s="6"/>
      <c r="C2012" s="6"/>
    </row>
    <row r="2013">
      <c r="A2013" s="5"/>
      <c r="B2013" s="6"/>
      <c r="C2013" s="6"/>
    </row>
    <row r="2014">
      <c r="A2014" s="5"/>
      <c r="B2014" s="6"/>
      <c r="C2014" s="6"/>
    </row>
    <row r="2015">
      <c r="A2015" s="5"/>
      <c r="B2015" s="6"/>
      <c r="C2015" s="6"/>
    </row>
    <row r="2016">
      <c r="A2016" s="5"/>
      <c r="B2016" s="6"/>
      <c r="C2016" s="6"/>
    </row>
    <row r="2017">
      <c r="A2017" s="5"/>
      <c r="B2017" s="6"/>
      <c r="C2017" s="6"/>
    </row>
    <row r="2018">
      <c r="A2018" s="5"/>
      <c r="B2018" s="6"/>
      <c r="C201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5" max="5" width="29.25"/>
  </cols>
  <sheetData>
    <row r="1">
      <c r="A1" s="7" t="str">
        <f>IFERROR(__xludf.DUMMYFUNCTION("QUERY(
  data_model!A:C,
  ""SELECT A, B, C WHERE C IS NOT NULL"",
  1
)
"),"FECHA")</f>
        <v>FECHA</v>
      </c>
      <c r="B1" s="7" t="str">
        <f>IFERROR(__xludf.DUMMYFUNCTION("""COMPUTED_VALUE"""),"FUNCION")</f>
        <v>FUNCION</v>
      </c>
      <c r="C1" s="7" t="str">
        <f>IFERROR(__xludf.DUMMYFUNCTION("""COMPUTED_VALUE"""),"GASTO (MM$)")</f>
        <v>GASTO (MM$)</v>
      </c>
      <c r="D1" s="4" t="s">
        <v>35</v>
      </c>
      <c r="E1" s="4" t="s">
        <v>33</v>
      </c>
      <c r="F1" s="7" t="s">
        <v>34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f>IFERROR(__xludf.DUMMYFUNCTION("""COMPUTED_VALUE"""),29221.0)</f>
        <v>29221</v>
      </c>
      <c r="B2" s="6" t="str">
        <f>IFERROR(__xludf.DUMMYFUNCTION("""COMPUTED_VALUE"""),"gpc_pib")</f>
        <v>gpc_pib</v>
      </c>
      <c r="C2" s="6">
        <f>IFERROR(__xludf.DUMMYFUNCTION("""COMPUTED_VALUE"""),29.0371464921598)</f>
        <v>29.03714649</v>
      </c>
      <c r="D2" s="6">
        <f t="array" ref="D2:D1866">IF(A2:A1866="","",YEAR(A2:A1866))</f>
        <v>1980</v>
      </c>
      <c r="E2" s="6" t="str">
        <f t="array" ref="E2:E1866">IF(B2:B1866="gpc_pib","PIB",PROPER(SUBSTITUTE(SUBSTITUTE(SUBSTITUTE(B2:B1866,"gpc_",""),"_pib",""),"_"," ")))
</f>
        <v>PIB</v>
      </c>
      <c r="F2" s="6">
        <v>29.0371464921598</v>
      </c>
    </row>
    <row r="3">
      <c r="A3" s="9">
        <f>IFERROR(__xludf.DUMMYFUNCTION("""COMPUTED_VALUE"""),29221.0)</f>
        <v>29221</v>
      </c>
      <c r="B3" s="6" t="str">
        <f>IFERROR(__xludf.DUMMYFUNCTION("""COMPUTED_VALUE"""),"gpc_funcionamiento_estado_pib")</f>
        <v>gpc_funcionamiento_estado_pib</v>
      </c>
      <c r="C3" s="6">
        <f>IFERROR(__xludf.DUMMYFUNCTION("""COMPUTED_VALUE"""),5.36965402960544)</f>
        <v>5.36965403</v>
      </c>
      <c r="D3" s="6">
        <v>1980.0</v>
      </c>
      <c r="E3" s="6" t="s">
        <v>36</v>
      </c>
      <c r="F3" s="6">
        <v>5.36965402960544</v>
      </c>
    </row>
    <row r="4">
      <c r="A4" s="9">
        <f>IFERROR(__xludf.DUMMYFUNCTION("""COMPUTED_VALUE"""),29221.0)</f>
        <v>29221</v>
      </c>
      <c r="B4" s="6" t="str">
        <f>IFERROR(__xludf.DUMMYFUNCTION("""COMPUTED_VALUE"""),"gpc_administracion_general_pib")</f>
        <v>gpc_administracion_general_pib</v>
      </c>
      <c r="C4" s="6">
        <f>IFERROR(__xludf.DUMMYFUNCTION("""COMPUTED_VALUE"""),1.84961529673946)</f>
        <v>1.849615297</v>
      </c>
      <c r="D4" s="6">
        <v>1980.0</v>
      </c>
      <c r="E4" s="6" t="s">
        <v>37</v>
      </c>
      <c r="F4" s="6">
        <v>1.84961529673946</v>
      </c>
    </row>
    <row r="5">
      <c r="A5" s="9">
        <f>IFERROR(__xludf.DUMMYFUNCTION("""COMPUTED_VALUE"""),29221.0)</f>
        <v>29221</v>
      </c>
      <c r="B5" s="6" t="str">
        <f>IFERROR(__xludf.DUMMYFUNCTION("""COMPUTED_VALUE"""),"gpc_justicia_pib")</f>
        <v>gpc_justicia_pib</v>
      </c>
      <c r="C5" s="6">
        <f>IFERROR(__xludf.DUMMYFUNCTION("""COMPUTED_VALUE"""),0.32884533811118)</f>
        <v>0.3288453381</v>
      </c>
      <c r="D5" s="6">
        <v>1980.0</v>
      </c>
      <c r="E5" s="6" t="s">
        <v>38</v>
      </c>
      <c r="F5" s="6">
        <v>0.32884533811118</v>
      </c>
    </row>
    <row r="6">
      <c r="A6" s="9">
        <f>IFERROR(__xludf.DUMMYFUNCTION("""COMPUTED_VALUE"""),29221.0)</f>
        <v>29221</v>
      </c>
      <c r="B6" s="6" t="str">
        <f>IFERROR(__xludf.DUMMYFUNCTION("""COMPUTED_VALUE"""),"gpc_defensa_seguridad_pib")</f>
        <v>gpc_defensa_seguridad_pib</v>
      </c>
      <c r="C6" s="6">
        <f>IFERROR(__xludf.DUMMYFUNCTION("""COMPUTED_VALUE"""),3.19119339475479)</f>
        <v>3.191193395</v>
      </c>
      <c r="D6" s="6">
        <v>1980.0</v>
      </c>
      <c r="E6" s="6" t="s">
        <v>39</v>
      </c>
      <c r="F6" s="6">
        <v>3.19119339475479</v>
      </c>
    </row>
    <row r="7">
      <c r="A7" s="9">
        <f>IFERROR(__xludf.DUMMYFUNCTION("""COMPUTED_VALUE"""),29221.0)</f>
        <v>29221</v>
      </c>
      <c r="B7" s="6" t="str">
        <f>IFERROR(__xludf.DUMMYFUNCTION("""COMPUTED_VALUE"""),"gpc_servicios_sociales_pib")</f>
        <v>gpc_servicios_sociales_pib</v>
      </c>
      <c r="C7" s="6">
        <f>IFERROR(__xludf.DUMMYFUNCTION("""COMPUTED_VALUE"""),14.5054736342083)</f>
        <v>14.50547363</v>
      </c>
      <c r="D7" s="6">
        <v>1980.0</v>
      </c>
      <c r="E7" s="6" t="s">
        <v>40</v>
      </c>
      <c r="F7" s="6">
        <v>14.5054736342083</v>
      </c>
    </row>
    <row r="8">
      <c r="A8" s="9">
        <f>IFERROR(__xludf.DUMMYFUNCTION("""COMPUTED_VALUE"""),29221.0)</f>
        <v>29221</v>
      </c>
      <c r="B8" s="6" t="str">
        <f>IFERROR(__xludf.DUMMYFUNCTION("""COMPUTED_VALUE"""),"gpc_educacion_basica_pib")</f>
        <v>gpc_educacion_basica_pib</v>
      </c>
      <c r="C8" s="6">
        <f>IFERROR(__xludf.DUMMYFUNCTION("""COMPUTED_VALUE"""),2.02497873277004)</f>
        <v>2.024978733</v>
      </c>
      <c r="D8" s="6">
        <v>1980.0</v>
      </c>
      <c r="E8" s="6" t="s">
        <v>41</v>
      </c>
      <c r="F8" s="6">
        <v>2.02497873277004</v>
      </c>
    </row>
    <row r="9">
      <c r="A9" s="9">
        <f>IFERROR(__xludf.DUMMYFUNCTION("""COMPUTED_VALUE"""),29221.0)</f>
        <v>29221</v>
      </c>
      <c r="B9" s="6" t="str">
        <f>IFERROR(__xludf.DUMMYFUNCTION("""COMPUTED_VALUE"""),"gpc_educacion_universitaria_pib")</f>
        <v>gpc_educacion_universitaria_pib</v>
      </c>
      <c r="C9" s="6">
        <f>IFERROR(__xludf.DUMMYFUNCTION("""COMPUTED_VALUE"""),0.453309991488944)</f>
        <v>0.4533099915</v>
      </c>
      <c r="D9" s="6">
        <v>1980.0</v>
      </c>
      <c r="E9" s="6" t="s">
        <v>42</v>
      </c>
      <c r="F9" s="6">
        <v>0.453309991488944</v>
      </c>
    </row>
    <row r="10">
      <c r="A10" s="9">
        <f>IFERROR(__xludf.DUMMYFUNCTION("""COMPUTED_VALUE"""),29221.0)</f>
        <v>29221</v>
      </c>
      <c r="B10" s="6" t="str">
        <f>IFERROR(__xludf.DUMMYFUNCTION("""COMPUTED_VALUE"""),"gpc_ciencia_tecnica_pib")</f>
        <v>gpc_ciencia_tecnica_pib</v>
      </c>
      <c r="C10" s="6">
        <f>IFERROR(__xludf.DUMMYFUNCTION("""COMPUTED_VALUE"""),0.251231805850851)</f>
        <v>0.2512318059</v>
      </c>
      <c r="D10" s="6">
        <v>1980.0</v>
      </c>
      <c r="E10" s="6" t="s">
        <v>43</v>
      </c>
      <c r="F10" s="6">
        <v>0.251231805850851</v>
      </c>
    </row>
    <row r="11">
      <c r="A11" s="9">
        <f>IFERROR(__xludf.DUMMYFUNCTION("""COMPUTED_VALUE"""),29221.0)</f>
        <v>29221</v>
      </c>
      <c r="B11" s="6" t="str">
        <f>IFERROR(__xludf.DUMMYFUNCTION("""COMPUTED_VALUE"""),"gpc_cultura_pib")</f>
        <v>gpc_cultura_pib</v>
      </c>
      <c r="C11" s="6">
        <f>IFERROR(__xludf.DUMMYFUNCTION("""COMPUTED_VALUE"""),0.0704388240703323)</f>
        <v>0.07043882407</v>
      </c>
      <c r="D11" s="6">
        <v>1980.0</v>
      </c>
      <c r="E11" s="6" t="s">
        <v>44</v>
      </c>
      <c r="F11" s="6">
        <v>0.0704388240703323</v>
      </c>
    </row>
    <row r="12">
      <c r="A12" s="9">
        <f>IFERROR(__xludf.DUMMYFUNCTION("""COMPUTED_VALUE"""),29221.0)</f>
        <v>29221</v>
      </c>
      <c r="B12" s="6" t="str">
        <f>IFERROR(__xludf.DUMMYFUNCTION("""COMPUTED_VALUE"""),"gpc_educacion_cultura_sin_discriminar_pib")</f>
        <v>gpc_educacion_cultura_sin_discriminar_pib</v>
      </c>
      <c r="C12" s="6">
        <f>IFERROR(__xludf.DUMMYFUNCTION("""COMPUTED_VALUE"""),0.187836864187552)</f>
        <v>0.1878368642</v>
      </c>
      <c r="D12" s="6">
        <v>1980.0</v>
      </c>
      <c r="E12" s="6" t="s">
        <v>45</v>
      </c>
      <c r="F12" s="6">
        <v>0.187836864187552</v>
      </c>
    </row>
    <row r="13">
      <c r="A13" s="9">
        <f>IFERROR(__xludf.DUMMYFUNCTION("""COMPUTED_VALUE"""),29221.0)</f>
        <v>29221</v>
      </c>
      <c r="B13" s="6" t="str">
        <f>IFERROR(__xludf.DUMMYFUNCTION("""COMPUTED_VALUE"""),"gpc_atencion_salud_pib")</f>
        <v>gpc_atencion_salud_pib</v>
      </c>
      <c r="C13" s="6">
        <f>IFERROR(__xludf.DUMMYFUNCTION("""COMPUTED_VALUE"""),1.16087184147473)</f>
        <v>1.160871841</v>
      </c>
      <c r="D13" s="6">
        <v>1980.0</v>
      </c>
      <c r="E13" s="6" t="s">
        <v>46</v>
      </c>
      <c r="F13" s="6">
        <v>1.16087184147473</v>
      </c>
    </row>
    <row r="14">
      <c r="A14" s="9">
        <f>IFERROR(__xludf.DUMMYFUNCTION("""COMPUTED_VALUE"""),29221.0)</f>
        <v>29221</v>
      </c>
      <c r="B14" s="6" t="str">
        <f>IFERROR(__xludf.DUMMYFUNCTION("""COMPUTED_VALUE"""),"gpc_obras_sociales_salud_pib")</f>
        <v>gpc_obras_sociales_salud_pib</v>
      </c>
      <c r="C14" s="6">
        <f>IFERROR(__xludf.DUMMYFUNCTION("""COMPUTED_VALUE"""),1.6021218796724)</f>
        <v>1.60212188</v>
      </c>
      <c r="D14" s="6">
        <v>1980.0</v>
      </c>
      <c r="E14" s="6" t="s">
        <v>47</v>
      </c>
      <c r="F14" s="6">
        <v>1.6021218796724</v>
      </c>
    </row>
    <row r="15">
      <c r="A15" s="9">
        <f>IFERROR(__xludf.DUMMYFUNCTION("""COMPUTED_VALUE"""),29221.0)</f>
        <v>29221</v>
      </c>
      <c r="B15" s="6" t="str">
        <f>IFERROR(__xludf.DUMMYFUNCTION("""COMPUTED_VALUE"""),"gpc_inssjyp_salud_pib")</f>
        <v>gpc_inssjyp_salud_pib</v>
      </c>
      <c r="C15" s="6">
        <f>IFERROR(__xludf.DUMMYFUNCTION("""COMPUTED_VALUE"""),0.414884673774257)</f>
        <v>0.4148846738</v>
      </c>
      <c r="D15" s="6">
        <v>1980.0</v>
      </c>
      <c r="E15" s="6" t="s">
        <v>48</v>
      </c>
      <c r="F15" s="6">
        <v>0.414884673774257</v>
      </c>
    </row>
    <row r="16">
      <c r="A16" s="9">
        <f>IFERROR(__xludf.DUMMYFUNCTION("""COMPUTED_VALUE"""),29221.0)</f>
        <v>29221</v>
      </c>
      <c r="B16" s="6" t="str">
        <f>IFERROR(__xludf.DUMMYFUNCTION("""COMPUTED_VALUE"""),"gpc_agua_alcantarillado_pib")</f>
        <v>gpc_agua_alcantarillado_pib</v>
      </c>
      <c r="C16" s="6">
        <f>IFERROR(__xludf.DUMMYFUNCTION("""COMPUTED_VALUE"""),0.239474735227702)</f>
        <v>0.2394747352</v>
      </c>
      <c r="D16" s="6">
        <v>1980.0</v>
      </c>
      <c r="E16" s="6" t="s">
        <v>49</v>
      </c>
      <c r="F16" s="6">
        <v>0.239474735227702</v>
      </c>
    </row>
    <row r="17">
      <c r="A17" s="9">
        <f>IFERROR(__xludf.DUMMYFUNCTION("""COMPUTED_VALUE"""),29221.0)</f>
        <v>29221</v>
      </c>
      <c r="B17" s="6" t="str">
        <f>IFERROR(__xludf.DUMMYFUNCTION("""COMPUTED_VALUE"""),"gpc_vivienda_urbanismo_pib")</f>
        <v>gpc_vivienda_urbanismo_pib</v>
      </c>
      <c r="C17" s="6">
        <f>IFERROR(__xludf.DUMMYFUNCTION("""COMPUTED_VALUE"""),0.781870947180688)</f>
        <v>0.7818709472</v>
      </c>
      <c r="D17" s="6">
        <v>1980.0</v>
      </c>
      <c r="E17" s="6" t="s">
        <v>50</v>
      </c>
      <c r="F17" s="6">
        <v>0.781870947180688</v>
      </c>
    </row>
    <row r="18">
      <c r="A18" s="9">
        <f>IFERROR(__xludf.DUMMYFUNCTION("""COMPUTED_VALUE"""),29221.0)</f>
        <v>29221</v>
      </c>
      <c r="B18" s="6" t="str">
        <f>IFERROR(__xludf.DUMMYFUNCTION("""COMPUTED_VALUE"""),"gpc_promocion_asistencia_social_pib")</f>
        <v>gpc_promocion_asistencia_social_pib</v>
      </c>
      <c r="C18" s="6">
        <f>IFERROR(__xludf.DUMMYFUNCTION("""COMPUTED_VALUE"""),0.469522961111524)</f>
        <v>0.4695229611</v>
      </c>
      <c r="D18" s="6">
        <v>1980.0</v>
      </c>
      <c r="E18" s="6" t="s">
        <v>51</v>
      </c>
      <c r="F18" s="6">
        <v>0.469522961111524</v>
      </c>
    </row>
    <row r="19">
      <c r="A19" s="9">
        <f>IFERROR(__xludf.DUMMYFUNCTION("""COMPUTED_VALUE"""),29221.0)</f>
        <v>29221</v>
      </c>
      <c r="B19" s="6" t="str">
        <f>IFERROR(__xludf.DUMMYFUNCTION("""COMPUTED_VALUE"""),"gpc_obras_sociales_prestaciones_pib")</f>
        <v>gpc_obras_sociales_prestaciones_pib</v>
      </c>
      <c r="C19" s="6">
        <f>IFERROR(__xludf.DUMMYFUNCTION("""COMPUTED_VALUE"""),0.235112786443145)</f>
        <v>0.2351127864</v>
      </c>
      <c r="D19" s="6">
        <v>1980.0</v>
      </c>
      <c r="E19" s="6" t="s">
        <v>52</v>
      </c>
      <c r="F19" s="6">
        <v>0.235112786443145</v>
      </c>
    </row>
    <row r="20">
      <c r="A20" s="9">
        <f>IFERROR(__xludf.DUMMYFUNCTION("""COMPUTED_VALUE"""),29221.0)</f>
        <v>29221</v>
      </c>
      <c r="B20" s="6" t="str">
        <f>IFERROR(__xludf.DUMMYFUNCTION("""COMPUTED_VALUE"""),"gpc_inssjyp_prestaciones_pib")</f>
        <v>gpc_inssjyp_prestaciones_pib</v>
      </c>
      <c r="C20" s="6">
        <f>IFERROR(__xludf.DUMMYFUNCTION("""COMPUTED_VALUE"""),0.0312278786711806)</f>
        <v>0.03122787867</v>
      </c>
      <c r="D20" s="6">
        <v>1980.0</v>
      </c>
      <c r="E20" s="6" t="s">
        <v>53</v>
      </c>
      <c r="F20" s="6">
        <v>0.0312278786711806</v>
      </c>
    </row>
    <row r="21">
      <c r="A21" s="9">
        <f>IFERROR(__xludf.DUMMYFUNCTION("""COMPUTED_VALUE"""),29221.0)</f>
        <v>29221</v>
      </c>
      <c r="B21" s="6" t="str">
        <f>IFERROR(__xludf.DUMMYFUNCTION("""COMPUTED_VALUE"""),"gpc_prevision_social_pib")</f>
        <v>gpc_prevision_social_pib</v>
      </c>
      <c r="C21" s="6">
        <f>IFERROR(__xludf.DUMMYFUNCTION("""COMPUTED_VALUE"""),5.17820684125517)</f>
        <v>5.178206841</v>
      </c>
      <c r="D21" s="6">
        <v>1980.0</v>
      </c>
      <c r="E21" s="6" t="s">
        <v>54</v>
      </c>
      <c r="F21" s="6">
        <v>5.17820684125517</v>
      </c>
    </row>
    <row r="22">
      <c r="A22" s="9">
        <f>IFERROR(__xludf.DUMMYFUNCTION("""COMPUTED_VALUE"""),29221.0)</f>
        <v>29221</v>
      </c>
      <c r="B22" s="6" t="str">
        <f>IFERROR(__xludf.DUMMYFUNCTION("""COMPUTED_VALUE"""),"gpc_programas_empleo_pib")</f>
        <v>gpc_programas_empleo_pib</v>
      </c>
      <c r="C22" s="6">
        <f>IFERROR(__xludf.DUMMYFUNCTION("""COMPUTED_VALUE"""),0.0258275688257885)</f>
        <v>0.02582756883</v>
      </c>
      <c r="D22" s="6">
        <v>1980.0</v>
      </c>
      <c r="E22" s="6" t="s">
        <v>55</v>
      </c>
      <c r="F22" s="6">
        <v>0.0258275688257885</v>
      </c>
    </row>
    <row r="23">
      <c r="A23" s="9">
        <f>IFERROR(__xludf.DUMMYFUNCTION("""COMPUTED_VALUE"""),29221.0)</f>
        <v>29221</v>
      </c>
      <c r="B23" s="6" t="str">
        <f>IFERROR(__xludf.DUMMYFUNCTION("""COMPUTED_VALUE"""),"gpc_asignaciones_familiares_pib")</f>
        <v>gpc_asignaciones_familiares_pib</v>
      </c>
      <c r="C23" s="6">
        <f>IFERROR(__xludf.DUMMYFUNCTION("""COMPUTED_VALUE"""),0.770671174153505)</f>
        <v>0.7706711742</v>
      </c>
      <c r="D23" s="6">
        <v>1980.0</v>
      </c>
      <c r="E23" s="6" t="s">
        <v>56</v>
      </c>
      <c r="F23" s="6">
        <v>0.770671174153505</v>
      </c>
    </row>
    <row r="24">
      <c r="A24" s="9">
        <f>IFERROR(__xludf.DUMMYFUNCTION("""COMPUTED_VALUE"""),29221.0)</f>
        <v>29221</v>
      </c>
      <c r="B24" s="6" t="str">
        <f>IFERROR(__xludf.DUMMYFUNCTION("""COMPUTED_VALUE"""),"gpc_otros_servicios_urbanos_pib")</f>
        <v>gpc_otros_servicios_urbanos_pib</v>
      </c>
      <c r="C24" s="6">
        <f>IFERROR(__xludf.DUMMYFUNCTION("""COMPUTED_VALUE"""),0.607884128050547)</f>
        <v>0.6078841281</v>
      </c>
      <c r="D24" s="6">
        <v>1980.0</v>
      </c>
      <c r="E24" s="6" t="s">
        <v>57</v>
      </c>
      <c r="F24" s="6">
        <v>0.607884128050547</v>
      </c>
    </row>
    <row r="25">
      <c r="A25" s="9">
        <f>IFERROR(__xludf.DUMMYFUNCTION("""COMPUTED_VALUE"""),29221.0)</f>
        <v>29221</v>
      </c>
      <c r="B25" s="6" t="str">
        <f>IFERROR(__xludf.DUMMYFUNCTION("""COMPUTED_VALUE"""),"gpc_servicios_economicos_pib")</f>
        <v>gpc_servicios_economicos_pib</v>
      </c>
      <c r="C25" s="6">
        <f>IFERROR(__xludf.DUMMYFUNCTION("""COMPUTED_VALUE"""),6.85618513871731)</f>
        <v>6.856185139</v>
      </c>
      <c r="D25" s="6">
        <v>1980.0</v>
      </c>
      <c r="E25" s="6" t="s">
        <v>58</v>
      </c>
      <c r="F25" s="6">
        <v>6.85618513871731</v>
      </c>
    </row>
    <row r="26">
      <c r="A26" s="9">
        <f>IFERROR(__xludf.DUMMYFUNCTION("""COMPUTED_VALUE"""),29221.0)</f>
        <v>29221</v>
      </c>
      <c r="B26" s="6" t="str">
        <f>IFERROR(__xludf.DUMMYFUNCTION("""COMPUTED_VALUE"""),"gpc_produccion_primaria_pib")</f>
        <v>gpc_produccion_primaria_pib</v>
      </c>
      <c r="C26" s="6">
        <f>IFERROR(__xludf.DUMMYFUNCTION("""COMPUTED_VALUE"""),0.515765636744978)</f>
        <v>0.5157656367</v>
      </c>
      <c r="D26" s="6">
        <v>1980.0</v>
      </c>
      <c r="E26" s="6" t="s">
        <v>59</v>
      </c>
      <c r="F26" s="6">
        <v>0.515765636744978</v>
      </c>
    </row>
    <row r="27">
      <c r="A27" s="9">
        <f>IFERROR(__xludf.DUMMYFUNCTION("""COMPUTED_VALUE"""),29221.0)</f>
        <v>29221</v>
      </c>
      <c r="B27" s="6" t="str">
        <f>IFERROR(__xludf.DUMMYFUNCTION("""COMPUTED_VALUE"""),"gpc_energia_combustible_pib")</f>
        <v>gpc_energia_combustible_pib</v>
      </c>
      <c r="C27" s="6">
        <f>IFERROR(__xludf.DUMMYFUNCTION("""COMPUTED_VALUE"""),2.42010967264515)</f>
        <v>2.420109673</v>
      </c>
      <c r="D27" s="6">
        <v>1980.0</v>
      </c>
      <c r="E27" s="6" t="s">
        <v>60</v>
      </c>
      <c r="F27" s="6">
        <v>2.42010967264515</v>
      </c>
    </row>
    <row r="28">
      <c r="A28" s="9">
        <f>IFERROR(__xludf.DUMMYFUNCTION("""COMPUTED_VALUE"""),29221.0)</f>
        <v>29221</v>
      </c>
      <c r="B28" s="6" t="str">
        <f>IFERROR(__xludf.DUMMYFUNCTION("""COMPUTED_VALUE"""),"gpc_industria_pib")</f>
        <v>gpc_industria_pib</v>
      </c>
      <c r="C28" s="6">
        <f>IFERROR(__xludf.DUMMYFUNCTION("""COMPUTED_VALUE"""),0.448835519552453)</f>
        <v>0.4488355196</v>
      </c>
      <c r="D28" s="6">
        <v>1980.0</v>
      </c>
      <c r="E28" s="6" t="s">
        <v>61</v>
      </c>
      <c r="F28" s="6">
        <v>0.448835519552453</v>
      </c>
    </row>
    <row r="29">
      <c r="A29" s="9">
        <f>IFERROR(__xludf.DUMMYFUNCTION("""COMPUTED_VALUE"""),29221.0)</f>
        <v>29221</v>
      </c>
      <c r="B29" s="6" t="str">
        <f>IFERROR(__xludf.DUMMYFUNCTION("""COMPUTED_VALUE"""),"gpc_transporte_pib")</f>
        <v>gpc_transporte_pib</v>
      </c>
      <c r="C29" s="6">
        <f>IFERROR(__xludf.DUMMYFUNCTION("""COMPUTED_VALUE"""),2.30496406894664)</f>
        <v>2.304964069</v>
      </c>
      <c r="D29" s="6">
        <v>1980.0</v>
      </c>
      <c r="E29" s="6" t="s">
        <v>62</v>
      </c>
      <c r="F29" s="6">
        <v>2.30496406894664</v>
      </c>
    </row>
    <row r="30">
      <c r="A30" s="9">
        <f>IFERROR(__xludf.DUMMYFUNCTION("""COMPUTED_VALUE"""),29221.0)</f>
        <v>29221</v>
      </c>
      <c r="B30" s="6" t="str">
        <f>IFERROR(__xludf.DUMMYFUNCTION("""COMPUTED_VALUE"""),"gpc_comunicaciones_pib")</f>
        <v>gpc_comunicaciones_pib</v>
      </c>
      <c r="C30" s="6">
        <f>IFERROR(__xludf.DUMMYFUNCTION("""COMPUTED_VALUE"""),0.523981143424143)</f>
        <v>0.5239811434</v>
      </c>
      <c r="D30" s="6">
        <v>1980.0</v>
      </c>
      <c r="E30" s="6" t="s">
        <v>63</v>
      </c>
      <c r="F30" s="6">
        <v>0.523981143424143</v>
      </c>
    </row>
    <row r="31">
      <c r="A31" s="9">
        <f>IFERROR(__xludf.DUMMYFUNCTION("""COMPUTED_VALUE"""),29221.0)</f>
        <v>29221</v>
      </c>
      <c r="B31" s="6" t="str">
        <f>IFERROR(__xludf.DUMMYFUNCTION("""COMPUTED_VALUE"""),"gpc_otros_servicios_economicos_pib")</f>
        <v>gpc_otros_servicios_economicos_pib</v>
      </c>
      <c r="C31" s="6">
        <f>IFERROR(__xludf.DUMMYFUNCTION("""COMPUTED_VALUE"""),0.642529097403939)</f>
        <v>0.6425290974</v>
      </c>
      <c r="D31" s="6">
        <v>1980.0</v>
      </c>
      <c r="E31" s="6" t="s">
        <v>64</v>
      </c>
      <c r="F31" s="6">
        <v>0.642529097403939</v>
      </c>
    </row>
    <row r="32">
      <c r="A32" s="9">
        <f>IFERROR(__xludf.DUMMYFUNCTION("""COMPUTED_VALUE"""),29221.0)</f>
        <v>29221</v>
      </c>
      <c r="B32" s="6" t="str">
        <f>IFERROR(__xludf.DUMMYFUNCTION("""COMPUTED_VALUE"""),"gpc_servicios_deuda_publica_pib")</f>
        <v>gpc_servicios_deuda_publica_pib</v>
      </c>
      <c r="C32" s="6">
        <f>IFERROR(__xludf.DUMMYFUNCTION("""COMPUTED_VALUE"""),2.30583368962874)</f>
        <v>2.30583369</v>
      </c>
      <c r="D32" s="6">
        <v>1980.0</v>
      </c>
      <c r="E32" s="6" t="s">
        <v>65</v>
      </c>
      <c r="F32" s="6">
        <v>2.30583368962874</v>
      </c>
    </row>
    <row r="33">
      <c r="A33" s="9">
        <f>IFERROR(__xludf.DUMMYFUNCTION("""COMPUTED_VALUE"""),29587.0)</f>
        <v>29587</v>
      </c>
      <c r="B33" s="6" t="str">
        <f>IFERROR(__xludf.DUMMYFUNCTION("""COMPUTED_VALUE"""),"gpc_pib")</f>
        <v>gpc_pib</v>
      </c>
      <c r="C33" s="6">
        <f>IFERROR(__xludf.DUMMYFUNCTION("""COMPUTED_VALUE"""),31.3425496780339)</f>
        <v>31.34254968</v>
      </c>
      <c r="D33" s="6">
        <v>1981.0</v>
      </c>
      <c r="E33" s="6" t="s">
        <v>66</v>
      </c>
      <c r="F33" s="6">
        <v>31.3425496780339</v>
      </c>
    </row>
    <row r="34">
      <c r="A34" s="9">
        <f>IFERROR(__xludf.DUMMYFUNCTION("""COMPUTED_VALUE"""),29587.0)</f>
        <v>29587</v>
      </c>
      <c r="B34" s="6" t="str">
        <f>IFERROR(__xludf.DUMMYFUNCTION("""COMPUTED_VALUE"""),"gpc_funcionamiento_estado_pib")</f>
        <v>gpc_funcionamiento_estado_pib</v>
      </c>
      <c r="C34" s="6">
        <f>IFERROR(__xludf.DUMMYFUNCTION("""COMPUTED_VALUE"""),5.24268585196555)</f>
        <v>5.242685852</v>
      </c>
      <c r="D34" s="6">
        <v>1981.0</v>
      </c>
      <c r="E34" s="6" t="s">
        <v>36</v>
      </c>
      <c r="F34" s="6">
        <v>5.24268585196555</v>
      </c>
    </row>
    <row r="35">
      <c r="A35" s="9">
        <f>IFERROR(__xludf.DUMMYFUNCTION("""COMPUTED_VALUE"""),29587.0)</f>
        <v>29587</v>
      </c>
      <c r="B35" s="6" t="str">
        <f>IFERROR(__xludf.DUMMYFUNCTION("""COMPUTED_VALUE"""),"gpc_administracion_general_pib")</f>
        <v>gpc_administracion_general_pib</v>
      </c>
      <c r="C35" s="6">
        <f>IFERROR(__xludf.DUMMYFUNCTION("""COMPUTED_VALUE"""),1.84944885061433)</f>
        <v>1.849448851</v>
      </c>
      <c r="D35" s="6">
        <v>1981.0</v>
      </c>
      <c r="E35" s="6" t="s">
        <v>37</v>
      </c>
      <c r="F35" s="6">
        <v>1.84944885061433</v>
      </c>
    </row>
    <row r="36">
      <c r="A36" s="9">
        <f>IFERROR(__xludf.DUMMYFUNCTION("""COMPUTED_VALUE"""),29587.0)</f>
        <v>29587</v>
      </c>
      <c r="B36" s="6" t="str">
        <f>IFERROR(__xludf.DUMMYFUNCTION("""COMPUTED_VALUE"""),"gpc_justicia_pib")</f>
        <v>gpc_justicia_pib</v>
      </c>
      <c r="C36" s="6">
        <f>IFERROR(__xludf.DUMMYFUNCTION("""COMPUTED_VALUE"""),0.28600446492568)</f>
        <v>0.2860044649</v>
      </c>
      <c r="D36" s="6">
        <v>1981.0</v>
      </c>
      <c r="E36" s="6" t="s">
        <v>38</v>
      </c>
      <c r="F36" s="6">
        <v>0.28600446492568</v>
      </c>
    </row>
    <row r="37">
      <c r="A37" s="9">
        <f>IFERROR(__xludf.DUMMYFUNCTION("""COMPUTED_VALUE"""),29587.0)</f>
        <v>29587</v>
      </c>
      <c r="B37" s="6" t="str">
        <f>IFERROR(__xludf.DUMMYFUNCTION("""COMPUTED_VALUE"""),"gpc_defensa_seguridad_pib")</f>
        <v>gpc_defensa_seguridad_pib</v>
      </c>
      <c r="C37" s="6">
        <f>IFERROR(__xludf.DUMMYFUNCTION("""COMPUTED_VALUE"""),3.10723253642554)</f>
        <v>3.107232536</v>
      </c>
      <c r="D37" s="6">
        <v>1981.0</v>
      </c>
      <c r="E37" s="6" t="s">
        <v>39</v>
      </c>
      <c r="F37" s="6">
        <v>3.10723253642554</v>
      </c>
    </row>
    <row r="38">
      <c r="A38" s="9">
        <f>IFERROR(__xludf.DUMMYFUNCTION("""COMPUTED_VALUE"""),29587.0)</f>
        <v>29587</v>
      </c>
      <c r="B38" s="6" t="str">
        <f>IFERROR(__xludf.DUMMYFUNCTION("""COMPUTED_VALUE"""),"gpc_servicios_sociales_pib")</f>
        <v>gpc_servicios_sociales_pib</v>
      </c>
      <c r="C38" s="6">
        <f>IFERROR(__xludf.DUMMYFUNCTION("""COMPUTED_VALUE"""),14.8897715208822)</f>
        <v>14.88977152</v>
      </c>
      <c r="D38" s="6">
        <v>1981.0</v>
      </c>
      <c r="E38" s="6" t="s">
        <v>40</v>
      </c>
      <c r="F38" s="6">
        <v>14.8897715208822</v>
      </c>
    </row>
    <row r="39">
      <c r="A39" s="9">
        <f>IFERROR(__xludf.DUMMYFUNCTION("""COMPUTED_VALUE"""),29587.0)</f>
        <v>29587</v>
      </c>
      <c r="B39" s="6" t="str">
        <f>IFERROR(__xludf.DUMMYFUNCTION("""COMPUTED_VALUE"""),"gpc_educacion_basica_pib")</f>
        <v>gpc_educacion_basica_pib</v>
      </c>
      <c r="C39" s="6">
        <f>IFERROR(__xludf.DUMMYFUNCTION("""COMPUTED_VALUE"""),1.84122222589511)</f>
        <v>1.841222226</v>
      </c>
      <c r="D39" s="6">
        <v>1981.0</v>
      </c>
      <c r="E39" s="6" t="s">
        <v>41</v>
      </c>
      <c r="F39" s="6">
        <v>1.84122222589511</v>
      </c>
    </row>
    <row r="40">
      <c r="A40" s="9">
        <f>IFERROR(__xludf.DUMMYFUNCTION("""COMPUTED_VALUE"""),29587.0)</f>
        <v>29587</v>
      </c>
      <c r="B40" s="6" t="str">
        <f>IFERROR(__xludf.DUMMYFUNCTION("""COMPUTED_VALUE"""),"gpc_educacion_universitaria_pib")</f>
        <v>gpc_educacion_universitaria_pib</v>
      </c>
      <c r="C40" s="6">
        <f>IFERROR(__xludf.DUMMYFUNCTION("""COMPUTED_VALUE"""),0.475915366539897)</f>
        <v>0.4759153665</v>
      </c>
      <c r="D40" s="6">
        <v>1981.0</v>
      </c>
      <c r="E40" s="6" t="s">
        <v>42</v>
      </c>
      <c r="F40" s="6">
        <v>0.475915366539897</v>
      </c>
    </row>
    <row r="41">
      <c r="A41" s="9">
        <f>IFERROR(__xludf.DUMMYFUNCTION("""COMPUTED_VALUE"""),29587.0)</f>
        <v>29587</v>
      </c>
      <c r="B41" s="6" t="str">
        <f>IFERROR(__xludf.DUMMYFUNCTION("""COMPUTED_VALUE"""),"gpc_ciencia_tecnica_pib")</f>
        <v>gpc_ciencia_tecnica_pib</v>
      </c>
      <c r="C41" s="6">
        <f>IFERROR(__xludf.DUMMYFUNCTION("""COMPUTED_VALUE"""),0.268635772723715)</f>
        <v>0.2686357727</v>
      </c>
      <c r="D41" s="6">
        <v>1981.0</v>
      </c>
      <c r="E41" s="6" t="s">
        <v>43</v>
      </c>
      <c r="F41" s="6">
        <v>0.268635772723715</v>
      </c>
    </row>
    <row r="42">
      <c r="A42" s="9">
        <f>IFERROR(__xludf.DUMMYFUNCTION("""COMPUTED_VALUE"""),29587.0)</f>
        <v>29587</v>
      </c>
      <c r="B42" s="6" t="str">
        <f>IFERROR(__xludf.DUMMYFUNCTION("""COMPUTED_VALUE"""),"gpc_cultura_pib")</f>
        <v>gpc_cultura_pib</v>
      </c>
      <c r="C42" s="6">
        <f>IFERROR(__xludf.DUMMYFUNCTION("""COMPUTED_VALUE"""),0.0752643328751789)</f>
        <v>0.07526433288</v>
      </c>
      <c r="D42" s="6">
        <v>1981.0</v>
      </c>
      <c r="E42" s="6" t="s">
        <v>44</v>
      </c>
      <c r="F42" s="6">
        <v>0.0752643328751789</v>
      </c>
    </row>
    <row r="43">
      <c r="A43" s="9">
        <f>IFERROR(__xludf.DUMMYFUNCTION("""COMPUTED_VALUE"""),29587.0)</f>
        <v>29587</v>
      </c>
      <c r="B43" s="6" t="str">
        <f>IFERROR(__xludf.DUMMYFUNCTION("""COMPUTED_VALUE"""),"gpc_educacion_cultura_sin_discriminar_pib")</f>
        <v>gpc_educacion_cultura_sin_discriminar_pib</v>
      </c>
      <c r="C43" s="6">
        <f>IFERROR(__xludf.DUMMYFUNCTION("""COMPUTED_VALUE"""),0.260530383029465)</f>
        <v>0.260530383</v>
      </c>
      <c r="D43" s="6">
        <v>1981.0</v>
      </c>
      <c r="E43" s="6" t="s">
        <v>45</v>
      </c>
      <c r="F43" s="6">
        <v>0.260530383029465</v>
      </c>
    </row>
    <row r="44">
      <c r="A44" s="9">
        <f>IFERROR(__xludf.DUMMYFUNCTION("""COMPUTED_VALUE"""),29587.0)</f>
        <v>29587</v>
      </c>
      <c r="B44" s="6" t="str">
        <f>IFERROR(__xludf.DUMMYFUNCTION("""COMPUTED_VALUE"""),"gpc_atencion_salud_pib")</f>
        <v>gpc_atencion_salud_pib</v>
      </c>
      <c r="C44" s="6">
        <f>IFERROR(__xludf.DUMMYFUNCTION("""COMPUTED_VALUE"""),1.26647910107366)</f>
        <v>1.266479101</v>
      </c>
      <c r="D44" s="6">
        <v>1981.0</v>
      </c>
      <c r="E44" s="6" t="s">
        <v>46</v>
      </c>
      <c r="F44" s="6">
        <v>1.26647910107366</v>
      </c>
    </row>
    <row r="45">
      <c r="A45" s="9">
        <f>IFERROR(__xludf.DUMMYFUNCTION("""COMPUTED_VALUE"""),29587.0)</f>
        <v>29587</v>
      </c>
      <c r="B45" s="6" t="str">
        <f>IFERROR(__xludf.DUMMYFUNCTION("""COMPUTED_VALUE"""),"gpc_obras_sociales_salud_pib")</f>
        <v>gpc_obras_sociales_salud_pib</v>
      </c>
      <c r="C45" s="6">
        <f>IFERROR(__xludf.DUMMYFUNCTION("""COMPUTED_VALUE"""),2.19780758941842)</f>
        <v>2.197807589</v>
      </c>
      <c r="D45" s="6">
        <v>1981.0</v>
      </c>
      <c r="E45" s="6" t="s">
        <v>47</v>
      </c>
      <c r="F45" s="6">
        <v>2.19780758941842</v>
      </c>
    </row>
    <row r="46">
      <c r="A46" s="9">
        <f>IFERROR(__xludf.DUMMYFUNCTION("""COMPUTED_VALUE"""),29587.0)</f>
        <v>29587</v>
      </c>
      <c r="B46" s="6" t="str">
        <f>IFERROR(__xludf.DUMMYFUNCTION("""COMPUTED_VALUE"""),"gpc_inssjyp_salud_pib")</f>
        <v>gpc_inssjyp_salud_pib</v>
      </c>
      <c r="C46" s="6">
        <f>IFERROR(__xludf.DUMMYFUNCTION("""COMPUTED_VALUE"""),0.506123690765242)</f>
        <v>0.5061236908</v>
      </c>
      <c r="D46" s="6">
        <v>1981.0</v>
      </c>
      <c r="E46" s="6" t="s">
        <v>48</v>
      </c>
      <c r="F46" s="6">
        <v>0.506123690765242</v>
      </c>
    </row>
    <row r="47">
      <c r="A47" s="9">
        <f>IFERROR(__xludf.DUMMYFUNCTION("""COMPUTED_VALUE"""),29587.0)</f>
        <v>29587</v>
      </c>
      <c r="B47" s="6" t="str">
        <f>IFERROR(__xludf.DUMMYFUNCTION("""COMPUTED_VALUE"""),"gpc_agua_alcantarillado_pib")</f>
        <v>gpc_agua_alcantarillado_pib</v>
      </c>
      <c r="C47" s="6">
        <f>IFERROR(__xludf.DUMMYFUNCTION("""COMPUTED_VALUE"""),0.199911124006597)</f>
        <v>0.199911124</v>
      </c>
      <c r="D47" s="6">
        <v>1981.0</v>
      </c>
      <c r="E47" s="6" t="s">
        <v>49</v>
      </c>
      <c r="F47" s="6">
        <v>0.199911124006597</v>
      </c>
    </row>
    <row r="48">
      <c r="A48" s="9">
        <f>IFERROR(__xludf.DUMMYFUNCTION("""COMPUTED_VALUE"""),29587.0)</f>
        <v>29587</v>
      </c>
      <c r="B48" s="6" t="str">
        <f>IFERROR(__xludf.DUMMYFUNCTION("""COMPUTED_VALUE"""),"gpc_vivienda_urbanismo_pib")</f>
        <v>gpc_vivienda_urbanismo_pib</v>
      </c>
      <c r="C48" s="6">
        <f>IFERROR(__xludf.DUMMYFUNCTION("""COMPUTED_VALUE"""),0.450428084437609)</f>
        <v>0.4504280844</v>
      </c>
      <c r="D48" s="6">
        <v>1981.0</v>
      </c>
      <c r="E48" s="6" t="s">
        <v>50</v>
      </c>
      <c r="F48" s="6">
        <v>0.450428084437609</v>
      </c>
    </row>
    <row r="49">
      <c r="A49" s="9">
        <f>IFERROR(__xludf.DUMMYFUNCTION("""COMPUTED_VALUE"""),29587.0)</f>
        <v>29587</v>
      </c>
      <c r="B49" s="6" t="str">
        <f>IFERROR(__xludf.DUMMYFUNCTION("""COMPUTED_VALUE"""),"gpc_promocion_asistencia_social_pib")</f>
        <v>gpc_promocion_asistencia_social_pib</v>
      </c>
      <c r="C49" s="6">
        <f>IFERROR(__xludf.DUMMYFUNCTION("""COMPUTED_VALUE"""),0.512867873100666)</f>
        <v>0.5128678731</v>
      </c>
      <c r="D49" s="6">
        <v>1981.0</v>
      </c>
      <c r="E49" s="6" t="s">
        <v>51</v>
      </c>
      <c r="F49" s="6">
        <v>0.512867873100666</v>
      </c>
    </row>
    <row r="50">
      <c r="A50" s="9">
        <f>IFERROR(__xludf.DUMMYFUNCTION("""COMPUTED_VALUE"""),29587.0)</f>
        <v>29587</v>
      </c>
      <c r="B50" s="6" t="str">
        <f>IFERROR(__xludf.DUMMYFUNCTION("""COMPUTED_VALUE"""),"gpc_obras_sociales_prestaciones_pib")</f>
        <v>gpc_obras_sociales_prestaciones_pib</v>
      </c>
      <c r="C50" s="6">
        <f>IFERROR(__xludf.DUMMYFUNCTION("""COMPUTED_VALUE"""),0.331709345182097)</f>
        <v>0.3317093452</v>
      </c>
      <c r="D50" s="6">
        <v>1981.0</v>
      </c>
      <c r="E50" s="6" t="s">
        <v>52</v>
      </c>
      <c r="F50" s="6">
        <v>0.331709345182097</v>
      </c>
    </row>
    <row r="51">
      <c r="A51" s="9">
        <f>IFERROR(__xludf.DUMMYFUNCTION("""COMPUTED_VALUE"""),29587.0)</f>
        <v>29587</v>
      </c>
      <c r="B51" s="6" t="str">
        <f>IFERROR(__xludf.DUMMYFUNCTION("""COMPUTED_VALUE"""),"gpc_inssjyp_prestaciones_pib")</f>
        <v>gpc_inssjyp_prestaciones_pib</v>
      </c>
      <c r="C51" s="6">
        <f>IFERROR(__xludf.DUMMYFUNCTION("""COMPUTED_VALUE"""),0.0380953315629752)</f>
        <v>0.03809533156</v>
      </c>
      <c r="D51" s="6">
        <v>1981.0</v>
      </c>
      <c r="E51" s="6" t="s">
        <v>53</v>
      </c>
      <c r="F51" s="6">
        <v>0.0380953315629752</v>
      </c>
    </row>
    <row r="52">
      <c r="A52" s="9">
        <f>IFERROR(__xludf.DUMMYFUNCTION("""COMPUTED_VALUE"""),29587.0)</f>
        <v>29587</v>
      </c>
      <c r="B52" s="6" t="str">
        <f>IFERROR(__xludf.DUMMYFUNCTION("""COMPUTED_VALUE"""),"gpc_prevision_social_pib")</f>
        <v>gpc_prevision_social_pib</v>
      </c>
      <c r="C52" s="6">
        <f>IFERROR(__xludf.DUMMYFUNCTION("""COMPUTED_VALUE"""),5.31007237126589)</f>
        <v>5.310072371</v>
      </c>
      <c r="D52" s="6">
        <v>1981.0</v>
      </c>
      <c r="E52" s="6" t="s">
        <v>54</v>
      </c>
      <c r="F52" s="6">
        <v>5.31007237126589</v>
      </c>
    </row>
    <row r="53">
      <c r="A53" s="9">
        <f>IFERROR(__xludf.DUMMYFUNCTION("""COMPUTED_VALUE"""),29587.0)</f>
        <v>29587</v>
      </c>
      <c r="B53" s="6" t="str">
        <f>IFERROR(__xludf.DUMMYFUNCTION("""COMPUTED_VALUE"""),"gpc_programas_empleo_pib")</f>
        <v>gpc_programas_empleo_pib</v>
      </c>
      <c r="C53" s="6">
        <f>IFERROR(__xludf.DUMMYFUNCTION("""COMPUTED_VALUE"""),0.0208424306423572)</f>
        <v>0.02084243064</v>
      </c>
      <c r="D53" s="6">
        <v>1981.0</v>
      </c>
      <c r="E53" s="6" t="s">
        <v>55</v>
      </c>
      <c r="F53" s="6">
        <v>0.0208424306423572</v>
      </c>
    </row>
    <row r="54">
      <c r="A54" s="9">
        <f>IFERROR(__xludf.DUMMYFUNCTION("""COMPUTED_VALUE"""),29587.0)</f>
        <v>29587</v>
      </c>
      <c r="B54" s="6" t="str">
        <f>IFERROR(__xludf.DUMMYFUNCTION("""COMPUTED_VALUE"""),"gpc_asignaciones_familiares_pib")</f>
        <v>gpc_asignaciones_familiares_pib</v>
      </c>
      <c r="C54" s="6">
        <f>IFERROR(__xludf.DUMMYFUNCTION("""COMPUTED_VALUE"""),0.507165812297359)</f>
        <v>0.5071658123</v>
      </c>
      <c r="D54" s="6">
        <v>1981.0</v>
      </c>
      <c r="E54" s="6" t="s">
        <v>56</v>
      </c>
      <c r="F54" s="6">
        <v>0.507165812297359</v>
      </c>
    </row>
    <row r="55">
      <c r="A55" s="9">
        <f>IFERROR(__xludf.DUMMYFUNCTION("""COMPUTED_VALUE"""),29587.0)</f>
        <v>29587</v>
      </c>
      <c r="B55" s="6" t="str">
        <f>IFERROR(__xludf.DUMMYFUNCTION("""COMPUTED_VALUE"""),"gpc_otros_servicios_urbanos_pib")</f>
        <v>gpc_otros_servicios_urbanos_pib</v>
      </c>
      <c r="C55" s="6">
        <f>IFERROR(__xludf.DUMMYFUNCTION("""COMPUTED_VALUE"""),0.62670068606596)</f>
        <v>0.6267006861</v>
      </c>
      <c r="D55" s="6">
        <v>1981.0</v>
      </c>
      <c r="E55" s="6" t="s">
        <v>57</v>
      </c>
      <c r="F55" s="6">
        <v>0.62670068606596</v>
      </c>
    </row>
    <row r="56">
      <c r="A56" s="9">
        <f>IFERROR(__xludf.DUMMYFUNCTION("""COMPUTED_VALUE"""),29587.0)</f>
        <v>29587</v>
      </c>
      <c r="B56" s="6" t="str">
        <f>IFERROR(__xludf.DUMMYFUNCTION("""COMPUTED_VALUE"""),"gpc_servicios_economicos_pib")</f>
        <v>gpc_servicios_economicos_pib</v>
      </c>
      <c r="C56" s="6">
        <f>IFERROR(__xludf.DUMMYFUNCTION("""COMPUTED_VALUE"""),6.48001846218456)</f>
        <v>6.480018462</v>
      </c>
      <c r="D56" s="6">
        <v>1981.0</v>
      </c>
      <c r="E56" s="6" t="s">
        <v>58</v>
      </c>
      <c r="F56" s="6">
        <v>6.48001846218456</v>
      </c>
    </row>
    <row r="57">
      <c r="A57" s="9">
        <f>IFERROR(__xludf.DUMMYFUNCTION("""COMPUTED_VALUE"""),29587.0)</f>
        <v>29587</v>
      </c>
      <c r="B57" s="6" t="str">
        <f>IFERROR(__xludf.DUMMYFUNCTION("""COMPUTED_VALUE"""),"gpc_produccion_primaria_pib")</f>
        <v>gpc_produccion_primaria_pib</v>
      </c>
      <c r="C57" s="6">
        <f>IFERROR(__xludf.DUMMYFUNCTION("""COMPUTED_VALUE"""),0.321040168457362)</f>
        <v>0.3210401685</v>
      </c>
      <c r="D57" s="6">
        <v>1981.0</v>
      </c>
      <c r="E57" s="6" t="s">
        <v>59</v>
      </c>
      <c r="F57" s="6">
        <v>0.321040168457362</v>
      </c>
    </row>
    <row r="58">
      <c r="A58" s="9">
        <f>IFERROR(__xludf.DUMMYFUNCTION("""COMPUTED_VALUE"""),29587.0)</f>
        <v>29587</v>
      </c>
      <c r="B58" s="6" t="str">
        <f>IFERROR(__xludf.DUMMYFUNCTION("""COMPUTED_VALUE"""),"gpc_energia_combustible_pib")</f>
        <v>gpc_energia_combustible_pib</v>
      </c>
      <c r="C58" s="6">
        <f>IFERROR(__xludf.DUMMYFUNCTION("""COMPUTED_VALUE"""),2.87076110964043)</f>
        <v>2.87076111</v>
      </c>
      <c r="D58" s="6">
        <v>1981.0</v>
      </c>
      <c r="E58" s="6" t="s">
        <v>60</v>
      </c>
      <c r="F58" s="6">
        <v>2.87076110964043</v>
      </c>
    </row>
    <row r="59">
      <c r="A59" s="9">
        <f>IFERROR(__xludf.DUMMYFUNCTION("""COMPUTED_VALUE"""),29587.0)</f>
        <v>29587</v>
      </c>
      <c r="B59" s="6" t="str">
        <f>IFERROR(__xludf.DUMMYFUNCTION("""COMPUTED_VALUE"""),"gpc_industria_pib")</f>
        <v>gpc_industria_pib</v>
      </c>
      <c r="C59" s="6">
        <f>IFERROR(__xludf.DUMMYFUNCTION("""COMPUTED_VALUE"""),0.35054167503386)</f>
        <v>0.350541675</v>
      </c>
      <c r="D59" s="6">
        <v>1981.0</v>
      </c>
      <c r="E59" s="6" t="s">
        <v>61</v>
      </c>
      <c r="F59" s="6">
        <v>0.35054167503386</v>
      </c>
    </row>
    <row r="60">
      <c r="A60" s="9">
        <f>IFERROR(__xludf.DUMMYFUNCTION("""COMPUTED_VALUE"""),29587.0)</f>
        <v>29587</v>
      </c>
      <c r="B60" s="6" t="str">
        <f>IFERROR(__xludf.DUMMYFUNCTION("""COMPUTED_VALUE"""),"gpc_transporte_pib")</f>
        <v>gpc_transporte_pib</v>
      </c>
      <c r="C60" s="6">
        <f>IFERROR(__xludf.DUMMYFUNCTION("""COMPUTED_VALUE"""),1.88279471532927)</f>
        <v>1.882794715</v>
      </c>
      <c r="D60" s="6">
        <v>1981.0</v>
      </c>
      <c r="E60" s="6" t="s">
        <v>62</v>
      </c>
      <c r="F60" s="6">
        <v>1.88279471532927</v>
      </c>
    </row>
    <row r="61">
      <c r="A61" s="9">
        <f>IFERROR(__xludf.DUMMYFUNCTION("""COMPUTED_VALUE"""),29587.0)</f>
        <v>29587</v>
      </c>
      <c r="B61" s="6" t="str">
        <f>IFERROR(__xludf.DUMMYFUNCTION("""COMPUTED_VALUE"""),"gpc_comunicaciones_pib")</f>
        <v>gpc_comunicaciones_pib</v>
      </c>
      <c r="C61" s="6">
        <f>IFERROR(__xludf.DUMMYFUNCTION("""COMPUTED_VALUE"""),0.409757684094867)</f>
        <v>0.4097576841</v>
      </c>
      <c r="D61" s="6">
        <v>1981.0</v>
      </c>
      <c r="E61" s="6" t="s">
        <v>63</v>
      </c>
      <c r="F61" s="6">
        <v>0.409757684094867</v>
      </c>
    </row>
    <row r="62">
      <c r="A62" s="9">
        <f>IFERROR(__xludf.DUMMYFUNCTION("""COMPUTED_VALUE"""),29587.0)</f>
        <v>29587</v>
      </c>
      <c r="B62" s="6" t="str">
        <f>IFERROR(__xludf.DUMMYFUNCTION("""COMPUTED_VALUE"""),"gpc_otros_servicios_economicos_pib")</f>
        <v>gpc_otros_servicios_economicos_pib</v>
      </c>
      <c r="C62" s="6">
        <f>IFERROR(__xludf.DUMMYFUNCTION("""COMPUTED_VALUE"""),0.64512310962876)</f>
        <v>0.6451231096</v>
      </c>
      <c r="D62" s="6">
        <v>1981.0</v>
      </c>
      <c r="E62" s="6" t="s">
        <v>64</v>
      </c>
      <c r="F62" s="6">
        <v>0.64512310962876</v>
      </c>
    </row>
    <row r="63">
      <c r="A63" s="9">
        <f>IFERROR(__xludf.DUMMYFUNCTION("""COMPUTED_VALUE"""),29587.0)</f>
        <v>29587</v>
      </c>
      <c r="B63" s="6" t="str">
        <f>IFERROR(__xludf.DUMMYFUNCTION("""COMPUTED_VALUE"""),"gpc_servicios_deuda_publica_pib")</f>
        <v>gpc_servicios_deuda_publica_pib</v>
      </c>
      <c r="C63" s="6">
        <f>IFERROR(__xludf.DUMMYFUNCTION("""COMPUTED_VALUE"""),4.73007384300163)</f>
        <v>4.730073843</v>
      </c>
      <c r="D63" s="6">
        <v>1981.0</v>
      </c>
      <c r="E63" s="6" t="s">
        <v>65</v>
      </c>
      <c r="F63" s="6">
        <v>4.73007384300163</v>
      </c>
    </row>
    <row r="64">
      <c r="A64" s="9">
        <f>IFERROR(__xludf.DUMMYFUNCTION("""COMPUTED_VALUE"""),29952.0)</f>
        <v>29952</v>
      </c>
      <c r="B64" s="6" t="str">
        <f>IFERROR(__xludf.DUMMYFUNCTION("""COMPUTED_VALUE"""),"gpc_pib")</f>
        <v>gpc_pib</v>
      </c>
      <c r="C64" s="6">
        <f>IFERROR(__xludf.DUMMYFUNCTION("""COMPUTED_VALUE"""),28.0466713752136)</f>
        <v>28.04667138</v>
      </c>
      <c r="D64" s="6">
        <v>1982.0</v>
      </c>
      <c r="E64" s="6" t="s">
        <v>66</v>
      </c>
      <c r="F64" s="6">
        <v>28.0466713752136</v>
      </c>
    </row>
    <row r="65">
      <c r="A65" s="9">
        <f>IFERROR(__xludf.DUMMYFUNCTION("""COMPUTED_VALUE"""),29952.0)</f>
        <v>29952</v>
      </c>
      <c r="B65" s="6" t="str">
        <f>IFERROR(__xludf.DUMMYFUNCTION("""COMPUTED_VALUE"""),"gpc_funcionamiento_estado_pib")</f>
        <v>gpc_funcionamiento_estado_pib</v>
      </c>
      <c r="C65" s="6">
        <f>IFERROR(__xludf.DUMMYFUNCTION("""COMPUTED_VALUE"""),4.35422125511031)</f>
        <v>4.354221255</v>
      </c>
      <c r="D65" s="6">
        <v>1982.0</v>
      </c>
      <c r="E65" s="6" t="s">
        <v>36</v>
      </c>
      <c r="F65" s="6">
        <v>4.35422125511031</v>
      </c>
    </row>
    <row r="66">
      <c r="A66" s="9">
        <f>IFERROR(__xludf.DUMMYFUNCTION("""COMPUTED_VALUE"""),29952.0)</f>
        <v>29952</v>
      </c>
      <c r="B66" s="6" t="str">
        <f>IFERROR(__xludf.DUMMYFUNCTION("""COMPUTED_VALUE"""),"gpc_administracion_general_pib")</f>
        <v>gpc_administracion_general_pib</v>
      </c>
      <c r="C66" s="6">
        <f>IFERROR(__xludf.DUMMYFUNCTION("""COMPUTED_VALUE"""),1.33318393199603)</f>
        <v>1.333183932</v>
      </c>
      <c r="D66" s="6">
        <v>1982.0</v>
      </c>
      <c r="E66" s="6" t="s">
        <v>37</v>
      </c>
      <c r="F66" s="6">
        <v>1.33318393199603</v>
      </c>
    </row>
    <row r="67">
      <c r="A67" s="9">
        <f>IFERROR(__xludf.DUMMYFUNCTION("""COMPUTED_VALUE"""),29952.0)</f>
        <v>29952</v>
      </c>
      <c r="B67" s="6" t="str">
        <f>IFERROR(__xludf.DUMMYFUNCTION("""COMPUTED_VALUE"""),"gpc_justicia_pib")</f>
        <v>gpc_justicia_pib</v>
      </c>
      <c r="C67" s="6">
        <f>IFERROR(__xludf.DUMMYFUNCTION("""COMPUTED_VALUE"""),0.221369572507648)</f>
        <v>0.2213695725</v>
      </c>
      <c r="D67" s="6">
        <v>1982.0</v>
      </c>
      <c r="E67" s="6" t="s">
        <v>38</v>
      </c>
      <c r="F67" s="6">
        <v>0.221369572507648</v>
      </c>
    </row>
    <row r="68">
      <c r="A68" s="9">
        <f>IFERROR(__xludf.DUMMYFUNCTION("""COMPUTED_VALUE"""),29952.0)</f>
        <v>29952</v>
      </c>
      <c r="B68" s="6" t="str">
        <f>IFERROR(__xludf.DUMMYFUNCTION("""COMPUTED_VALUE"""),"gpc_defensa_seguridad_pib")</f>
        <v>gpc_defensa_seguridad_pib</v>
      </c>
      <c r="C68" s="6">
        <f>IFERROR(__xludf.DUMMYFUNCTION("""COMPUTED_VALUE"""),2.79966775060664)</f>
        <v>2.799667751</v>
      </c>
      <c r="D68" s="6">
        <v>1982.0</v>
      </c>
      <c r="E68" s="6" t="s">
        <v>39</v>
      </c>
      <c r="F68" s="6">
        <v>2.79966775060664</v>
      </c>
    </row>
    <row r="69">
      <c r="A69" s="9">
        <f>IFERROR(__xludf.DUMMYFUNCTION("""COMPUTED_VALUE"""),29952.0)</f>
        <v>29952</v>
      </c>
      <c r="B69" s="6" t="str">
        <f>IFERROR(__xludf.DUMMYFUNCTION("""COMPUTED_VALUE"""),"gpc_servicios_sociales_pib")</f>
        <v>gpc_servicios_sociales_pib</v>
      </c>
      <c r="C69" s="6">
        <f>IFERROR(__xludf.DUMMYFUNCTION("""COMPUTED_VALUE"""),10.8864103587577)</f>
        <v>10.88641036</v>
      </c>
      <c r="D69" s="6">
        <v>1982.0</v>
      </c>
      <c r="E69" s="6" t="s">
        <v>40</v>
      </c>
      <c r="F69" s="6">
        <v>10.8864103587577</v>
      </c>
    </row>
    <row r="70">
      <c r="A70" s="9">
        <f>IFERROR(__xludf.DUMMYFUNCTION("""COMPUTED_VALUE"""),29952.0)</f>
        <v>29952</v>
      </c>
      <c r="B70" s="6" t="str">
        <f>IFERROR(__xludf.DUMMYFUNCTION("""COMPUTED_VALUE"""),"gpc_educacion_basica_pib")</f>
        <v>gpc_educacion_basica_pib</v>
      </c>
      <c r="C70" s="6">
        <f>IFERROR(__xludf.DUMMYFUNCTION("""COMPUTED_VALUE"""),1.33411566212678)</f>
        <v>1.334115662</v>
      </c>
      <c r="D70" s="6">
        <v>1982.0</v>
      </c>
      <c r="E70" s="6" t="s">
        <v>41</v>
      </c>
      <c r="F70" s="6">
        <v>1.33411566212678</v>
      </c>
    </row>
    <row r="71">
      <c r="A71" s="9">
        <f>IFERROR(__xludf.DUMMYFUNCTION("""COMPUTED_VALUE"""),29952.0)</f>
        <v>29952</v>
      </c>
      <c r="B71" s="6" t="str">
        <f>IFERROR(__xludf.DUMMYFUNCTION("""COMPUTED_VALUE"""),"gpc_educacion_universitaria_pib")</f>
        <v>gpc_educacion_universitaria_pib</v>
      </c>
      <c r="C71" s="6">
        <f>IFERROR(__xludf.DUMMYFUNCTION("""COMPUTED_VALUE"""),0.345840238311565)</f>
        <v>0.3458402383</v>
      </c>
      <c r="D71" s="6">
        <v>1982.0</v>
      </c>
      <c r="E71" s="6" t="s">
        <v>42</v>
      </c>
      <c r="F71" s="6">
        <v>0.345840238311565</v>
      </c>
    </row>
    <row r="72">
      <c r="A72" s="9">
        <f>IFERROR(__xludf.DUMMYFUNCTION("""COMPUTED_VALUE"""),29952.0)</f>
        <v>29952</v>
      </c>
      <c r="B72" s="6" t="str">
        <f>IFERROR(__xludf.DUMMYFUNCTION("""COMPUTED_VALUE"""),"gpc_ciencia_tecnica_pib")</f>
        <v>gpc_ciencia_tecnica_pib</v>
      </c>
      <c r="C72" s="6">
        <f>IFERROR(__xludf.DUMMYFUNCTION("""COMPUTED_VALUE"""),0.223356732045418)</f>
        <v>0.223356732</v>
      </c>
      <c r="D72" s="6">
        <v>1982.0</v>
      </c>
      <c r="E72" s="6" t="s">
        <v>43</v>
      </c>
      <c r="F72" s="6">
        <v>0.223356732045418</v>
      </c>
    </row>
    <row r="73">
      <c r="A73" s="9">
        <f>IFERROR(__xludf.DUMMYFUNCTION("""COMPUTED_VALUE"""),29952.0)</f>
        <v>29952</v>
      </c>
      <c r="B73" s="6" t="str">
        <f>IFERROR(__xludf.DUMMYFUNCTION("""COMPUTED_VALUE"""),"gpc_cultura_pib")</f>
        <v>gpc_cultura_pib</v>
      </c>
      <c r="C73" s="6">
        <f>IFERROR(__xludf.DUMMYFUNCTION("""COMPUTED_VALUE"""),0.0556404670575776)</f>
        <v>0.05564046706</v>
      </c>
      <c r="D73" s="6">
        <v>1982.0</v>
      </c>
      <c r="E73" s="6" t="s">
        <v>44</v>
      </c>
      <c r="F73" s="6">
        <v>0.0556404670575776</v>
      </c>
    </row>
    <row r="74">
      <c r="A74" s="9">
        <f>IFERROR(__xludf.DUMMYFUNCTION("""COMPUTED_VALUE"""),29952.0)</f>
        <v>29952</v>
      </c>
      <c r="B74" s="6" t="str">
        <f>IFERROR(__xludf.DUMMYFUNCTION("""COMPUTED_VALUE"""),"gpc_educacion_cultura_sin_discriminar_pib")</f>
        <v>gpc_educacion_cultura_sin_discriminar_pib</v>
      </c>
      <c r="C74" s="6">
        <f>IFERROR(__xludf.DUMMYFUNCTION("""COMPUTED_VALUE"""),0.216202957709444)</f>
        <v>0.2162029577</v>
      </c>
      <c r="D74" s="6">
        <v>1982.0</v>
      </c>
      <c r="E74" s="6" t="s">
        <v>45</v>
      </c>
      <c r="F74" s="6">
        <v>0.216202957709444</v>
      </c>
    </row>
    <row r="75">
      <c r="A75" s="9">
        <f>IFERROR(__xludf.DUMMYFUNCTION("""COMPUTED_VALUE"""),29952.0)</f>
        <v>29952</v>
      </c>
      <c r="B75" s="6" t="str">
        <f>IFERROR(__xludf.DUMMYFUNCTION("""COMPUTED_VALUE"""),"gpc_atencion_salud_pib")</f>
        <v>gpc_atencion_salud_pib</v>
      </c>
      <c r="C75" s="6">
        <f>IFERROR(__xludf.DUMMYFUNCTION("""COMPUTED_VALUE"""),0.931264510403112)</f>
        <v>0.9312645104</v>
      </c>
      <c r="D75" s="6">
        <v>1982.0</v>
      </c>
      <c r="E75" s="6" t="s">
        <v>46</v>
      </c>
      <c r="F75" s="6">
        <v>0.931264510403112</v>
      </c>
    </row>
    <row r="76">
      <c r="A76" s="9">
        <f>IFERROR(__xludf.DUMMYFUNCTION("""COMPUTED_VALUE"""),29952.0)</f>
        <v>29952</v>
      </c>
      <c r="B76" s="6" t="str">
        <f>IFERROR(__xludf.DUMMYFUNCTION("""COMPUTED_VALUE"""),"gpc_obras_sociales_salud_pib")</f>
        <v>gpc_obras_sociales_salud_pib</v>
      </c>
      <c r="C76" s="6">
        <f>IFERROR(__xludf.DUMMYFUNCTION("""COMPUTED_VALUE"""),1.72913590005419)</f>
        <v>1.7291359</v>
      </c>
      <c r="D76" s="6">
        <v>1982.0</v>
      </c>
      <c r="E76" s="6" t="s">
        <v>47</v>
      </c>
      <c r="F76" s="6">
        <v>1.72913590005419</v>
      </c>
    </row>
    <row r="77">
      <c r="A77" s="9">
        <f>IFERROR(__xludf.DUMMYFUNCTION("""COMPUTED_VALUE"""),29952.0)</f>
        <v>29952</v>
      </c>
      <c r="B77" s="6" t="str">
        <f>IFERROR(__xludf.DUMMYFUNCTION("""COMPUTED_VALUE"""),"gpc_inssjyp_salud_pib")</f>
        <v>gpc_inssjyp_salud_pib</v>
      </c>
      <c r="C77" s="6">
        <f>IFERROR(__xludf.DUMMYFUNCTION("""COMPUTED_VALUE"""),0.425053425129137)</f>
        <v>0.4250534251</v>
      </c>
      <c r="D77" s="6">
        <v>1982.0</v>
      </c>
      <c r="E77" s="6" t="s">
        <v>48</v>
      </c>
      <c r="F77" s="6">
        <v>0.425053425129137</v>
      </c>
    </row>
    <row r="78">
      <c r="A78" s="9">
        <f>IFERROR(__xludf.DUMMYFUNCTION("""COMPUTED_VALUE"""),29952.0)</f>
        <v>29952</v>
      </c>
      <c r="B78" s="6" t="str">
        <f>IFERROR(__xludf.DUMMYFUNCTION("""COMPUTED_VALUE"""),"gpc_agua_alcantarillado_pib")</f>
        <v>gpc_agua_alcantarillado_pib</v>
      </c>
      <c r="C78" s="6">
        <f>IFERROR(__xludf.DUMMYFUNCTION("""COMPUTED_VALUE"""),0.154530503226678)</f>
        <v>0.1545305032</v>
      </c>
      <c r="D78" s="6">
        <v>1982.0</v>
      </c>
      <c r="E78" s="6" t="s">
        <v>49</v>
      </c>
      <c r="F78" s="6">
        <v>0.154530503226678</v>
      </c>
    </row>
    <row r="79">
      <c r="A79" s="9">
        <f>IFERROR(__xludf.DUMMYFUNCTION("""COMPUTED_VALUE"""),29952.0)</f>
        <v>29952</v>
      </c>
      <c r="B79" s="6" t="str">
        <f>IFERROR(__xludf.DUMMYFUNCTION("""COMPUTED_VALUE"""),"gpc_vivienda_urbanismo_pib")</f>
        <v>gpc_vivienda_urbanismo_pib</v>
      </c>
      <c r="C79" s="6">
        <f>IFERROR(__xludf.DUMMYFUNCTION("""COMPUTED_VALUE"""),0.457841557502353)</f>
        <v>0.4578415575</v>
      </c>
      <c r="D79" s="6">
        <v>1982.0</v>
      </c>
      <c r="E79" s="6" t="s">
        <v>50</v>
      </c>
      <c r="F79" s="6">
        <v>0.457841557502353</v>
      </c>
    </row>
    <row r="80">
      <c r="A80" s="9">
        <f>IFERROR(__xludf.DUMMYFUNCTION("""COMPUTED_VALUE"""),29952.0)</f>
        <v>29952</v>
      </c>
      <c r="B80" s="6" t="str">
        <f>IFERROR(__xludf.DUMMYFUNCTION("""COMPUTED_VALUE"""),"gpc_promocion_asistencia_social_pib")</f>
        <v>gpc_promocion_asistencia_social_pib</v>
      </c>
      <c r="C80" s="6">
        <f>IFERROR(__xludf.DUMMYFUNCTION("""COMPUTED_VALUE"""),0.31611954263485)</f>
        <v>0.3161195426</v>
      </c>
      <c r="D80" s="6">
        <v>1982.0</v>
      </c>
      <c r="E80" s="6" t="s">
        <v>51</v>
      </c>
      <c r="F80" s="6">
        <v>0.31611954263485</v>
      </c>
    </row>
    <row r="81">
      <c r="A81" s="9">
        <f>IFERROR(__xludf.DUMMYFUNCTION("""COMPUTED_VALUE"""),29952.0)</f>
        <v>29952</v>
      </c>
      <c r="B81" s="6" t="str">
        <f>IFERROR(__xludf.DUMMYFUNCTION("""COMPUTED_VALUE"""),"gpc_obras_sociales_prestaciones_pib")</f>
        <v>gpc_obras_sociales_prestaciones_pib</v>
      </c>
      <c r="C81" s="6">
        <f>IFERROR(__xludf.DUMMYFUNCTION("""COMPUTED_VALUE"""),0.262289313353473)</f>
        <v>0.2622893134</v>
      </c>
      <c r="D81" s="6">
        <v>1982.0</v>
      </c>
      <c r="E81" s="6" t="s">
        <v>52</v>
      </c>
      <c r="F81" s="6">
        <v>0.262289313353473</v>
      </c>
    </row>
    <row r="82">
      <c r="A82" s="9">
        <f>IFERROR(__xludf.DUMMYFUNCTION("""COMPUTED_VALUE"""),29952.0)</f>
        <v>29952</v>
      </c>
      <c r="B82" s="6" t="str">
        <f>IFERROR(__xludf.DUMMYFUNCTION("""COMPUTED_VALUE"""),"gpc_inssjyp_prestaciones_pib")</f>
        <v>gpc_inssjyp_prestaciones_pib</v>
      </c>
      <c r="C82" s="6">
        <f>IFERROR(__xludf.DUMMYFUNCTION("""COMPUTED_VALUE"""),0.0319932685581071)</f>
        <v>0.03199326856</v>
      </c>
      <c r="D82" s="6">
        <v>1982.0</v>
      </c>
      <c r="E82" s="6" t="s">
        <v>53</v>
      </c>
      <c r="F82" s="6">
        <v>0.0319932685581071</v>
      </c>
    </row>
    <row r="83">
      <c r="A83" s="9">
        <f>IFERROR(__xludf.DUMMYFUNCTION("""COMPUTED_VALUE"""),29952.0)</f>
        <v>29952</v>
      </c>
      <c r="B83" s="6" t="str">
        <f>IFERROR(__xludf.DUMMYFUNCTION("""COMPUTED_VALUE"""),"gpc_prevision_social_pib")</f>
        <v>gpc_prevision_social_pib</v>
      </c>
      <c r="C83" s="6">
        <f>IFERROR(__xludf.DUMMYFUNCTION("""COMPUTED_VALUE"""),3.64663646776288)</f>
        <v>3.646636468</v>
      </c>
      <c r="D83" s="6">
        <v>1982.0</v>
      </c>
      <c r="E83" s="6" t="s">
        <v>54</v>
      </c>
      <c r="F83" s="6">
        <v>3.64663646776288</v>
      </c>
    </row>
    <row r="84">
      <c r="A84" s="9">
        <f>IFERROR(__xludf.DUMMYFUNCTION("""COMPUTED_VALUE"""),29952.0)</f>
        <v>29952</v>
      </c>
      <c r="B84" s="6" t="str">
        <f>IFERROR(__xludf.DUMMYFUNCTION("""COMPUTED_VALUE"""),"gpc_programas_empleo_pib")</f>
        <v>gpc_programas_empleo_pib</v>
      </c>
      <c r="C84" s="6">
        <f>IFERROR(__xludf.DUMMYFUNCTION("""COMPUTED_VALUE"""),0.0151024124870567)</f>
        <v>0.01510241249</v>
      </c>
      <c r="D84" s="6">
        <v>1982.0</v>
      </c>
      <c r="E84" s="6" t="s">
        <v>55</v>
      </c>
      <c r="F84" s="6">
        <v>0.0151024124870567</v>
      </c>
    </row>
    <row r="85">
      <c r="A85" s="9">
        <f>IFERROR(__xludf.DUMMYFUNCTION("""COMPUTED_VALUE"""),29952.0)</f>
        <v>29952</v>
      </c>
      <c r="B85" s="6" t="str">
        <f>IFERROR(__xludf.DUMMYFUNCTION("""COMPUTED_VALUE"""),"gpc_asignaciones_familiares_pib")</f>
        <v>gpc_asignaciones_familiares_pib</v>
      </c>
      <c r="C85" s="6">
        <f>IFERROR(__xludf.DUMMYFUNCTION("""COMPUTED_VALUE"""),0.337817121421007)</f>
        <v>0.3378171214</v>
      </c>
      <c r="D85" s="6">
        <v>1982.0</v>
      </c>
      <c r="E85" s="6" t="s">
        <v>56</v>
      </c>
      <c r="F85" s="6">
        <v>0.337817121421007</v>
      </c>
    </row>
    <row r="86">
      <c r="A86" s="9">
        <f>IFERROR(__xludf.DUMMYFUNCTION("""COMPUTED_VALUE"""),29952.0)</f>
        <v>29952</v>
      </c>
      <c r="B86" s="6" t="str">
        <f>IFERROR(__xludf.DUMMYFUNCTION("""COMPUTED_VALUE"""),"gpc_otros_servicios_urbanos_pib")</f>
        <v>gpc_otros_servicios_urbanos_pib</v>
      </c>
      <c r="C86" s="6">
        <f>IFERROR(__xludf.DUMMYFUNCTION("""COMPUTED_VALUE"""),0.403470278974098)</f>
        <v>0.403470279</v>
      </c>
      <c r="D86" s="6">
        <v>1982.0</v>
      </c>
      <c r="E86" s="6" t="s">
        <v>57</v>
      </c>
      <c r="F86" s="6">
        <v>0.403470278974098</v>
      </c>
    </row>
    <row r="87">
      <c r="A87" s="9">
        <f>IFERROR(__xludf.DUMMYFUNCTION("""COMPUTED_VALUE"""),29952.0)</f>
        <v>29952</v>
      </c>
      <c r="B87" s="6" t="str">
        <f>IFERROR(__xludf.DUMMYFUNCTION("""COMPUTED_VALUE"""),"gpc_servicios_economicos_pib")</f>
        <v>gpc_servicios_economicos_pib</v>
      </c>
      <c r="C87" s="6">
        <f>IFERROR(__xludf.DUMMYFUNCTION("""COMPUTED_VALUE"""),6.69154986362533)</f>
        <v>6.691549864</v>
      </c>
      <c r="D87" s="6">
        <v>1982.0</v>
      </c>
      <c r="E87" s="6" t="s">
        <v>58</v>
      </c>
      <c r="F87" s="6">
        <v>6.69154986362533</v>
      </c>
    </row>
    <row r="88">
      <c r="A88" s="9">
        <f>IFERROR(__xludf.DUMMYFUNCTION("""COMPUTED_VALUE"""),29952.0)</f>
        <v>29952</v>
      </c>
      <c r="B88" s="6" t="str">
        <f>IFERROR(__xludf.DUMMYFUNCTION("""COMPUTED_VALUE"""),"gpc_produccion_primaria_pib")</f>
        <v>gpc_produccion_primaria_pib</v>
      </c>
      <c r="C88" s="6">
        <f>IFERROR(__xludf.DUMMYFUNCTION("""COMPUTED_VALUE"""),0.275215046359756)</f>
        <v>0.2752150464</v>
      </c>
      <c r="D88" s="6">
        <v>1982.0</v>
      </c>
      <c r="E88" s="6" t="s">
        <v>59</v>
      </c>
      <c r="F88" s="6">
        <v>0.275215046359756</v>
      </c>
    </row>
    <row r="89">
      <c r="A89" s="9">
        <f>IFERROR(__xludf.DUMMYFUNCTION("""COMPUTED_VALUE"""),29952.0)</f>
        <v>29952</v>
      </c>
      <c r="B89" s="6" t="str">
        <f>IFERROR(__xludf.DUMMYFUNCTION("""COMPUTED_VALUE"""),"gpc_energia_combustible_pib")</f>
        <v>gpc_energia_combustible_pib</v>
      </c>
      <c r="C89" s="6">
        <f>IFERROR(__xludf.DUMMYFUNCTION("""COMPUTED_VALUE"""),3.18328690697262)</f>
        <v>3.183286907</v>
      </c>
      <c r="D89" s="6">
        <v>1982.0</v>
      </c>
      <c r="E89" s="6" t="s">
        <v>60</v>
      </c>
      <c r="F89" s="6">
        <v>3.18328690697262</v>
      </c>
    </row>
    <row r="90">
      <c r="A90" s="9">
        <f>IFERROR(__xludf.DUMMYFUNCTION("""COMPUTED_VALUE"""),29952.0)</f>
        <v>29952</v>
      </c>
      <c r="B90" s="6" t="str">
        <f>IFERROR(__xludf.DUMMYFUNCTION("""COMPUTED_VALUE"""),"gpc_industria_pib")</f>
        <v>gpc_industria_pib</v>
      </c>
      <c r="C90" s="6">
        <f>IFERROR(__xludf.DUMMYFUNCTION("""COMPUTED_VALUE"""),0.418082646559603)</f>
        <v>0.4180826466</v>
      </c>
      <c r="D90" s="6">
        <v>1982.0</v>
      </c>
      <c r="E90" s="6" t="s">
        <v>61</v>
      </c>
      <c r="F90" s="6">
        <v>0.418082646559603</v>
      </c>
    </row>
    <row r="91">
      <c r="A91" s="9">
        <f>IFERROR(__xludf.DUMMYFUNCTION("""COMPUTED_VALUE"""),29952.0)</f>
        <v>29952</v>
      </c>
      <c r="B91" s="6" t="str">
        <f>IFERROR(__xludf.DUMMYFUNCTION("""COMPUTED_VALUE"""),"gpc_transporte_pib")</f>
        <v>gpc_transporte_pib</v>
      </c>
      <c r="C91" s="6">
        <f>IFERROR(__xludf.DUMMYFUNCTION("""COMPUTED_VALUE"""),1.7823116240563)</f>
        <v>1.782311624</v>
      </c>
      <c r="D91" s="6">
        <v>1982.0</v>
      </c>
      <c r="E91" s="6" t="s">
        <v>62</v>
      </c>
      <c r="F91" s="6">
        <v>1.7823116240563</v>
      </c>
    </row>
    <row r="92">
      <c r="A92" s="9">
        <f>IFERROR(__xludf.DUMMYFUNCTION("""COMPUTED_VALUE"""),29952.0)</f>
        <v>29952</v>
      </c>
      <c r="B92" s="6" t="str">
        <f>IFERROR(__xludf.DUMMYFUNCTION("""COMPUTED_VALUE"""),"gpc_comunicaciones_pib")</f>
        <v>gpc_comunicaciones_pib</v>
      </c>
      <c r="C92" s="6">
        <f>IFERROR(__xludf.DUMMYFUNCTION("""COMPUTED_VALUE"""),0.384514549936598)</f>
        <v>0.3845145499</v>
      </c>
      <c r="D92" s="6">
        <v>1982.0</v>
      </c>
      <c r="E92" s="6" t="s">
        <v>63</v>
      </c>
      <c r="F92" s="6">
        <v>0.384514549936598</v>
      </c>
    </row>
    <row r="93">
      <c r="A93" s="9">
        <f>IFERROR(__xludf.DUMMYFUNCTION("""COMPUTED_VALUE"""),29952.0)</f>
        <v>29952</v>
      </c>
      <c r="B93" s="6" t="str">
        <f>IFERROR(__xludf.DUMMYFUNCTION("""COMPUTED_VALUE"""),"gpc_otros_servicios_economicos_pib")</f>
        <v>gpc_otros_servicios_economicos_pib</v>
      </c>
      <c r="C93" s="6">
        <f>IFERROR(__xludf.DUMMYFUNCTION("""COMPUTED_VALUE"""),0.648139089740444)</f>
        <v>0.6481390897</v>
      </c>
      <c r="D93" s="6">
        <v>1982.0</v>
      </c>
      <c r="E93" s="6" t="s">
        <v>64</v>
      </c>
      <c r="F93" s="6">
        <v>0.648139089740444</v>
      </c>
    </row>
    <row r="94">
      <c r="A94" s="9">
        <f>IFERROR(__xludf.DUMMYFUNCTION("""COMPUTED_VALUE"""),29952.0)</f>
        <v>29952</v>
      </c>
      <c r="B94" s="6" t="str">
        <f>IFERROR(__xludf.DUMMYFUNCTION("""COMPUTED_VALUE"""),"gpc_servicios_deuda_publica_pib")</f>
        <v>gpc_servicios_deuda_publica_pib</v>
      </c>
      <c r="C94" s="6">
        <f>IFERROR(__xludf.DUMMYFUNCTION("""COMPUTED_VALUE"""),6.11448989772022)</f>
        <v>6.114489898</v>
      </c>
      <c r="D94" s="6">
        <v>1982.0</v>
      </c>
      <c r="E94" s="6" t="s">
        <v>65</v>
      </c>
      <c r="F94" s="6">
        <v>6.11448989772022</v>
      </c>
    </row>
    <row r="95">
      <c r="A95" s="9">
        <f>IFERROR(__xludf.DUMMYFUNCTION("""COMPUTED_VALUE"""),30317.0)</f>
        <v>30317</v>
      </c>
      <c r="B95" s="6" t="str">
        <f>IFERROR(__xludf.DUMMYFUNCTION("""COMPUTED_VALUE"""),"gpc_pib")</f>
        <v>gpc_pib</v>
      </c>
      <c r="C95" s="6">
        <f>IFERROR(__xludf.DUMMYFUNCTION("""COMPUTED_VALUE"""),25.9203560079243)</f>
        <v>25.92035601</v>
      </c>
      <c r="D95" s="6">
        <v>1983.0</v>
      </c>
      <c r="E95" s="6" t="s">
        <v>66</v>
      </c>
      <c r="F95" s="6">
        <v>25.9203560079243</v>
      </c>
    </row>
    <row r="96">
      <c r="A96" s="9">
        <f>IFERROR(__xludf.DUMMYFUNCTION("""COMPUTED_VALUE"""),30317.0)</f>
        <v>30317</v>
      </c>
      <c r="B96" s="6" t="str">
        <f>IFERROR(__xludf.DUMMYFUNCTION("""COMPUTED_VALUE"""),"gpc_funcionamiento_estado_pib")</f>
        <v>gpc_funcionamiento_estado_pib</v>
      </c>
      <c r="C96" s="6">
        <f>IFERROR(__xludf.DUMMYFUNCTION("""COMPUTED_VALUE"""),4.27225053811308)</f>
        <v>4.272250538</v>
      </c>
      <c r="D96" s="6">
        <v>1983.0</v>
      </c>
      <c r="E96" s="6" t="s">
        <v>36</v>
      </c>
      <c r="F96" s="6">
        <v>4.27225053811308</v>
      </c>
    </row>
    <row r="97">
      <c r="A97" s="9">
        <f>IFERROR(__xludf.DUMMYFUNCTION("""COMPUTED_VALUE"""),30317.0)</f>
        <v>30317</v>
      </c>
      <c r="B97" s="6" t="str">
        <f>IFERROR(__xludf.DUMMYFUNCTION("""COMPUTED_VALUE"""),"gpc_administracion_general_pib")</f>
        <v>gpc_administracion_general_pib</v>
      </c>
      <c r="C97" s="6">
        <f>IFERROR(__xludf.DUMMYFUNCTION("""COMPUTED_VALUE"""),1.43482921615206)</f>
        <v>1.434829216</v>
      </c>
      <c r="D97" s="6">
        <v>1983.0</v>
      </c>
      <c r="E97" s="6" t="s">
        <v>37</v>
      </c>
      <c r="F97" s="6">
        <v>1.43482921615206</v>
      </c>
    </row>
    <row r="98">
      <c r="A98" s="9">
        <f>IFERROR(__xludf.DUMMYFUNCTION("""COMPUTED_VALUE"""),30317.0)</f>
        <v>30317</v>
      </c>
      <c r="B98" s="6" t="str">
        <f>IFERROR(__xludf.DUMMYFUNCTION("""COMPUTED_VALUE"""),"gpc_justicia_pib")</f>
        <v>gpc_justicia_pib</v>
      </c>
      <c r="C98" s="6">
        <f>IFERROR(__xludf.DUMMYFUNCTION("""COMPUTED_VALUE"""),0.263484604419424)</f>
        <v>0.2634846044</v>
      </c>
      <c r="D98" s="6">
        <v>1983.0</v>
      </c>
      <c r="E98" s="6" t="s">
        <v>38</v>
      </c>
      <c r="F98" s="6">
        <v>0.263484604419424</v>
      </c>
    </row>
    <row r="99">
      <c r="A99" s="9">
        <f>IFERROR(__xludf.DUMMYFUNCTION("""COMPUTED_VALUE"""),30317.0)</f>
        <v>30317</v>
      </c>
      <c r="B99" s="6" t="str">
        <f>IFERROR(__xludf.DUMMYFUNCTION("""COMPUTED_VALUE"""),"gpc_defensa_seguridad_pib")</f>
        <v>gpc_defensa_seguridad_pib</v>
      </c>
      <c r="C99" s="6">
        <f>IFERROR(__xludf.DUMMYFUNCTION("""COMPUTED_VALUE"""),2.57393671754158)</f>
        <v>2.573936718</v>
      </c>
      <c r="D99" s="6">
        <v>1983.0</v>
      </c>
      <c r="E99" s="6" t="s">
        <v>39</v>
      </c>
      <c r="F99" s="6">
        <v>2.57393671754158</v>
      </c>
    </row>
    <row r="100">
      <c r="A100" s="9">
        <f>IFERROR(__xludf.DUMMYFUNCTION("""COMPUTED_VALUE"""),30317.0)</f>
        <v>30317</v>
      </c>
      <c r="B100" s="6" t="str">
        <f>IFERROR(__xludf.DUMMYFUNCTION("""COMPUTED_VALUE"""),"gpc_servicios_sociales_pib")</f>
        <v>gpc_servicios_sociales_pib</v>
      </c>
      <c r="C100" s="6">
        <f>IFERROR(__xludf.DUMMYFUNCTION("""COMPUTED_VALUE"""),11.419618136849)</f>
        <v>11.41961814</v>
      </c>
      <c r="D100" s="6">
        <v>1983.0</v>
      </c>
      <c r="E100" s="6" t="s">
        <v>40</v>
      </c>
      <c r="F100" s="6">
        <v>11.419618136849</v>
      </c>
    </row>
    <row r="101">
      <c r="A101" s="9">
        <f>IFERROR(__xludf.DUMMYFUNCTION("""COMPUTED_VALUE"""),30317.0)</f>
        <v>30317</v>
      </c>
      <c r="B101" s="6" t="str">
        <f>IFERROR(__xludf.DUMMYFUNCTION("""COMPUTED_VALUE"""),"gpc_educacion_basica_pib")</f>
        <v>gpc_educacion_basica_pib</v>
      </c>
      <c r="C101" s="6">
        <f>IFERROR(__xludf.DUMMYFUNCTION("""COMPUTED_VALUE"""),1.58591575930754)</f>
        <v>1.585915759</v>
      </c>
      <c r="D101" s="6">
        <v>1983.0</v>
      </c>
      <c r="E101" s="6" t="s">
        <v>41</v>
      </c>
      <c r="F101" s="6">
        <v>1.58591575930754</v>
      </c>
    </row>
    <row r="102">
      <c r="A102" s="9">
        <f>IFERROR(__xludf.DUMMYFUNCTION("""COMPUTED_VALUE"""),30317.0)</f>
        <v>30317</v>
      </c>
      <c r="B102" s="6" t="str">
        <f>IFERROR(__xludf.DUMMYFUNCTION("""COMPUTED_VALUE"""),"gpc_educacion_universitaria_pib")</f>
        <v>gpc_educacion_universitaria_pib</v>
      </c>
      <c r="C102" s="6">
        <f>IFERROR(__xludf.DUMMYFUNCTION("""COMPUTED_VALUE"""),0.361014844150238)</f>
        <v>0.3610148442</v>
      </c>
      <c r="D102" s="6">
        <v>1983.0</v>
      </c>
      <c r="E102" s="6" t="s">
        <v>42</v>
      </c>
      <c r="F102" s="6">
        <v>0.361014844150238</v>
      </c>
    </row>
    <row r="103">
      <c r="A103" s="9">
        <f>IFERROR(__xludf.DUMMYFUNCTION("""COMPUTED_VALUE"""),30317.0)</f>
        <v>30317</v>
      </c>
      <c r="B103" s="6" t="str">
        <f>IFERROR(__xludf.DUMMYFUNCTION("""COMPUTED_VALUE"""),"gpc_ciencia_tecnica_pib")</f>
        <v>gpc_ciencia_tecnica_pib</v>
      </c>
      <c r="C103" s="6">
        <f>IFERROR(__xludf.DUMMYFUNCTION("""COMPUTED_VALUE"""),0.220879961958736)</f>
        <v>0.220879962</v>
      </c>
      <c r="D103" s="6">
        <v>1983.0</v>
      </c>
      <c r="E103" s="6" t="s">
        <v>43</v>
      </c>
      <c r="F103" s="6">
        <v>0.220879961958736</v>
      </c>
    </row>
    <row r="104">
      <c r="A104" s="9">
        <f>IFERROR(__xludf.DUMMYFUNCTION("""COMPUTED_VALUE"""),30317.0)</f>
        <v>30317</v>
      </c>
      <c r="B104" s="6" t="str">
        <f>IFERROR(__xludf.DUMMYFUNCTION("""COMPUTED_VALUE"""),"gpc_cultura_pib")</f>
        <v>gpc_cultura_pib</v>
      </c>
      <c r="C104" s="6">
        <f>IFERROR(__xludf.DUMMYFUNCTION("""COMPUTED_VALUE"""),0.0563742037122408)</f>
        <v>0.05637420371</v>
      </c>
      <c r="D104" s="6">
        <v>1983.0</v>
      </c>
      <c r="E104" s="6" t="s">
        <v>44</v>
      </c>
      <c r="F104" s="6">
        <v>0.0563742037122408</v>
      </c>
    </row>
    <row r="105">
      <c r="A105" s="9">
        <f>IFERROR(__xludf.DUMMYFUNCTION("""COMPUTED_VALUE"""),30317.0)</f>
        <v>30317</v>
      </c>
      <c r="B105" s="6" t="str">
        <f>IFERROR(__xludf.DUMMYFUNCTION("""COMPUTED_VALUE"""),"gpc_educacion_cultura_sin_discriminar_pib")</f>
        <v>gpc_educacion_cultura_sin_discriminar_pib</v>
      </c>
      <c r="C105" s="6">
        <f>IFERROR(__xludf.DUMMYFUNCTION("""COMPUTED_VALUE"""),0.244288216086377)</f>
        <v>0.2442882161</v>
      </c>
      <c r="D105" s="6">
        <v>1983.0</v>
      </c>
      <c r="E105" s="6" t="s">
        <v>45</v>
      </c>
      <c r="F105" s="6">
        <v>0.244288216086377</v>
      </c>
    </row>
    <row r="106">
      <c r="A106" s="9">
        <f>IFERROR(__xludf.DUMMYFUNCTION("""COMPUTED_VALUE"""),30317.0)</f>
        <v>30317</v>
      </c>
      <c r="B106" s="6" t="str">
        <f>IFERROR(__xludf.DUMMYFUNCTION("""COMPUTED_VALUE"""),"gpc_atencion_salud_pib")</f>
        <v>gpc_atencion_salud_pib</v>
      </c>
      <c r="C106" s="6">
        <f>IFERROR(__xludf.DUMMYFUNCTION("""COMPUTED_VALUE"""),0.990248970510988)</f>
        <v>0.9902489705</v>
      </c>
      <c r="D106" s="6">
        <v>1983.0</v>
      </c>
      <c r="E106" s="6" t="s">
        <v>46</v>
      </c>
      <c r="F106" s="6">
        <v>0.990248970510988</v>
      </c>
    </row>
    <row r="107">
      <c r="A107" s="9">
        <f>IFERROR(__xludf.DUMMYFUNCTION("""COMPUTED_VALUE"""),30317.0)</f>
        <v>30317</v>
      </c>
      <c r="B107" s="6" t="str">
        <f>IFERROR(__xludf.DUMMYFUNCTION("""COMPUTED_VALUE"""),"gpc_obras_sociales_salud_pib")</f>
        <v>gpc_obras_sociales_salud_pib</v>
      </c>
      <c r="C107" s="6">
        <f>IFERROR(__xludf.DUMMYFUNCTION("""COMPUTED_VALUE"""),1.65288750610124)</f>
        <v>1.652887506</v>
      </c>
      <c r="D107" s="6">
        <v>1983.0</v>
      </c>
      <c r="E107" s="6" t="s">
        <v>47</v>
      </c>
      <c r="F107" s="6">
        <v>1.65288750610124</v>
      </c>
    </row>
    <row r="108">
      <c r="A108" s="9">
        <f>IFERROR(__xludf.DUMMYFUNCTION("""COMPUTED_VALUE"""),30317.0)</f>
        <v>30317</v>
      </c>
      <c r="B108" s="6" t="str">
        <f>IFERROR(__xludf.DUMMYFUNCTION("""COMPUTED_VALUE"""),"gpc_inssjyp_salud_pib")</f>
        <v>gpc_inssjyp_salud_pib</v>
      </c>
      <c r="C108" s="6">
        <f>IFERROR(__xludf.DUMMYFUNCTION("""COMPUTED_VALUE"""),0.481343362644732)</f>
        <v>0.4813433626</v>
      </c>
      <c r="D108" s="6">
        <v>1983.0</v>
      </c>
      <c r="E108" s="6" t="s">
        <v>48</v>
      </c>
      <c r="F108" s="6">
        <v>0.481343362644732</v>
      </c>
    </row>
    <row r="109">
      <c r="A109" s="9">
        <f>IFERROR(__xludf.DUMMYFUNCTION("""COMPUTED_VALUE"""),30317.0)</f>
        <v>30317</v>
      </c>
      <c r="B109" s="6" t="str">
        <f>IFERROR(__xludf.DUMMYFUNCTION("""COMPUTED_VALUE"""),"gpc_agua_alcantarillado_pib")</f>
        <v>gpc_agua_alcantarillado_pib</v>
      </c>
      <c r="C109" s="6">
        <f>IFERROR(__xludf.DUMMYFUNCTION("""COMPUTED_VALUE"""),0.148691785537325)</f>
        <v>0.1486917855</v>
      </c>
      <c r="D109" s="6">
        <v>1983.0</v>
      </c>
      <c r="E109" s="6" t="s">
        <v>49</v>
      </c>
      <c r="F109" s="6">
        <v>0.148691785537325</v>
      </c>
    </row>
    <row r="110">
      <c r="A110" s="9">
        <f>IFERROR(__xludf.DUMMYFUNCTION("""COMPUTED_VALUE"""),30317.0)</f>
        <v>30317</v>
      </c>
      <c r="B110" s="6" t="str">
        <f>IFERROR(__xludf.DUMMYFUNCTION("""COMPUTED_VALUE"""),"gpc_vivienda_urbanismo_pib")</f>
        <v>gpc_vivienda_urbanismo_pib</v>
      </c>
      <c r="C110" s="6">
        <f>IFERROR(__xludf.DUMMYFUNCTION("""COMPUTED_VALUE"""),0.670820625208015)</f>
        <v>0.6708206252</v>
      </c>
      <c r="D110" s="6">
        <v>1983.0</v>
      </c>
      <c r="E110" s="6" t="s">
        <v>50</v>
      </c>
      <c r="F110" s="6">
        <v>0.670820625208015</v>
      </c>
    </row>
    <row r="111">
      <c r="A111" s="9">
        <f>IFERROR(__xludf.DUMMYFUNCTION("""COMPUTED_VALUE"""),30317.0)</f>
        <v>30317</v>
      </c>
      <c r="B111" s="6" t="str">
        <f>IFERROR(__xludf.DUMMYFUNCTION("""COMPUTED_VALUE"""),"gpc_promocion_asistencia_social_pib")</f>
        <v>gpc_promocion_asistencia_social_pib</v>
      </c>
      <c r="C111" s="6">
        <f>IFERROR(__xludf.DUMMYFUNCTION("""COMPUTED_VALUE"""),0.35579950013311)</f>
        <v>0.3557995001</v>
      </c>
      <c r="D111" s="6">
        <v>1983.0</v>
      </c>
      <c r="E111" s="6" t="s">
        <v>51</v>
      </c>
      <c r="F111" s="6">
        <v>0.35579950013311</v>
      </c>
    </row>
    <row r="112">
      <c r="A112" s="9">
        <f>IFERROR(__xludf.DUMMYFUNCTION("""COMPUTED_VALUE"""),30317.0)</f>
        <v>30317</v>
      </c>
      <c r="B112" s="6" t="str">
        <f>IFERROR(__xludf.DUMMYFUNCTION("""COMPUTED_VALUE"""),"gpc_obras_sociales_prestaciones_pib")</f>
        <v>gpc_obras_sociales_prestaciones_pib</v>
      </c>
      <c r="C112" s="6">
        <f>IFERROR(__xludf.DUMMYFUNCTION("""COMPUTED_VALUE"""),0.246925083929171)</f>
        <v>0.2469250839</v>
      </c>
      <c r="D112" s="6">
        <v>1983.0</v>
      </c>
      <c r="E112" s="6" t="s">
        <v>52</v>
      </c>
      <c r="F112" s="6">
        <v>0.246925083929171</v>
      </c>
    </row>
    <row r="113">
      <c r="A113" s="9">
        <f>IFERROR(__xludf.DUMMYFUNCTION("""COMPUTED_VALUE"""),30317.0)</f>
        <v>30317</v>
      </c>
      <c r="B113" s="6" t="str">
        <f>IFERROR(__xludf.DUMMYFUNCTION("""COMPUTED_VALUE"""),"gpc_inssjyp_prestaciones_pib")</f>
        <v>gpc_inssjyp_prestaciones_pib</v>
      </c>
      <c r="C113" s="6">
        <f>IFERROR(__xludf.DUMMYFUNCTION("""COMPUTED_VALUE"""),0.0362301455754099)</f>
        <v>0.03623014558</v>
      </c>
      <c r="D113" s="6">
        <v>1983.0</v>
      </c>
      <c r="E113" s="6" t="s">
        <v>53</v>
      </c>
      <c r="F113" s="6">
        <v>0.0362301455754099</v>
      </c>
    </row>
    <row r="114">
      <c r="A114" s="9">
        <f>IFERROR(__xludf.DUMMYFUNCTION("""COMPUTED_VALUE"""),30317.0)</f>
        <v>30317</v>
      </c>
      <c r="B114" s="6" t="str">
        <f>IFERROR(__xludf.DUMMYFUNCTION("""COMPUTED_VALUE"""),"gpc_prevision_social_pib")</f>
        <v>gpc_prevision_social_pib</v>
      </c>
      <c r="C114" s="6">
        <f>IFERROR(__xludf.DUMMYFUNCTION("""COMPUTED_VALUE"""),3.45745583284585)</f>
        <v>3.457455833</v>
      </c>
      <c r="D114" s="6">
        <v>1983.0</v>
      </c>
      <c r="E114" s="6" t="s">
        <v>54</v>
      </c>
      <c r="F114" s="6">
        <v>3.45745583284585</v>
      </c>
    </row>
    <row r="115">
      <c r="A115" s="9">
        <f>IFERROR(__xludf.DUMMYFUNCTION("""COMPUTED_VALUE"""),30317.0)</f>
        <v>30317</v>
      </c>
      <c r="B115" s="6" t="str">
        <f>IFERROR(__xludf.DUMMYFUNCTION("""COMPUTED_VALUE"""),"gpc_programas_empleo_pib")</f>
        <v>gpc_programas_empleo_pib</v>
      </c>
      <c r="C115" s="6">
        <f>IFERROR(__xludf.DUMMYFUNCTION("""COMPUTED_VALUE"""),0.0143365431854405)</f>
        <v>0.01433654319</v>
      </c>
      <c r="D115" s="6">
        <v>1983.0</v>
      </c>
      <c r="E115" s="6" t="s">
        <v>55</v>
      </c>
      <c r="F115" s="6">
        <v>0.0143365431854405</v>
      </c>
    </row>
    <row r="116">
      <c r="A116" s="9">
        <f>IFERROR(__xludf.DUMMYFUNCTION("""COMPUTED_VALUE"""),30317.0)</f>
        <v>30317</v>
      </c>
      <c r="B116" s="6" t="str">
        <f>IFERROR(__xludf.DUMMYFUNCTION("""COMPUTED_VALUE"""),"gpc_asignaciones_familiares_pib")</f>
        <v>gpc_asignaciones_familiares_pib</v>
      </c>
      <c r="C116" s="6">
        <f>IFERROR(__xludf.DUMMYFUNCTION("""COMPUTED_VALUE"""),0.446943758741587)</f>
        <v>0.4469437587</v>
      </c>
      <c r="D116" s="6">
        <v>1983.0</v>
      </c>
      <c r="E116" s="6" t="s">
        <v>56</v>
      </c>
      <c r="F116" s="6">
        <v>0.446943758741587</v>
      </c>
    </row>
    <row r="117">
      <c r="A117" s="9">
        <f>IFERROR(__xludf.DUMMYFUNCTION("""COMPUTED_VALUE"""),30317.0)</f>
        <v>30317</v>
      </c>
      <c r="B117" s="6" t="str">
        <f>IFERROR(__xludf.DUMMYFUNCTION("""COMPUTED_VALUE"""),"gpc_otros_servicios_urbanos_pib")</f>
        <v>gpc_otros_servicios_urbanos_pib</v>
      </c>
      <c r="C117" s="6">
        <f>IFERROR(__xludf.DUMMYFUNCTION("""COMPUTED_VALUE"""),0.449462037220989)</f>
        <v>0.4494620372</v>
      </c>
      <c r="D117" s="6">
        <v>1983.0</v>
      </c>
      <c r="E117" s="6" t="s">
        <v>57</v>
      </c>
      <c r="F117" s="6">
        <v>0.449462037220989</v>
      </c>
    </row>
    <row r="118">
      <c r="A118" s="9">
        <f>IFERROR(__xludf.DUMMYFUNCTION("""COMPUTED_VALUE"""),30317.0)</f>
        <v>30317</v>
      </c>
      <c r="B118" s="6" t="str">
        <f>IFERROR(__xludf.DUMMYFUNCTION("""COMPUTED_VALUE"""),"gpc_servicios_economicos_pib")</f>
        <v>gpc_servicios_economicos_pib</v>
      </c>
      <c r="C118" s="6">
        <f>IFERROR(__xludf.DUMMYFUNCTION("""COMPUTED_VALUE"""),6.92055273582449)</f>
        <v>6.920552736</v>
      </c>
      <c r="D118" s="6">
        <v>1983.0</v>
      </c>
      <c r="E118" s="6" t="s">
        <v>58</v>
      </c>
      <c r="F118" s="6">
        <v>6.92055273582449</v>
      </c>
    </row>
    <row r="119">
      <c r="A119" s="9">
        <f>IFERROR(__xludf.DUMMYFUNCTION("""COMPUTED_VALUE"""),30317.0)</f>
        <v>30317</v>
      </c>
      <c r="B119" s="6" t="str">
        <f>IFERROR(__xludf.DUMMYFUNCTION("""COMPUTED_VALUE"""),"gpc_produccion_primaria_pib")</f>
        <v>gpc_produccion_primaria_pib</v>
      </c>
      <c r="C119" s="6">
        <f>IFERROR(__xludf.DUMMYFUNCTION("""COMPUTED_VALUE"""),0.295178031305443)</f>
        <v>0.2951780313</v>
      </c>
      <c r="D119" s="6">
        <v>1983.0</v>
      </c>
      <c r="E119" s="6" t="s">
        <v>59</v>
      </c>
      <c r="F119" s="6">
        <v>0.295178031305443</v>
      </c>
    </row>
    <row r="120">
      <c r="A120" s="9">
        <f>IFERROR(__xludf.DUMMYFUNCTION("""COMPUTED_VALUE"""),30317.0)</f>
        <v>30317</v>
      </c>
      <c r="B120" s="6" t="str">
        <f>IFERROR(__xludf.DUMMYFUNCTION("""COMPUTED_VALUE"""),"gpc_energia_combustible_pib")</f>
        <v>gpc_energia_combustible_pib</v>
      </c>
      <c r="C120" s="6">
        <f>IFERROR(__xludf.DUMMYFUNCTION("""COMPUTED_VALUE"""),2.91983953193836)</f>
        <v>2.919839532</v>
      </c>
      <c r="D120" s="6">
        <v>1983.0</v>
      </c>
      <c r="E120" s="6" t="s">
        <v>60</v>
      </c>
      <c r="F120" s="6">
        <v>2.91983953193836</v>
      </c>
    </row>
    <row r="121">
      <c r="A121" s="9">
        <f>IFERROR(__xludf.DUMMYFUNCTION("""COMPUTED_VALUE"""),30317.0)</f>
        <v>30317</v>
      </c>
      <c r="B121" s="6" t="str">
        <f>IFERROR(__xludf.DUMMYFUNCTION("""COMPUTED_VALUE"""),"gpc_industria_pib")</f>
        <v>gpc_industria_pib</v>
      </c>
      <c r="C121" s="6">
        <f>IFERROR(__xludf.DUMMYFUNCTION("""COMPUTED_VALUE"""),0.525173421805062)</f>
        <v>0.5251734218</v>
      </c>
      <c r="D121" s="6">
        <v>1983.0</v>
      </c>
      <c r="E121" s="6" t="s">
        <v>61</v>
      </c>
      <c r="F121" s="6">
        <v>0.525173421805062</v>
      </c>
    </row>
    <row r="122">
      <c r="A122" s="9">
        <f>IFERROR(__xludf.DUMMYFUNCTION("""COMPUTED_VALUE"""),30317.0)</f>
        <v>30317</v>
      </c>
      <c r="B122" s="6" t="str">
        <f>IFERROR(__xludf.DUMMYFUNCTION("""COMPUTED_VALUE"""),"gpc_transporte_pib")</f>
        <v>gpc_transporte_pib</v>
      </c>
      <c r="C122" s="6">
        <f>IFERROR(__xludf.DUMMYFUNCTION("""COMPUTED_VALUE"""),1.80148185362646)</f>
        <v>1.801481854</v>
      </c>
      <c r="D122" s="6">
        <v>1983.0</v>
      </c>
      <c r="E122" s="6" t="s">
        <v>62</v>
      </c>
      <c r="F122" s="6">
        <v>1.80148185362646</v>
      </c>
    </row>
    <row r="123">
      <c r="A123" s="9">
        <f>IFERROR(__xludf.DUMMYFUNCTION("""COMPUTED_VALUE"""),30317.0)</f>
        <v>30317</v>
      </c>
      <c r="B123" s="6" t="str">
        <f>IFERROR(__xludf.DUMMYFUNCTION("""COMPUTED_VALUE"""),"gpc_comunicaciones_pib")</f>
        <v>gpc_comunicaciones_pib</v>
      </c>
      <c r="C123" s="6">
        <f>IFERROR(__xludf.DUMMYFUNCTION("""COMPUTED_VALUE"""),0.435688081351262)</f>
        <v>0.4356880814</v>
      </c>
      <c r="D123" s="6">
        <v>1983.0</v>
      </c>
      <c r="E123" s="6" t="s">
        <v>63</v>
      </c>
      <c r="F123" s="6">
        <v>0.435688081351262</v>
      </c>
    </row>
    <row r="124">
      <c r="A124" s="9">
        <f>IFERROR(__xludf.DUMMYFUNCTION("""COMPUTED_VALUE"""),30317.0)</f>
        <v>30317</v>
      </c>
      <c r="B124" s="6" t="str">
        <f>IFERROR(__xludf.DUMMYFUNCTION("""COMPUTED_VALUE"""),"gpc_otros_servicios_economicos_pib")</f>
        <v>gpc_otros_servicios_economicos_pib</v>
      </c>
      <c r="C124" s="6">
        <f>IFERROR(__xludf.DUMMYFUNCTION("""COMPUTED_VALUE"""),0.943191815797895)</f>
        <v>0.9431918158</v>
      </c>
      <c r="D124" s="6">
        <v>1983.0</v>
      </c>
      <c r="E124" s="6" t="s">
        <v>64</v>
      </c>
      <c r="F124" s="6">
        <v>0.943191815797895</v>
      </c>
    </row>
    <row r="125">
      <c r="A125" s="9">
        <f>IFERROR(__xludf.DUMMYFUNCTION("""COMPUTED_VALUE"""),30317.0)</f>
        <v>30317</v>
      </c>
      <c r="B125" s="6" t="str">
        <f>IFERROR(__xludf.DUMMYFUNCTION("""COMPUTED_VALUE"""),"gpc_servicios_deuda_publica_pib")</f>
        <v>gpc_servicios_deuda_publica_pib</v>
      </c>
      <c r="C125" s="6">
        <f>IFERROR(__xludf.DUMMYFUNCTION("""COMPUTED_VALUE"""),3.30793459713781)</f>
        <v>3.307934597</v>
      </c>
      <c r="D125" s="6">
        <v>1983.0</v>
      </c>
      <c r="E125" s="6" t="s">
        <v>65</v>
      </c>
      <c r="F125" s="6">
        <v>3.30793459713781</v>
      </c>
    </row>
    <row r="126">
      <c r="A126" s="9">
        <f>IFERROR(__xludf.DUMMYFUNCTION("""COMPUTED_VALUE"""),30682.0)</f>
        <v>30682</v>
      </c>
      <c r="B126" s="6" t="str">
        <f>IFERROR(__xludf.DUMMYFUNCTION("""COMPUTED_VALUE"""),"gpc_pib")</f>
        <v>gpc_pib</v>
      </c>
      <c r="C126" s="6">
        <f>IFERROR(__xludf.DUMMYFUNCTION("""COMPUTED_VALUE"""),26.5816402009775)</f>
        <v>26.5816402</v>
      </c>
      <c r="D126" s="6">
        <v>1984.0</v>
      </c>
      <c r="E126" s="6" t="s">
        <v>66</v>
      </c>
      <c r="F126" s="6">
        <v>26.5816402009775</v>
      </c>
    </row>
    <row r="127">
      <c r="A127" s="9">
        <f>IFERROR(__xludf.DUMMYFUNCTION("""COMPUTED_VALUE"""),30682.0)</f>
        <v>30682</v>
      </c>
      <c r="B127" s="6" t="str">
        <f>IFERROR(__xludf.DUMMYFUNCTION("""COMPUTED_VALUE"""),"gpc_funcionamiento_estado_pib")</f>
        <v>gpc_funcionamiento_estado_pib</v>
      </c>
      <c r="C127" s="6">
        <f>IFERROR(__xludf.DUMMYFUNCTION("""COMPUTED_VALUE"""),3.85834530386381)</f>
        <v>3.858345304</v>
      </c>
      <c r="D127" s="6">
        <v>1984.0</v>
      </c>
      <c r="E127" s="6" t="s">
        <v>36</v>
      </c>
      <c r="F127" s="6">
        <v>3.85834530386381</v>
      </c>
    </row>
    <row r="128">
      <c r="A128" s="9">
        <f>IFERROR(__xludf.DUMMYFUNCTION("""COMPUTED_VALUE"""),30682.0)</f>
        <v>30682</v>
      </c>
      <c r="B128" s="6" t="str">
        <f>IFERROR(__xludf.DUMMYFUNCTION("""COMPUTED_VALUE"""),"gpc_administracion_general_pib")</f>
        <v>gpc_administracion_general_pib</v>
      </c>
      <c r="C128" s="6">
        <f>IFERROR(__xludf.DUMMYFUNCTION("""COMPUTED_VALUE"""),1.52145952434217)</f>
        <v>1.521459524</v>
      </c>
      <c r="D128" s="6">
        <v>1984.0</v>
      </c>
      <c r="E128" s="6" t="s">
        <v>37</v>
      </c>
      <c r="F128" s="6">
        <v>1.52145952434217</v>
      </c>
    </row>
    <row r="129">
      <c r="A129" s="9">
        <f>IFERROR(__xludf.DUMMYFUNCTION("""COMPUTED_VALUE"""),30682.0)</f>
        <v>30682</v>
      </c>
      <c r="B129" s="6" t="str">
        <f>IFERROR(__xludf.DUMMYFUNCTION("""COMPUTED_VALUE"""),"gpc_justicia_pib")</f>
        <v>gpc_justicia_pib</v>
      </c>
      <c r="C129" s="6">
        <f>IFERROR(__xludf.DUMMYFUNCTION("""COMPUTED_VALUE"""),0.314130522778952)</f>
        <v>0.3141305228</v>
      </c>
      <c r="D129" s="6">
        <v>1984.0</v>
      </c>
      <c r="E129" s="6" t="s">
        <v>38</v>
      </c>
      <c r="F129" s="6">
        <v>0.314130522778952</v>
      </c>
    </row>
    <row r="130">
      <c r="A130" s="9">
        <f>IFERROR(__xludf.DUMMYFUNCTION("""COMPUTED_VALUE"""),30682.0)</f>
        <v>30682</v>
      </c>
      <c r="B130" s="6" t="str">
        <f>IFERROR(__xludf.DUMMYFUNCTION("""COMPUTED_VALUE"""),"gpc_defensa_seguridad_pib")</f>
        <v>gpc_defensa_seguridad_pib</v>
      </c>
      <c r="C130" s="6">
        <f>IFERROR(__xludf.DUMMYFUNCTION("""COMPUTED_VALUE"""),2.02275525674268)</f>
        <v>2.022755257</v>
      </c>
      <c r="D130" s="6">
        <v>1984.0</v>
      </c>
      <c r="E130" s="6" t="s">
        <v>39</v>
      </c>
      <c r="F130" s="6">
        <v>2.02275525674268</v>
      </c>
    </row>
    <row r="131">
      <c r="A131" s="9">
        <f>IFERROR(__xludf.DUMMYFUNCTION("""COMPUTED_VALUE"""),30682.0)</f>
        <v>30682</v>
      </c>
      <c r="B131" s="6" t="str">
        <f>IFERROR(__xludf.DUMMYFUNCTION("""COMPUTED_VALUE"""),"gpc_servicios_sociales_pib")</f>
        <v>gpc_servicios_sociales_pib</v>
      </c>
      <c r="C131" s="6">
        <f>IFERROR(__xludf.DUMMYFUNCTION("""COMPUTED_VALUE"""),12.9662153901989)</f>
        <v>12.96621539</v>
      </c>
      <c r="D131" s="6">
        <v>1984.0</v>
      </c>
      <c r="E131" s="6" t="s">
        <v>40</v>
      </c>
      <c r="F131" s="6">
        <v>12.9662153901989</v>
      </c>
    </row>
    <row r="132">
      <c r="A132" s="9">
        <f>IFERROR(__xludf.DUMMYFUNCTION("""COMPUTED_VALUE"""),30682.0)</f>
        <v>30682</v>
      </c>
      <c r="B132" s="6" t="str">
        <f>IFERROR(__xludf.DUMMYFUNCTION("""COMPUTED_VALUE"""),"gpc_educacion_basica_pib")</f>
        <v>gpc_educacion_basica_pib</v>
      </c>
      <c r="C132" s="6">
        <f>IFERROR(__xludf.DUMMYFUNCTION("""COMPUTED_VALUE"""),2.09235210663943)</f>
        <v>2.092352107</v>
      </c>
      <c r="D132" s="6">
        <v>1984.0</v>
      </c>
      <c r="E132" s="6" t="s">
        <v>41</v>
      </c>
      <c r="F132" s="6">
        <v>2.09235210663943</v>
      </c>
    </row>
    <row r="133">
      <c r="A133" s="9">
        <f>IFERROR(__xludf.DUMMYFUNCTION("""COMPUTED_VALUE"""),30682.0)</f>
        <v>30682</v>
      </c>
      <c r="B133" s="6" t="str">
        <f>IFERROR(__xludf.DUMMYFUNCTION("""COMPUTED_VALUE"""),"gpc_educacion_universitaria_pib")</f>
        <v>gpc_educacion_universitaria_pib</v>
      </c>
      <c r="C133" s="6">
        <f>IFERROR(__xludf.DUMMYFUNCTION("""COMPUTED_VALUE"""),0.43511897186118)</f>
        <v>0.4351189719</v>
      </c>
      <c r="D133" s="6">
        <v>1984.0</v>
      </c>
      <c r="E133" s="6" t="s">
        <v>42</v>
      </c>
      <c r="F133" s="6">
        <v>0.43511897186118</v>
      </c>
    </row>
    <row r="134">
      <c r="A134" s="9">
        <f>IFERROR(__xludf.DUMMYFUNCTION("""COMPUTED_VALUE"""),30682.0)</f>
        <v>30682</v>
      </c>
      <c r="B134" s="6" t="str">
        <f>IFERROR(__xludf.DUMMYFUNCTION("""COMPUTED_VALUE"""),"gpc_ciencia_tecnica_pib")</f>
        <v>gpc_ciencia_tecnica_pib</v>
      </c>
      <c r="C134" s="6">
        <f>IFERROR(__xludf.DUMMYFUNCTION("""COMPUTED_VALUE"""),0.188317124265616)</f>
        <v>0.1883171243</v>
      </c>
      <c r="D134" s="6">
        <v>1984.0</v>
      </c>
      <c r="E134" s="6" t="s">
        <v>43</v>
      </c>
      <c r="F134" s="6">
        <v>0.188317124265616</v>
      </c>
    </row>
    <row r="135">
      <c r="A135" s="9">
        <f>IFERROR(__xludf.DUMMYFUNCTION("""COMPUTED_VALUE"""),30682.0)</f>
        <v>30682</v>
      </c>
      <c r="B135" s="6" t="str">
        <f>IFERROR(__xludf.DUMMYFUNCTION("""COMPUTED_VALUE"""),"gpc_cultura_pib")</f>
        <v>gpc_cultura_pib</v>
      </c>
      <c r="C135" s="6">
        <f>IFERROR(__xludf.DUMMYFUNCTION("""COMPUTED_VALUE"""),0.0814772155176039)</f>
        <v>0.08147721552</v>
      </c>
      <c r="D135" s="6">
        <v>1984.0</v>
      </c>
      <c r="E135" s="6" t="s">
        <v>44</v>
      </c>
      <c r="F135" s="6">
        <v>0.0814772155176039</v>
      </c>
    </row>
    <row r="136">
      <c r="A136" s="9">
        <f>IFERROR(__xludf.DUMMYFUNCTION("""COMPUTED_VALUE"""),30682.0)</f>
        <v>30682</v>
      </c>
      <c r="B136" s="6" t="str">
        <f>IFERROR(__xludf.DUMMYFUNCTION("""COMPUTED_VALUE"""),"gpc_educacion_cultura_sin_discriminar_pib")</f>
        <v>gpc_educacion_cultura_sin_discriminar_pib</v>
      </c>
      <c r="C136" s="6">
        <f>IFERROR(__xludf.DUMMYFUNCTION("""COMPUTED_VALUE"""),0.279350453203213)</f>
        <v>0.2793504532</v>
      </c>
      <c r="D136" s="6">
        <v>1984.0</v>
      </c>
      <c r="E136" s="6" t="s">
        <v>45</v>
      </c>
      <c r="F136" s="6">
        <v>0.279350453203213</v>
      </c>
    </row>
    <row r="137">
      <c r="A137" s="9">
        <f>IFERROR(__xludf.DUMMYFUNCTION("""COMPUTED_VALUE"""),30682.0)</f>
        <v>30682</v>
      </c>
      <c r="B137" s="6" t="str">
        <f>IFERROR(__xludf.DUMMYFUNCTION("""COMPUTED_VALUE"""),"gpc_atencion_salud_pib")</f>
        <v>gpc_atencion_salud_pib</v>
      </c>
      <c r="C137" s="6">
        <f>IFERROR(__xludf.DUMMYFUNCTION("""COMPUTED_VALUE"""),1.20555957231099)</f>
        <v>1.205559572</v>
      </c>
      <c r="D137" s="6">
        <v>1984.0</v>
      </c>
      <c r="E137" s="6" t="s">
        <v>46</v>
      </c>
      <c r="F137" s="6">
        <v>1.20555957231099</v>
      </c>
    </row>
    <row r="138">
      <c r="A138" s="9">
        <f>IFERROR(__xludf.DUMMYFUNCTION("""COMPUTED_VALUE"""),30682.0)</f>
        <v>30682</v>
      </c>
      <c r="B138" s="6" t="str">
        <f>IFERROR(__xludf.DUMMYFUNCTION("""COMPUTED_VALUE"""),"gpc_obras_sociales_salud_pib")</f>
        <v>gpc_obras_sociales_salud_pib</v>
      </c>
      <c r="C138" s="6">
        <f>IFERROR(__xludf.DUMMYFUNCTION("""COMPUTED_VALUE"""),1.69108596641863)</f>
        <v>1.691085966</v>
      </c>
      <c r="D138" s="6">
        <v>1984.0</v>
      </c>
      <c r="E138" s="6" t="s">
        <v>47</v>
      </c>
      <c r="F138" s="6">
        <v>1.69108596641863</v>
      </c>
    </row>
    <row r="139">
      <c r="A139" s="9">
        <f>IFERROR(__xludf.DUMMYFUNCTION("""COMPUTED_VALUE"""),30682.0)</f>
        <v>30682</v>
      </c>
      <c r="B139" s="6" t="str">
        <f>IFERROR(__xludf.DUMMYFUNCTION("""COMPUTED_VALUE"""),"gpc_inssjyp_salud_pib")</f>
        <v>gpc_inssjyp_salud_pib</v>
      </c>
      <c r="C139" s="6">
        <f>IFERROR(__xludf.DUMMYFUNCTION("""COMPUTED_VALUE"""),0.520674325964139)</f>
        <v>0.520674326</v>
      </c>
      <c r="D139" s="6">
        <v>1984.0</v>
      </c>
      <c r="E139" s="6" t="s">
        <v>48</v>
      </c>
      <c r="F139" s="6">
        <v>0.520674325964139</v>
      </c>
    </row>
    <row r="140">
      <c r="A140" s="9">
        <f>IFERROR(__xludf.DUMMYFUNCTION("""COMPUTED_VALUE"""),30682.0)</f>
        <v>30682</v>
      </c>
      <c r="B140" s="6" t="str">
        <f>IFERROR(__xludf.DUMMYFUNCTION("""COMPUTED_VALUE"""),"gpc_agua_alcantarillado_pib")</f>
        <v>gpc_agua_alcantarillado_pib</v>
      </c>
      <c r="C140" s="6">
        <f>IFERROR(__xludf.DUMMYFUNCTION("""COMPUTED_VALUE"""),0.193250814905607)</f>
        <v>0.1932508149</v>
      </c>
      <c r="D140" s="6">
        <v>1984.0</v>
      </c>
      <c r="E140" s="6" t="s">
        <v>49</v>
      </c>
      <c r="F140" s="6">
        <v>0.193250814905607</v>
      </c>
    </row>
    <row r="141">
      <c r="A141" s="9">
        <f>IFERROR(__xludf.DUMMYFUNCTION("""COMPUTED_VALUE"""),30682.0)</f>
        <v>30682</v>
      </c>
      <c r="B141" s="6" t="str">
        <f>IFERROR(__xludf.DUMMYFUNCTION("""COMPUTED_VALUE"""),"gpc_vivienda_urbanismo_pib")</f>
        <v>gpc_vivienda_urbanismo_pib</v>
      </c>
      <c r="C141" s="6">
        <f>IFERROR(__xludf.DUMMYFUNCTION("""COMPUTED_VALUE"""),0.592803290406058)</f>
        <v>0.5928032904</v>
      </c>
      <c r="D141" s="6">
        <v>1984.0</v>
      </c>
      <c r="E141" s="6" t="s">
        <v>50</v>
      </c>
      <c r="F141" s="6">
        <v>0.592803290406058</v>
      </c>
    </row>
    <row r="142">
      <c r="A142" s="9">
        <f>IFERROR(__xludf.DUMMYFUNCTION("""COMPUTED_VALUE"""),30682.0)</f>
        <v>30682</v>
      </c>
      <c r="B142" s="6" t="str">
        <f>IFERROR(__xludf.DUMMYFUNCTION("""COMPUTED_VALUE"""),"gpc_promocion_asistencia_social_pib")</f>
        <v>gpc_promocion_asistencia_social_pib</v>
      </c>
      <c r="C142" s="6">
        <f>IFERROR(__xludf.DUMMYFUNCTION("""COMPUTED_VALUE"""),0.501225025298512)</f>
        <v>0.5012250253</v>
      </c>
      <c r="D142" s="6">
        <v>1984.0</v>
      </c>
      <c r="E142" s="6" t="s">
        <v>51</v>
      </c>
      <c r="F142" s="6">
        <v>0.501225025298512</v>
      </c>
    </row>
    <row r="143">
      <c r="A143" s="9">
        <f>IFERROR(__xludf.DUMMYFUNCTION("""COMPUTED_VALUE"""),30682.0)</f>
        <v>30682</v>
      </c>
      <c r="B143" s="6" t="str">
        <f>IFERROR(__xludf.DUMMYFUNCTION("""COMPUTED_VALUE"""),"gpc_obras_sociales_prestaciones_pib")</f>
        <v>gpc_obras_sociales_prestaciones_pib</v>
      </c>
      <c r="C143" s="6">
        <f>IFERROR(__xludf.DUMMYFUNCTION("""COMPUTED_VALUE"""),0.23964052643448)</f>
        <v>0.2396405264</v>
      </c>
      <c r="D143" s="6">
        <v>1984.0</v>
      </c>
      <c r="E143" s="6" t="s">
        <v>52</v>
      </c>
      <c r="F143" s="6">
        <v>0.23964052643448</v>
      </c>
    </row>
    <row r="144">
      <c r="A144" s="9">
        <f>IFERROR(__xludf.DUMMYFUNCTION("""COMPUTED_VALUE"""),30682.0)</f>
        <v>30682</v>
      </c>
      <c r="B144" s="6" t="str">
        <f>IFERROR(__xludf.DUMMYFUNCTION("""COMPUTED_VALUE"""),"gpc_inssjyp_prestaciones_pib")</f>
        <v>gpc_inssjyp_prestaciones_pib</v>
      </c>
      <c r="C144" s="6">
        <f>IFERROR(__xludf.DUMMYFUNCTION("""COMPUTED_VALUE"""),0.0391905406639674)</f>
        <v>0.03919054066</v>
      </c>
      <c r="D144" s="6">
        <v>1984.0</v>
      </c>
      <c r="E144" s="6" t="s">
        <v>53</v>
      </c>
      <c r="F144" s="6">
        <v>0.0391905406639674</v>
      </c>
    </row>
    <row r="145">
      <c r="A145" s="9">
        <f>IFERROR(__xludf.DUMMYFUNCTION("""COMPUTED_VALUE"""),30682.0)</f>
        <v>30682</v>
      </c>
      <c r="B145" s="6" t="str">
        <f>IFERROR(__xludf.DUMMYFUNCTION("""COMPUTED_VALUE"""),"gpc_prevision_social_pib")</f>
        <v>gpc_prevision_social_pib</v>
      </c>
      <c r="C145" s="6">
        <f>IFERROR(__xludf.DUMMYFUNCTION("""COMPUTED_VALUE"""),4.04485488715592)</f>
        <v>4.044854887</v>
      </c>
      <c r="D145" s="6">
        <v>1984.0</v>
      </c>
      <c r="E145" s="6" t="s">
        <v>54</v>
      </c>
      <c r="F145" s="6">
        <v>4.04485488715592</v>
      </c>
    </row>
    <row r="146">
      <c r="A146" s="9">
        <f>IFERROR(__xludf.DUMMYFUNCTION("""COMPUTED_VALUE"""),30682.0)</f>
        <v>30682</v>
      </c>
      <c r="B146" s="6" t="str">
        <f>IFERROR(__xludf.DUMMYFUNCTION("""COMPUTED_VALUE"""),"gpc_programas_empleo_pib")</f>
        <v>gpc_programas_empleo_pib</v>
      </c>
      <c r="C146" s="6">
        <f>IFERROR(__xludf.DUMMYFUNCTION("""COMPUTED_VALUE"""),0.0184254903091952)</f>
        <v>0.01842549031</v>
      </c>
      <c r="D146" s="6">
        <v>1984.0</v>
      </c>
      <c r="E146" s="6" t="s">
        <v>55</v>
      </c>
      <c r="F146" s="6">
        <v>0.0184254903091952</v>
      </c>
    </row>
    <row r="147">
      <c r="A147" s="9">
        <f>IFERROR(__xludf.DUMMYFUNCTION("""COMPUTED_VALUE"""),30682.0)</f>
        <v>30682</v>
      </c>
      <c r="B147" s="6" t="str">
        <f>IFERROR(__xludf.DUMMYFUNCTION("""COMPUTED_VALUE"""),"gpc_asignaciones_familiares_pib")</f>
        <v>gpc_asignaciones_familiares_pib</v>
      </c>
      <c r="C147" s="6">
        <f>IFERROR(__xludf.DUMMYFUNCTION("""COMPUTED_VALUE"""),0.385526904624868)</f>
        <v>0.3855269046</v>
      </c>
      <c r="D147" s="6">
        <v>1984.0</v>
      </c>
      <c r="E147" s="6" t="s">
        <v>56</v>
      </c>
      <c r="F147" s="6">
        <v>0.385526904624868</v>
      </c>
    </row>
    <row r="148">
      <c r="A148" s="9">
        <f>IFERROR(__xludf.DUMMYFUNCTION("""COMPUTED_VALUE"""),30682.0)</f>
        <v>30682</v>
      </c>
      <c r="B148" s="6" t="str">
        <f>IFERROR(__xludf.DUMMYFUNCTION("""COMPUTED_VALUE"""),"gpc_otros_servicios_urbanos_pib")</f>
        <v>gpc_otros_servicios_urbanos_pib</v>
      </c>
      <c r="C148" s="6">
        <f>IFERROR(__xludf.DUMMYFUNCTION("""COMPUTED_VALUE"""),0.457362174219518)</f>
        <v>0.4573621742</v>
      </c>
      <c r="D148" s="6">
        <v>1984.0</v>
      </c>
      <c r="E148" s="6" t="s">
        <v>57</v>
      </c>
      <c r="F148" s="6">
        <v>0.457362174219518</v>
      </c>
    </row>
    <row r="149">
      <c r="A149" s="9">
        <f>IFERROR(__xludf.DUMMYFUNCTION("""COMPUTED_VALUE"""),30682.0)</f>
        <v>30682</v>
      </c>
      <c r="B149" s="6" t="str">
        <f>IFERROR(__xludf.DUMMYFUNCTION("""COMPUTED_VALUE"""),"gpc_servicios_economicos_pib")</f>
        <v>gpc_servicios_economicos_pib</v>
      </c>
      <c r="C149" s="6">
        <f>IFERROR(__xludf.DUMMYFUNCTION("""COMPUTED_VALUE"""),6.68606219371701)</f>
        <v>6.686062194</v>
      </c>
      <c r="D149" s="6">
        <v>1984.0</v>
      </c>
      <c r="E149" s="6" t="s">
        <v>58</v>
      </c>
      <c r="F149" s="6">
        <v>6.68606219371701</v>
      </c>
    </row>
    <row r="150">
      <c r="A150" s="9">
        <f>IFERROR(__xludf.DUMMYFUNCTION("""COMPUTED_VALUE"""),30682.0)</f>
        <v>30682</v>
      </c>
      <c r="B150" s="6" t="str">
        <f>IFERROR(__xludf.DUMMYFUNCTION("""COMPUTED_VALUE"""),"gpc_produccion_primaria_pib")</f>
        <v>gpc_produccion_primaria_pib</v>
      </c>
      <c r="C150" s="6">
        <f>IFERROR(__xludf.DUMMYFUNCTION("""COMPUTED_VALUE"""),0.367261280068554)</f>
        <v>0.3672612801</v>
      </c>
      <c r="D150" s="6">
        <v>1984.0</v>
      </c>
      <c r="E150" s="6" t="s">
        <v>59</v>
      </c>
      <c r="F150" s="6">
        <v>0.367261280068554</v>
      </c>
    </row>
    <row r="151">
      <c r="A151" s="9">
        <f>IFERROR(__xludf.DUMMYFUNCTION("""COMPUTED_VALUE"""),30682.0)</f>
        <v>30682</v>
      </c>
      <c r="B151" s="6" t="str">
        <f>IFERROR(__xludf.DUMMYFUNCTION("""COMPUTED_VALUE"""),"gpc_energia_combustible_pib")</f>
        <v>gpc_energia_combustible_pib</v>
      </c>
      <c r="C151" s="6">
        <f>IFERROR(__xludf.DUMMYFUNCTION("""COMPUTED_VALUE"""),2.68090019269312)</f>
        <v>2.680900193</v>
      </c>
      <c r="D151" s="6">
        <v>1984.0</v>
      </c>
      <c r="E151" s="6" t="s">
        <v>60</v>
      </c>
      <c r="F151" s="6">
        <v>2.68090019269312</v>
      </c>
    </row>
    <row r="152">
      <c r="A152" s="9">
        <f>IFERROR(__xludf.DUMMYFUNCTION("""COMPUTED_VALUE"""),30682.0)</f>
        <v>30682</v>
      </c>
      <c r="B152" s="6" t="str">
        <f>IFERROR(__xludf.DUMMYFUNCTION("""COMPUTED_VALUE"""),"gpc_industria_pib")</f>
        <v>gpc_industria_pib</v>
      </c>
      <c r="C152" s="6">
        <f>IFERROR(__xludf.DUMMYFUNCTION("""COMPUTED_VALUE"""),0.364329069969511)</f>
        <v>0.36432907</v>
      </c>
      <c r="D152" s="6">
        <v>1984.0</v>
      </c>
      <c r="E152" s="6" t="s">
        <v>61</v>
      </c>
      <c r="F152" s="6">
        <v>0.364329069969511</v>
      </c>
    </row>
    <row r="153">
      <c r="A153" s="9">
        <f>IFERROR(__xludf.DUMMYFUNCTION("""COMPUTED_VALUE"""),30682.0)</f>
        <v>30682</v>
      </c>
      <c r="B153" s="6" t="str">
        <f>IFERROR(__xludf.DUMMYFUNCTION("""COMPUTED_VALUE"""),"gpc_transporte_pib")</f>
        <v>gpc_transporte_pib</v>
      </c>
      <c r="C153" s="6">
        <f>IFERROR(__xludf.DUMMYFUNCTION("""COMPUTED_VALUE"""),2.07173025635461)</f>
        <v>2.071730256</v>
      </c>
      <c r="D153" s="6">
        <v>1984.0</v>
      </c>
      <c r="E153" s="6" t="s">
        <v>62</v>
      </c>
      <c r="F153" s="6">
        <v>2.07173025635461</v>
      </c>
    </row>
    <row r="154">
      <c r="A154" s="9">
        <f>IFERROR(__xludf.DUMMYFUNCTION("""COMPUTED_VALUE"""),30682.0)</f>
        <v>30682</v>
      </c>
      <c r="B154" s="6" t="str">
        <f>IFERROR(__xludf.DUMMYFUNCTION("""COMPUTED_VALUE"""),"gpc_comunicaciones_pib")</f>
        <v>gpc_comunicaciones_pib</v>
      </c>
      <c r="C154" s="6">
        <f>IFERROR(__xludf.DUMMYFUNCTION("""COMPUTED_VALUE"""),0.309528100719785)</f>
        <v>0.3095281007</v>
      </c>
      <c r="D154" s="6">
        <v>1984.0</v>
      </c>
      <c r="E154" s="6" t="s">
        <v>63</v>
      </c>
      <c r="F154" s="6">
        <v>0.309528100719785</v>
      </c>
    </row>
    <row r="155">
      <c r="A155" s="9">
        <f>IFERROR(__xludf.DUMMYFUNCTION("""COMPUTED_VALUE"""),30682.0)</f>
        <v>30682</v>
      </c>
      <c r="B155" s="6" t="str">
        <f>IFERROR(__xludf.DUMMYFUNCTION("""COMPUTED_VALUE"""),"gpc_otros_servicios_economicos_pib")</f>
        <v>gpc_otros_servicios_economicos_pib</v>
      </c>
      <c r="C155" s="6">
        <f>IFERROR(__xludf.DUMMYFUNCTION("""COMPUTED_VALUE"""),0.892313293911421)</f>
        <v>0.8923132939</v>
      </c>
      <c r="D155" s="6">
        <v>1984.0</v>
      </c>
      <c r="E155" s="6" t="s">
        <v>64</v>
      </c>
      <c r="F155" s="6">
        <v>0.892313293911421</v>
      </c>
    </row>
    <row r="156">
      <c r="A156" s="9">
        <f>IFERROR(__xludf.DUMMYFUNCTION("""COMPUTED_VALUE"""),30682.0)</f>
        <v>30682</v>
      </c>
      <c r="B156" s="6" t="str">
        <f>IFERROR(__xludf.DUMMYFUNCTION("""COMPUTED_VALUE"""),"gpc_servicios_deuda_publica_pib")</f>
        <v>gpc_servicios_deuda_publica_pib</v>
      </c>
      <c r="C156" s="6">
        <f>IFERROR(__xludf.DUMMYFUNCTION("""COMPUTED_VALUE"""),3.07101731319775)</f>
        <v>3.071017313</v>
      </c>
      <c r="D156" s="6">
        <v>1984.0</v>
      </c>
      <c r="E156" s="6" t="s">
        <v>65</v>
      </c>
      <c r="F156" s="6">
        <v>3.07101731319775</v>
      </c>
    </row>
    <row r="157">
      <c r="A157" s="9">
        <f>IFERROR(__xludf.DUMMYFUNCTION("""COMPUTED_VALUE"""),31048.0)</f>
        <v>31048</v>
      </c>
      <c r="B157" s="6" t="str">
        <f>IFERROR(__xludf.DUMMYFUNCTION("""COMPUTED_VALUE"""),"gpc_pib")</f>
        <v>gpc_pib</v>
      </c>
      <c r="C157" s="6">
        <f>IFERROR(__xludf.DUMMYFUNCTION("""COMPUTED_VALUE"""),29.9539427981967)</f>
        <v>29.9539428</v>
      </c>
      <c r="D157" s="6">
        <v>1985.0</v>
      </c>
      <c r="E157" s="6" t="s">
        <v>66</v>
      </c>
      <c r="F157" s="6">
        <v>29.9539427981967</v>
      </c>
    </row>
    <row r="158">
      <c r="A158" s="9">
        <f>IFERROR(__xludf.DUMMYFUNCTION("""COMPUTED_VALUE"""),31048.0)</f>
        <v>31048</v>
      </c>
      <c r="B158" s="6" t="str">
        <f>IFERROR(__xludf.DUMMYFUNCTION("""COMPUTED_VALUE"""),"gpc_funcionamiento_estado_pib")</f>
        <v>gpc_funcionamiento_estado_pib</v>
      </c>
      <c r="C158" s="6">
        <f>IFERROR(__xludf.DUMMYFUNCTION("""COMPUTED_VALUE"""),4.31129011920676)</f>
        <v>4.311290119</v>
      </c>
      <c r="D158" s="6">
        <v>1985.0</v>
      </c>
      <c r="E158" s="6" t="s">
        <v>36</v>
      </c>
      <c r="F158" s="6">
        <v>4.31129011920676</v>
      </c>
    </row>
    <row r="159">
      <c r="A159" s="9">
        <f>IFERROR(__xludf.DUMMYFUNCTION("""COMPUTED_VALUE"""),31048.0)</f>
        <v>31048</v>
      </c>
      <c r="B159" s="6" t="str">
        <f>IFERROR(__xludf.DUMMYFUNCTION("""COMPUTED_VALUE"""),"gpc_administracion_general_pib")</f>
        <v>gpc_administracion_general_pib</v>
      </c>
      <c r="C159" s="6">
        <f>IFERROR(__xludf.DUMMYFUNCTION("""COMPUTED_VALUE"""),1.90517464782132)</f>
        <v>1.905174648</v>
      </c>
      <c r="D159" s="6">
        <v>1985.0</v>
      </c>
      <c r="E159" s="6" t="s">
        <v>37</v>
      </c>
      <c r="F159" s="6">
        <v>1.90517464782132</v>
      </c>
    </row>
    <row r="160">
      <c r="A160" s="9">
        <f>IFERROR(__xludf.DUMMYFUNCTION("""COMPUTED_VALUE"""),31048.0)</f>
        <v>31048</v>
      </c>
      <c r="B160" s="6" t="str">
        <f>IFERROR(__xludf.DUMMYFUNCTION("""COMPUTED_VALUE"""),"gpc_justicia_pib")</f>
        <v>gpc_justicia_pib</v>
      </c>
      <c r="C160" s="6">
        <f>IFERROR(__xludf.DUMMYFUNCTION("""COMPUTED_VALUE"""),0.353657551061509)</f>
        <v>0.3536575511</v>
      </c>
      <c r="D160" s="6">
        <v>1985.0</v>
      </c>
      <c r="E160" s="6" t="s">
        <v>38</v>
      </c>
      <c r="F160" s="6">
        <v>0.353657551061509</v>
      </c>
    </row>
    <row r="161">
      <c r="A161" s="9">
        <f>IFERROR(__xludf.DUMMYFUNCTION("""COMPUTED_VALUE"""),31048.0)</f>
        <v>31048</v>
      </c>
      <c r="B161" s="6" t="str">
        <f>IFERROR(__xludf.DUMMYFUNCTION("""COMPUTED_VALUE"""),"gpc_defensa_seguridad_pib")</f>
        <v>gpc_defensa_seguridad_pib</v>
      </c>
      <c r="C161" s="6">
        <f>IFERROR(__xludf.DUMMYFUNCTION("""COMPUTED_VALUE"""),2.05245792032393)</f>
        <v>2.05245792</v>
      </c>
      <c r="D161" s="6">
        <v>1985.0</v>
      </c>
      <c r="E161" s="6" t="s">
        <v>39</v>
      </c>
      <c r="F161" s="6">
        <v>2.05245792032393</v>
      </c>
    </row>
    <row r="162">
      <c r="A162" s="9">
        <f>IFERROR(__xludf.DUMMYFUNCTION("""COMPUTED_VALUE"""),31048.0)</f>
        <v>31048</v>
      </c>
      <c r="B162" s="6" t="str">
        <f>IFERROR(__xludf.DUMMYFUNCTION("""COMPUTED_VALUE"""),"gpc_servicios_sociales_pib")</f>
        <v>gpc_servicios_sociales_pib</v>
      </c>
      <c r="C162" s="6">
        <f>IFERROR(__xludf.DUMMYFUNCTION("""COMPUTED_VALUE"""),14.945165951527)</f>
        <v>14.94516595</v>
      </c>
      <c r="D162" s="6">
        <v>1985.0</v>
      </c>
      <c r="E162" s="6" t="s">
        <v>40</v>
      </c>
      <c r="F162" s="6">
        <v>14.945165951527</v>
      </c>
    </row>
    <row r="163">
      <c r="A163" s="9">
        <f>IFERROR(__xludf.DUMMYFUNCTION("""COMPUTED_VALUE"""),31048.0)</f>
        <v>31048</v>
      </c>
      <c r="B163" s="6" t="str">
        <f>IFERROR(__xludf.DUMMYFUNCTION("""COMPUTED_VALUE"""),"gpc_educacion_basica_pib")</f>
        <v>gpc_educacion_basica_pib</v>
      </c>
      <c r="C163" s="6">
        <f>IFERROR(__xludf.DUMMYFUNCTION("""COMPUTED_VALUE"""),2.05230702385168)</f>
        <v>2.052307024</v>
      </c>
      <c r="D163" s="6">
        <v>1985.0</v>
      </c>
      <c r="E163" s="6" t="s">
        <v>41</v>
      </c>
      <c r="F163" s="6">
        <v>2.05230702385168</v>
      </c>
    </row>
    <row r="164">
      <c r="A164" s="9">
        <f>IFERROR(__xludf.DUMMYFUNCTION("""COMPUTED_VALUE"""),31048.0)</f>
        <v>31048</v>
      </c>
      <c r="B164" s="6" t="str">
        <f>IFERROR(__xludf.DUMMYFUNCTION("""COMPUTED_VALUE"""),"gpc_educacion_universitaria_pib")</f>
        <v>gpc_educacion_universitaria_pib</v>
      </c>
      <c r="C164" s="6">
        <f>IFERROR(__xludf.DUMMYFUNCTION("""COMPUTED_VALUE"""),0.452058715212229)</f>
        <v>0.4520587152</v>
      </c>
      <c r="D164" s="6">
        <v>1985.0</v>
      </c>
      <c r="E164" s="6" t="s">
        <v>42</v>
      </c>
      <c r="F164" s="6">
        <v>0.452058715212229</v>
      </c>
    </row>
    <row r="165">
      <c r="A165" s="9">
        <f>IFERROR(__xludf.DUMMYFUNCTION("""COMPUTED_VALUE"""),31048.0)</f>
        <v>31048</v>
      </c>
      <c r="B165" s="6" t="str">
        <f>IFERROR(__xludf.DUMMYFUNCTION("""COMPUTED_VALUE"""),"gpc_ciencia_tecnica_pib")</f>
        <v>gpc_ciencia_tecnica_pib</v>
      </c>
      <c r="C165" s="6">
        <f>IFERROR(__xludf.DUMMYFUNCTION("""COMPUTED_VALUE"""),0.244116144555823)</f>
        <v>0.2441161446</v>
      </c>
      <c r="D165" s="6">
        <v>1985.0</v>
      </c>
      <c r="E165" s="6" t="s">
        <v>43</v>
      </c>
      <c r="F165" s="6">
        <v>0.244116144555823</v>
      </c>
    </row>
    <row r="166">
      <c r="A166" s="9">
        <f>IFERROR(__xludf.DUMMYFUNCTION("""COMPUTED_VALUE"""),31048.0)</f>
        <v>31048</v>
      </c>
      <c r="B166" s="6" t="str">
        <f>IFERROR(__xludf.DUMMYFUNCTION("""COMPUTED_VALUE"""),"gpc_cultura_pib")</f>
        <v>gpc_cultura_pib</v>
      </c>
      <c r="C166" s="6">
        <f>IFERROR(__xludf.DUMMYFUNCTION("""COMPUTED_VALUE"""),0.087484765795333)</f>
        <v>0.0874847658</v>
      </c>
      <c r="D166" s="6">
        <v>1985.0</v>
      </c>
      <c r="E166" s="6" t="s">
        <v>44</v>
      </c>
      <c r="F166" s="6">
        <v>0.087484765795333</v>
      </c>
    </row>
    <row r="167">
      <c r="A167" s="9">
        <f>IFERROR(__xludf.DUMMYFUNCTION("""COMPUTED_VALUE"""),31048.0)</f>
        <v>31048</v>
      </c>
      <c r="B167" s="6" t="str">
        <f>IFERROR(__xludf.DUMMYFUNCTION("""COMPUTED_VALUE"""),"gpc_educacion_cultura_sin_discriminar_pib")</f>
        <v>gpc_educacion_cultura_sin_discriminar_pib</v>
      </c>
      <c r="C167" s="6">
        <f>IFERROR(__xludf.DUMMYFUNCTION("""COMPUTED_VALUE"""),0.29071860633526)</f>
        <v>0.2907186063</v>
      </c>
      <c r="D167" s="6">
        <v>1985.0</v>
      </c>
      <c r="E167" s="6" t="s">
        <v>45</v>
      </c>
      <c r="F167" s="6">
        <v>0.29071860633526</v>
      </c>
    </row>
    <row r="168">
      <c r="A168" s="9">
        <f>IFERROR(__xludf.DUMMYFUNCTION("""COMPUTED_VALUE"""),31048.0)</f>
        <v>31048</v>
      </c>
      <c r="B168" s="6" t="str">
        <f>IFERROR(__xludf.DUMMYFUNCTION("""COMPUTED_VALUE"""),"gpc_atencion_salud_pib")</f>
        <v>gpc_atencion_salud_pib</v>
      </c>
      <c r="C168" s="6">
        <f>IFERROR(__xludf.DUMMYFUNCTION("""COMPUTED_VALUE"""),1.24423651134349)</f>
        <v>1.244236511</v>
      </c>
      <c r="D168" s="6">
        <v>1985.0</v>
      </c>
      <c r="E168" s="6" t="s">
        <v>46</v>
      </c>
      <c r="F168" s="6">
        <v>1.24423651134349</v>
      </c>
    </row>
    <row r="169">
      <c r="A169" s="9">
        <f>IFERROR(__xludf.DUMMYFUNCTION("""COMPUTED_VALUE"""),31048.0)</f>
        <v>31048</v>
      </c>
      <c r="B169" s="6" t="str">
        <f>IFERROR(__xludf.DUMMYFUNCTION("""COMPUTED_VALUE"""),"gpc_obras_sociales_salud_pib")</f>
        <v>gpc_obras_sociales_salud_pib</v>
      </c>
      <c r="C169" s="6">
        <f>IFERROR(__xludf.DUMMYFUNCTION("""COMPUTED_VALUE"""),1.68971340453145)</f>
        <v>1.689713405</v>
      </c>
      <c r="D169" s="6">
        <v>1985.0</v>
      </c>
      <c r="E169" s="6" t="s">
        <v>47</v>
      </c>
      <c r="F169" s="6">
        <v>1.68971340453145</v>
      </c>
    </row>
    <row r="170">
      <c r="A170" s="9">
        <f>IFERROR(__xludf.DUMMYFUNCTION("""COMPUTED_VALUE"""),31048.0)</f>
        <v>31048</v>
      </c>
      <c r="B170" s="6" t="str">
        <f>IFERROR(__xludf.DUMMYFUNCTION("""COMPUTED_VALUE"""),"gpc_inssjyp_salud_pib")</f>
        <v>gpc_inssjyp_salud_pib</v>
      </c>
      <c r="C170" s="6">
        <f>IFERROR(__xludf.DUMMYFUNCTION("""COMPUTED_VALUE"""),0.557947553054473)</f>
        <v>0.5579475531</v>
      </c>
      <c r="D170" s="6">
        <v>1985.0</v>
      </c>
      <c r="E170" s="6" t="s">
        <v>48</v>
      </c>
      <c r="F170" s="6">
        <v>0.557947553054473</v>
      </c>
    </row>
    <row r="171">
      <c r="A171" s="9">
        <f>IFERROR(__xludf.DUMMYFUNCTION("""COMPUTED_VALUE"""),31048.0)</f>
        <v>31048</v>
      </c>
      <c r="B171" s="6" t="str">
        <f>IFERROR(__xludf.DUMMYFUNCTION("""COMPUTED_VALUE"""),"gpc_agua_alcantarillado_pib")</f>
        <v>gpc_agua_alcantarillado_pib</v>
      </c>
      <c r="C171" s="6">
        <f>IFERROR(__xludf.DUMMYFUNCTION("""COMPUTED_VALUE"""),0.176710920446439)</f>
        <v>0.1767109204</v>
      </c>
      <c r="D171" s="6">
        <v>1985.0</v>
      </c>
      <c r="E171" s="6" t="s">
        <v>49</v>
      </c>
      <c r="F171" s="6">
        <v>0.176710920446439</v>
      </c>
    </row>
    <row r="172">
      <c r="A172" s="9">
        <f>IFERROR(__xludf.DUMMYFUNCTION("""COMPUTED_VALUE"""),31048.0)</f>
        <v>31048</v>
      </c>
      <c r="B172" s="6" t="str">
        <f>IFERROR(__xludf.DUMMYFUNCTION("""COMPUTED_VALUE"""),"gpc_vivienda_urbanismo_pib")</f>
        <v>gpc_vivienda_urbanismo_pib</v>
      </c>
      <c r="C172" s="6">
        <f>IFERROR(__xludf.DUMMYFUNCTION("""COMPUTED_VALUE"""),0.587898972064111)</f>
        <v>0.5878989721</v>
      </c>
      <c r="D172" s="6">
        <v>1985.0</v>
      </c>
      <c r="E172" s="6" t="s">
        <v>50</v>
      </c>
      <c r="F172" s="6">
        <v>0.587898972064111</v>
      </c>
    </row>
    <row r="173">
      <c r="A173" s="9">
        <f>IFERROR(__xludf.DUMMYFUNCTION("""COMPUTED_VALUE"""),31048.0)</f>
        <v>31048</v>
      </c>
      <c r="B173" s="6" t="str">
        <f>IFERROR(__xludf.DUMMYFUNCTION("""COMPUTED_VALUE"""),"gpc_promocion_asistencia_social_pib")</f>
        <v>gpc_promocion_asistencia_social_pib</v>
      </c>
      <c r="C173" s="6">
        <f>IFERROR(__xludf.DUMMYFUNCTION("""COMPUTED_VALUE"""),0.686592888014836)</f>
        <v>0.686592888</v>
      </c>
      <c r="D173" s="6">
        <v>1985.0</v>
      </c>
      <c r="E173" s="6" t="s">
        <v>51</v>
      </c>
      <c r="F173" s="6">
        <v>0.686592888014836</v>
      </c>
    </row>
    <row r="174">
      <c r="A174" s="9">
        <f>IFERROR(__xludf.DUMMYFUNCTION("""COMPUTED_VALUE"""),31048.0)</f>
        <v>31048</v>
      </c>
      <c r="B174" s="6" t="str">
        <f>IFERROR(__xludf.DUMMYFUNCTION("""COMPUTED_VALUE"""),"gpc_obras_sociales_prestaciones_pib")</f>
        <v>gpc_obras_sociales_prestaciones_pib</v>
      </c>
      <c r="C174" s="6">
        <f>IFERROR(__xludf.DUMMYFUNCTION("""COMPUTED_VALUE"""),0.244372879282295)</f>
        <v>0.2443728793</v>
      </c>
      <c r="D174" s="6">
        <v>1985.0</v>
      </c>
      <c r="E174" s="6" t="s">
        <v>52</v>
      </c>
      <c r="F174" s="6">
        <v>0.244372879282295</v>
      </c>
    </row>
    <row r="175">
      <c r="A175" s="9">
        <f>IFERROR(__xludf.DUMMYFUNCTION("""COMPUTED_VALUE"""),31048.0)</f>
        <v>31048</v>
      </c>
      <c r="B175" s="6" t="str">
        <f>IFERROR(__xludf.DUMMYFUNCTION("""COMPUTED_VALUE"""),"gpc_inssjyp_prestaciones_pib")</f>
        <v>gpc_inssjyp_prestaciones_pib</v>
      </c>
      <c r="C175" s="6">
        <f>IFERROR(__xludf.DUMMYFUNCTION("""COMPUTED_VALUE"""),0.0419960523804442)</f>
        <v>0.04199605238</v>
      </c>
      <c r="D175" s="6">
        <v>1985.0</v>
      </c>
      <c r="E175" s="6" t="s">
        <v>53</v>
      </c>
      <c r="F175" s="6">
        <v>0.0419960523804442</v>
      </c>
    </row>
    <row r="176">
      <c r="A176" s="9">
        <f>IFERROR(__xludf.DUMMYFUNCTION("""COMPUTED_VALUE"""),31048.0)</f>
        <v>31048</v>
      </c>
      <c r="B176" s="6" t="str">
        <f>IFERROR(__xludf.DUMMYFUNCTION("""COMPUTED_VALUE"""),"gpc_prevision_social_pib")</f>
        <v>gpc_prevision_social_pib</v>
      </c>
      <c r="C176" s="6">
        <f>IFERROR(__xludf.DUMMYFUNCTION("""COMPUTED_VALUE"""),5.51343967396334)</f>
        <v>5.513439674</v>
      </c>
      <c r="D176" s="6">
        <v>1985.0</v>
      </c>
      <c r="E176" s="6" t="s">
        <v>54</v>
      </c>
      <c r="F176" s="6">
        <v>5.51343967396334</v>
      </c>
    </row>
    <row r="177">
      <c r="A177" s="9">
        <f>IFERROR(__xludf.DUMMYFUNCTION("""COMPUTED_VALUE"""),31048.0)</f>
        <v>31048</v>
      </c>
      <c r="B177" s="6" t="str">
        <f>IFERROR(__xludf.DUMMYFUNCTION("""COMPUTED_VALUE"""),"gpc_programas_empleo_pib")</f>
        <v>gpc_programas_empleo_pib</v>
      </c>
      <c r="C177" s="6">
        <f>IFERROR(__xludf.DUMMYFUNCTION("""COMPUTED_VALUE"""),0.0223759112514986)</f>
        <v>0.02237591125</v>
      </c>
      <c r="D177" s="6">
        <v>1985.0</v>
      </c>
      <c r="E177" s="6" t="s">
        <v>55</v>
      </c>
      <c r="F177" s="6">
        <v>0.0223759112514986</v>
      </c>
    </row>
    <row r="178">
      <c r="A178" s="9">
        <f>IFERROR(__xludf.DUMMYFUNCTION("""COMPUTED_VALUE"""),31048.0)</f>
        <v>31048</v>
      </c>
      <c r="B178" s="6" t="str">
        <f>IFERROR(__xludf.DUMMYFUNCTION("""COMPUTED_VALUE"""),"gpc_asignaciones_familiares_pib")</f>
        <v>gpc_asignaciones_familiares_pib</v>
      </c>
      <c r="C178" s="6">
        <f>IFERROR(__xludf.DUMMYFUNCTION("""COMPUTED_VALUE"""),0.439728716075503)</f>
        <v>0.4397287161</v>
      </c>
      <c r="D178" s="6">
        <v>1985.0</v>
      </c>
      <c r="E178" s="6" t="s">
        <v>56</v>
      </c>
      <c r="F178" s="6">
        <v>0.439728716075503</v>
      </c>
    </row>
    <row r="179">
      <c r="A179" s="9">
        <f>IFERROR(__xludf.DUMMYFUNCTION("""COMPUTED_VALUE"""),31048.0)</f>
        <v>31048</v>
      </c>
      <c r="B179" s="6" t="str">
        <f>IFERROR(__xludf.DUMMYFUNCTION("""COMPUTED_VALUE"""),"gpc_otros_servicios_urbanos_pib")</f>
        <v>gpc_otros_servicios_urbanos_pib</v>
      </c>
      <c r="C179" s="6">
        <f>IFERROR(__xludf.DUMMYFUNCTION("""COMPUTED_VALUE"""),0.613467213368809)</f>
        <v>0.6134672134</v>
      </c>
      <c r="D179" s="6">
        <v>1985.0</v>
      </c>
      <c r="E179" s="6" t="s">
        <v>57</v>
      </c>
      <c r="F179" s="6">
        <v>0.613467213368809</v>
      </c>
    </row>
    <row r="180">
      <c r="A180" s="9">
        <f>IFERROR(__xludf.DUMMYFUNCTION("""COMPUTED_VALUE"""),31048.0)</f>
        <v>31048</v>
      </c>
      <c r="B180" s="6" t="str">
        <f>IFERROR(__xludf.DUMMYFUNCTION("""COMPUTED_VALUE"""),"gpc_servicios_economicos_pib")</f>
        <v>gpc_servicios_economicos_pib</v>
      </c>
      <c r="C180" s="6">
        <f>IFERROR(__xludf.DUMMYFUNCTION("""COMPUTED_VALUE"""),7.01869546067143)</f>
        <v>7.018695461</v>
      </c>
      <c r="D180" s="6">
        <v>1985.0</v>
      </c>
      <c r="E180" s="6" t="s">
        <v>58</v>
      </c>
      <c r="F180" s="6">
        <v>7.01869546067143</v>
      </c>
    </row>
    <row r="181">
      <c r="A181" s="9">
        <f>IFERROR(__xludf.DUMMYFUNCTION("""COMPUTED_VALUE"""),31048.0)</f>
        <v>31048</v>
      </c>
      <c r="B181" s="6" t="str">
        <f>IFERROR(__xludf.DUMMYFUNCTION("""COMPUTED_VALUE"""),"gpc_produccion_primaria_pib")</f>
        <v>gpc_produccion_primaria_pib</v>
      </c>
      <c r="C181" s="6">
        <f>IFERROR(__xludf.DUMMYFUNCTION("""COMPUTED_VALUE"""),0.365961417797174)</f>
        <v>0.3659614178</v>
      </c>
      <c r="D181" s="6">
        <v>1985.0</v>
      </c>
      <c r="E181" s="6" t="s">
        <v>59</v>
      </c>
      <c r="F181" s="6">
        <v>0.365961417797174</v>
      </c>
    </row>
    <row r="182">
      <c r="A182" s="9">
        <f>IFERROR(__xludf.DUMMYFUNCTION("""COMPUTED_VALUE"""),31048.0)</f>
        <v>31048</v>
      </c>
      <c r="B182" s="6" t="str">
        <f>IFERROR(__xludf.DUMMYFUNCTION("""COMPUTED_VALUE"""),"gpc_energia_combustible_pib")</f>
        <v>gpc_energia_combustible_pib</v>
      </c>
      <c r="C182" s="6">
        <f>IFERROR(__xludf.DUMMYFUNCTION("""COMPUTED_VALUE"""),2.48784092613939)</f>
        <v>2.487840926</v>
      </c>
      <c r="D182" s="6">
        <v>1985.0</v>
      </c>
      <c r="E182" s="6" t="s">
        <v>60</v>
      </c>
      <c r="F182" s="6">
        <v>2.48784092613939</v>
      </c>
    </row>
    <row r="183">
      <c r="A183" s="9">
        <f>IFERROR(__xludf.DUMMYFUNCTION("""COMPUTED_VALUE"""),31048.0)</f>
        <v>31048</v>
      </c>
      <c r="B183" s="6" t="str">
        <f>IFERROR(__xludf.DUMMYFUNCTION("""COMPUTED_VALUE"""),"gpc_industria_pib")</f>
        <v>gpc_industria_pib</v>
      </c>
      <c r="C183" s="6">
        <f>IFERROR(__xludf.DUMMYFUNCTION("""COMPUTED_VALUE"""),0.388239650005205)</f>
        <v>0.38823965</v>
      </c>
      <c r="D183" s="6">
        <v>1985.0</v>
      </c>
      <c r="E183" s="6" t="s">
        <v>61</v>
      </c>
      <c r="F183" s="6">
        <v>0.388239650005205</v>
      </c>
    </row>
    <row r="184">
      <c r="A184" s="9">
        <f>IFERROR(__xludf.DUMMYFUNCTION("""COMPUTED_VALUE"""),31048.0)</f>
        <v>31048</v>
      </c>
      <c r="B184" s="6" t="str">
        <f>IFERROR(__xludf.DUMMYFUNCTION("""COMPUTED_VALUE"""),"gpc_transporte_pib")</f>
        <v>gpc_transporte_pib</v>
      </c>
      <c r="C184" s="6">
        <f>IFERROR(__xludf.DUMMYFUNCTION("""COMPUTED_VALUE"""),1.95487826572107)</f>
        <v>1.954878266</v>
      </c>
      <c r="D184" s="6">
        <v>1985.0</v>
      </c>
      <c r="E184" s="6" t="s">
        <v>62</v>
      </c>
      <c r="F184" s="6">
        <v>1.95487826572107</v>
      </c>
    </row>
    <row r="185">
      <c r="A185" s="9">
        <f>IFERROR(__xludf.DUMMYFUNCTION("""COMPUTED_VALUE"""),31048.0)</f>
        <v>31048</v>
      </c>
      <c r="B185" s="6" t="str">
        <f>IFERROR(__xludf.DUMMYFUNCTION("""COMPUTED_VALUE"""),"gpc_comunicaciones_pib")</f>
        <v>gpc_comunicaciones_pib</v>
      </c>
      <c r="C185" s="6">
        <f>IFERROR(__xludf.DUMMYFUNCTION("""COMPUTED_VALUE"""),0.254335858886947)</f>
        <v>0.2543358589</v>
      </c>
      <c r="D185" s="6">
        <v>1985.0</v>
      </c>
      <c r="E185" s="6" t="s">
        <v>63</v>
      </c>
      <c r="F185" s="6">
        <v>0.254335858886947</v>
      </c>
    </row>
    <row r="186">
      <c r="A186" s="9">
        <f>IFERROR(__xludf.DUMMYFUNCTION("""COMPUTED_VALUE"""),31048.0)</f>
        <v>31048</v>
      </c>
      <c r="B186" s="6" t="str">
        <f>IFERROR(__xludf.DUMMYFUNCTION("""COMPUTED_VALUE"""),"gpc_otros_servicios_economicos_pib")</f>
        <v>gpc_otros_servicios_economicos_pib</v>
      </c>
      <c r="C186" s="6">
        <f>IFERROR(__xludf.DUMMYFUNCTION("""COMPUTED_VALUE"""),1.56743934212163)</f>
        <v>1.567439342</v>
      </c>
      <c r="D186" s="6">
        <v>1985.0</v>
      </c>
      <c r="E186" s="6" t="s">
        <v>64</v>
      </c>
      <c r="F186" s="6">
        <v>1.56743934212163</v>
      </c>
    </row>
    <row r="187">
      <c r="A187" s="9">
        <f>IFERROR(__xludf.DUMMYFUNCTION("""COMPUTED_VALUE"""),31048.0)</f>
        <v>31048</v>
      </c>
      <c r="B187" s="6" t="str">
        <f>IFERROR(__xludf.DUMMYFUNCTION("""COMPUTED_VALUE"""),"gpc_servicios_deuda_publica_pib")</f>
        <v>gpc_servicios_deuda_publica_pib</v>
      </c>
      <c r="C187" s="6">
        <f>IFERROR(__xludf.DUMMYFUNCTION("""COMPUTED_VALUE"""),3.67879126679151)</f>
        <v>3.678791267</v>
      </c>
      <c r="D187" s="6">
        <v>1985.0</v>
      </c>
      <c r="E187" s="6" t="s">
        <v>65</v>
      </c>
      <c r="F187" s="6">
        <v>3.67879126679151</v>
      </c>
    </row>
    <row r="188">
      <c r="A188" s="9">
        <f>IFERROR(__xludf.DUMMYFUNCTION("""COMPUTED_VALUE"""),31413.0)</f>
        <v>31413</v>
      </c>
      <c r="B188" s="6" t="str">
        <f>IFERROR(__xludf.DUMMYFUNCTION("""COMPUTED_VALUE"""),"gpc_pib")</f>
        <v>gpc_pib</v>
      </c>
      <c r="C188" s="6">
        <f>IFERROR(__xludf.DUMMYFUNCTION("""COMPUTED_VALUE"""),32.1536192846632)</f>
        <v>32.15361928</v>
      </c>
      <c r="D188" s="6">
        <v>1986.0</v>
      </c>
      <c r="E188" s="6" t="s">
        <v>66</v>
      </c>
      <c r="F188" s="6">
        <v>32.1536192846632</v>
      </c>
    </row>
    <row r="189">
      <c r="A189" s="9">
        <f>IFERROR(__xludf.DUMMYFUNCTION("""COMPUTED_VALUE"""),31413.0)</f>
        <v>31413</v>
      </c>
      <c r="B189" s="6" t="str">
        <f>IFERROR(__xludf.DUMMYFUNCTION("""COMPUTED_VALUE"""),"gpc_funcionamiento_estado_pib")</f>
        <v>gpc_funcionamiento_estado_pib</v>
      </c>
      <c r="C189" s="6">
        <f>IFERROR(__xludf.DUMMYFUNCTION("""COMPUTED_VALUE"""),5.11007715523228)</f>
        <v>5.110077155</v>
      </c>
      <c r="D189" s="6">
        <v>1986.0</v>
      </c>
      <c r="E189" s="6" t="s">
        <v>36</v>
      </c>
      <c r="F189" s="6">
        <v>5.11007715523228</v>
      </c>
    </row>
    <row r="190">
      <c r="A190" s="9">
        <f>IFERROR(__xludf.DUMMYFUNCTION("""COMPUTED_VALUE"""),31413.0)</f>
        <v>31413</v>
      </c>
      <c r="B190" s="6" t="str">
        <f>IFERROR(__xludf.DUMMYFUNCTION("""COMPUTED_VALUE"""),"gpc_administracion_general_pib")</f>
        <v>gpc_administracion_general_pib</v>
      </c>
      <c r="C190" s="6">
        <f>IFERROR(__xludf.DUMMYFUNCTION("""COMPUTED_VALUE"""),2.22002362086046)</f>
        <v>2.220023621</v>
      </c>
      <c r="D190" s="6">
        <v>1986.0</v>
      </c>
      <c r="E190" s="6" t="s">
        <v>37</v>
      </c>
      <c r="F190" s="6">
        <v>2.22002362086046</v>
      </c>
    </row>
    <row r="191">
      <c r="A191" s="9">
        <f>IFERROR(__xludf.DUMMYFUNCTION("""COMPUTED_VALUE"""),31413.0)</f>
        <v>31413</v>
      </c>
      <c r="B191" s="6" t="str">
        <f>IFERROR(__xludf.DUMMYFUNCTION("""COMPUTED_VALUE"""),"gpc_justicia_pib")</f>
        <v>gpc_justicia_pib</v>
      </c>
      <c r="C191" s="6">
        <f>IFERROR(__xludf.DUMMYFUNCTION("""COMPUTED_VALUE"""),0.43517296778604)</f>
        <v>0.4351729678</v>
      </c>
      <c r="D191" s="6">
        <v>1986.0</v>
      </c>
      <c r="E191" s="6" t="s">
        <v>38</v>
      </c>
      <c r="F191" s="6">
        <v>0.43517296778604</v>
      </c>
    </row>
    <row r="192">
      <c r="A192" s="9">
        <f>IFERROR(__xludf.DUMMYFUNCTION("""COMPUTED_VALUE"""),31413.0)</f>
        <v>31413</v>
      </c>
      <c r="B192" s="6" t="str">
        <f>IFERROR(__xludf.DUMMYFUNCTION("""COMPUTED_VALUE"""),"gpc_defensa_seguridad_pib")</f>
        <v>gpc_defensa_seguridad_pib</v>
      </c>
      <c r="C192" s="6">
        <f>IFERROR(__xludf.DUMMYFUNCTION("""COMPUTED_VALUE"""),2.45488056658577)</f>
        <v>2.454880567</v>
      </c>
      <c r="D192" s="6">
        <v>1986.0</v>
      </c>
      <c r="E192" s="6" t="s">
        <v>39</v>
      </c>
      <c r="F192" s="6">
        <v>2.45488056658577</v>
      </c>
    </row>
    <row r="193">
      <c r="A193" s="9">
        <f>IFERROR(__xludf.DUMMYFUNCTION("""COMPUTED_VALUE"""),31413.0)</f>
        <v>31413</v>
      </c>
      <c r="B193" s="6" t="str">
        <f>IFERROR(__xludf.DUMMYFUNCTION("""COMPUTED_VALUE"""),"gpc_servicios_sociales_pib")</f>
        <v>gpc_servicios_sociales_pib</v>
      </c>
      <c r="C193" s="6">
        <f>IFERROR(__xludf.DUMMYFUNCTION("""COMPUTED_VALUE"""),17.2403679796291)</f>
        <v>17.24036798</v>
      </c>
      <c r="D193" s="6">
        <v>1986.0</v>
      </c>
      <c r="E193" s="6" t="s">
        <v>40</v>
      </c>
      <c r="F193" s="6">
        <v>17.2403679796291</v>
      </c>
    </row>
    <row r="194">
      <c r="A194" s="9">
        <f>IFERROR(__xludf.DUMMYFUNCTION("""COMPUTED_VALUE"""),31413.0)</f>
        <v>31413</v>
      </c>
      <c r="B194" s="6" t="str">
        <f>IFERROR(__xludf.DUMMYFUNCTION("""COMPUTED_VALUE"""),"gpc_educacion_basica_pib")</f>
        <v>gpc_educacion_basica_pib</v>
      </c>
      <c r="C194" s="6">
        <f>IFERROR(__xludf.DUMMYFUNCTION("""COMPUTED_VALUE"""),2.54323305810903)</f>
        <v>2.543233058</v>
      </c>
      <c r="D194" s="6">
        <v>1986.0</v>
      </c>
      <c r="E194" s="6" t="s">
        <v>41</v>
      </c>
      <c r="F194" s="6">
        <v>2.54323305810903</v>
      </c>
    </row>
    <row r="195">
      <c r="A195" s="9">
        <f>IFERROR(__xludf.DUMMYFUNCTION("""COMPUTED_VALUE"""),31413.0)</f>
        <v>31413</v>
      </c>
      <c r="B195" s="6" t="str">
        <f>IFERROR(__xludf.DUMMYFUNCTION("""COMPUTED_VALUE"""),"gpc_educacion_universitaria_pib")</f>
        <v>gpc_educacion_universitaria_pib</v>
      </c>
      <c r="C195" s="6">
        <f>IFERROR(__xludf.DUMMYFUNCTION("""COMPUTED_VALUE"""),0.504947337501551)</f>
        <v>0.5049473375</v>
      </c>
      <c r="D195" s="6">
        <v>1986.0</v>
      </c>
      <c r="E195" s="6" t="s">
        <v>42</v>
      </c>
      <c r="F195" s="6">
        <v>0.504947337501551</v>
      </c>
    </row>
    <row r="196">
      <c r="A196" s="9">
        <f>IFERROR(__xludf.DUMMYFUNCTION("""COMPUTED_VALUE"""),31413.0)</f>
        <v>31413</v>
      </c>
      <c r="B196" s="6" t="str">
        <f>IFERROR(__xludf.DUMMYFUNCTION("""COMPUTED_VALUE"""),"gpc_ciencia_tecnica_pib")</f>
        <v>gpc_ciencia_tecnica_pib</v>
      </c>
      <c r="C196" s="6">
        <f>IFERROR(__xludf.DUMMYFUNCTION("""COMPUTED_VALUE"""),0.285517458537226)</f>
        <v>0.2855174585</v>
      </c>
      <c r="D196" s="6">
        <v>1986.0</v>
      </c>
      <c r="E196" s="6" t="s">
        <v>43</v>
      </c>
      <c r="F196" s="6">
        <v>0.285517458537226</v>
      </c>
    </row>
    <row r="197">
      <c r="A197" s="9">
        <f>IFERROR(__xludf.DUMMYFUNCTION("""COMPUTED_VALUE"""),31413.0)</f>
        <v>31413</v>
      </c>
      <c r="B197" s="6" t="str">
        <f>IFERROR(__xludf.DUMMYFUNCTION("""COMPUTED_VALUE"""),"gpc_cultura_pib")</f>
        <v>gpc_cultura_pib</v>
      </c>
      <c r="C197" s="6">
        <f>IFERROR(__xludf.DUMMYFUNCTION("""COMPUTED_VALUE"""),0.0881238866170701)</f>
        <v>0.08812388662</v>
      </c>
      <c r="D197" s="6">
        <v>1986.0</v>
      </c>
      <c r="E197" s="6" t="s">
        <v>44</v>
      </c>
      <c r="F197" s="6">
        <v>0.0881238866170701</v>
      </c>
    </row>
    <row r="198">
      <c r="A198" s="9">
        <f>IFERROR(__xludf.DUMMYFUNCTION("""COMPUTED_VALUE"""),31413.0)</f>
        <v>31413</v>
      </c>
      <c r="B198" s="6" t="str">
        <f>IFERROR(__xludf.DUMMYFUNCTION("""COMPUTED_VALUE"""),"gpc_educacion_cultura_sin_discriminar_pib")</f>
        <v>gpc_educacion_cultura_sin_discriminar_pib</v>
      </c>
      <c r="C198" s="6">
        <f>IFERROR(__xludf.DUMMYFUNCTION("""COMPUTED_VALUE"""),0.297614822436667)</f>
        <v>0.2976148224</v>
      </c>
      <c r="D198" s="6">
        <v>1986.0</v>
      </c>
      <c r="E198" s="6" t="s">
        <v>45</v>
      </c>
      <c r="F198" s="6">
        <v>0.297614822436667</v>
      </c>
    </row>
    <row r="199">
      <c r="A199" s="9">
        <f>IFERROR(__xludf.DUMMYFUNCTION("""COMPUTED_VALUE"""),31413.0)</f>
        <v>31413</v>
      </c>
      <c r="B199" s="6" t="str">
        <f>IFERROR(__xludf.DUMMYFUNCTION("""COMPUTED_VALUE"""),"gpc_atencion_salud_pib")</f>
        <v>gpc_atencion_salud_pib</v>
      </c>
      <c r="C199" s="6">
        <f>IFERROR(__xludf.DUMMYFUNCTION("""COMPUTED_VALUE"""),1.52156870760225)</f>
        <v>1.521568708</v>
      </c>
      <c r="D199" s="6">
        <v>1986.0</v>
      </c>
      <c r="E199" s="6" t="s">
        <v>46</v>
      </c>
      <c r="F199" s="6">
        <v>1.52156870760225</v>
      </c>
    </row>
    <row r="200">
      <c r="A200" s="9">
        <f>IFERROR(__xludf.DUMMYFUNCTION("""COMPUTED_VALUE"""),31413.0)</f>
        <v>31413</v>
      </c>
      <c r="B200" s="6" t="str">
        <f>IFERROR(__xludf.DUMMYFUNCTION("""COMPUTED_VALUE"""),"gpc_obras_sociales_salud_pib")</f>
        <v>gpc_obras_sociales_salud_pib</v>
      </c>
      <c r="C200" s="6">
        <f>IFERROR(__xludf.DUMMYFUNCTION("""COMPUTED_VALUE"""),1.89702595480005)</f>
        <v>1.897025955</v>
      </c>
      <c r="D200" s="6">
        <v>1986.0</v>
      </c>
      <c r="E200" s="6" t="s">
        <v>47</v>
      </c>
      <c r="F200" s="6">
        <v>1.89702595480005</v>
      </c>
    </row>
    <row r="201">
      <c r="A201" s="9">
        <f>IFERROR(__xludf.DUMMYFUNCTION("""COMPUTED_VALUE"""),31413.0)</f>
        <v>31413</v>
      </c>
      <c r="B201" s="6" t="str">
        <f>IFERROR(__xludf.DUMMYFUNCTION("""COMPUTED_VALUE"""),"gpc_inssjyp_salud_pib")</f>
        <v>gpc_inssjyp_salud_pib</v>
      </c>
      <c r="C201" s="6">
        <f>IFERROR(__xludf.DUMMYFUNCTION("""COMPUTED_VALUE"""),0.617225209608872)</f>
        <v>0.6172252096</v>
      </c>
      <c r="D201" s="6">
        <v>1986.0</v>
      </c>
      <c r="E201" s="6" t="s">
        <v>48</v>
      </c>
      <c r="F201" s="6">
        <v>0.617225209608872</v>
      </c>
    </row>
    <row r="202">
      <c r="A202" s="9">
        <f>IFERROR(__xludf.DUMMYFUNCTION("""COMPUTED_VALUE"""),31413.0)</f>
        <v>31413</v>
      </c>
      <c r="B202" s="6" t="str">
        <f>IFERROR(__xludf.DUMMYFUNCTION("""COMPUTED_VALUE"""),"gpc_agua_alcantarillado_pib")</f>
        <v>gpc_agua_alcantarillado_pib</v>
      </c>
      <c r="C202" s="6">
        <f>IFERROR(__xludf.DUMMYFUNCTION("""COMPUTED_VALUE"""),0.184753591590178)</f>
        <v>0.1847535916</v>
      </c>
      <c r="D202" s="6">
        <v>1986.0</v>
      </c>
      <c r="E202" s="6" t="s">
        <v>49</v>
      </c>
      <c r="F202" s="6">
        <v>0.184753591590178</v>
      </c>
    </row>
    <row r="203">
      <c r="A203" s="9">
        <f>IFERROR(__xludf.DUMMYFUNCTION("""COMPUTED_VALUE"""),31413.0)</f>
        <v>31413</v>
      </c>
      <c r="B203" s="6" t="str">
        <f>IFERROR(__xludf.DUMMYFUNCTION("""COMPUTED_VALUE"""),"gpc_vivienda_urbanismo_pib")</f>
        <v>gpc_vivienda_urbanismo_pib</v>
      </c>
      <c r="C203" s="6">
        <f>IFERROR(__xludf.DUMMYFUNCTION("""COMPUTED_VALUE"""),0.743545293331529)</f>
        <v>0.7435452933</v>
      </c>
      <c r="D203" s="6">
        <v>1986.0</v>
      </c>
      <c r="E203" s="6" t="s">
        <v>50</v>
      </c>
      <c r="F203" s="6">
        <v>0.743545293331529</v>
      </c>
    </row>
    <row r="204">
      <c r="A204" s="9">
        <f>IFERROR(__xludf.DUMMYFUNCTION("""COMPUTED_VALUE"""),31413.0)</f>
        <v>31413</v>
      </c>
      <c r="B204" s="6" t="str">
        <f>IFERROR(__xludf.DUMMYFUNCTION("""COMPUTED_VALUE"""),"gpc_promocion_asistencia_social_pib")</f>
        <v>gpc_promocion_asistencia_social_pib</v>
      </c>
      <c r="C204" s="6">
        <f>IFERROR(__xludf.DUMMYFUNCTION("""COMPUTED_VALUE"""),0.720939800056777)</f>
        <v>0.7209398001</v>
      </c>
      <c r="D204" s="6">
        <v>1986.0</v>
      </c>
      <c r="E204" s="6" t="s">
        <v>51</v>
      </c>
      <c r="F204" s="6">
        <v>0.720939800056777</v>
      </c>
    </row>
    <row r="205">
      <c r="A205" s="9">
        <f>IFERROR(__xludf.DUMMYFUNCTION("""COMPUTED_VALUE"""),31413.0)</f>
        <v>31413</v>
      </c>
      <c r="B205" s="6" t="str">
        <f>IFERROR(__xludf.DUMMYFUNCTION("""COMPUTED_VALUE"""),"gpc_obras_sociales_prestaciones_pib")</f>
        <v>gpc_obras_sociales_prestaciones_pib</v>
      </c>
      <c r="C205" s="6">
        <f>IFERROR(__xludf.DUMMYFUNCTION("""COMPUTED_VALUE"""),0.272532990385152)</f>
        <v>0.2725329904</v>
      </c>
      <c r="D205" s="6">
        <v>1986.0</v>
      </c>
      <c r="E205" s="6" t="s">
        <v>52</v>
      </c>
      <c r="F205" s="6">
        <v>0.272532990385152</v>
      </c>
    </row>
    <row r="206">
      <c r="A206" s="9">
        <f>IFERROR(__xludf.DUMMYFUNCTION("""COMPUTED_VALUE"""),31413.0)</f>
        <v>31413</v>
      </c>
      <c r="B206" s="6" t="str">
        <f>IFERROR(__xludf.DUMMYFUNCTION("""COMPUTED_VALUE"""),"gpc_inssjyp_prestaciones_pib")</f>
        <v>gpc_inssjyp_prestaciones_pib</v>
      </c>
      <c r="C206" s="6">
        <f>IFERROR(__xludf.DUMMYFUNCTION("""COMPUTED_VALUE"""),0.0464578114759366)</f>
        <v>0.04645781148</v>
      </c>
      <c r="D206" s="6">
        <v>1986.0</v>
      </c>
      <c r="E206" s="6" t="s">
        <v>53</v>
      </c>
      <c r="F206" s="6">
        <v>0.0464578114759366</v>
      </c>
    </row>
    <row r="207">
      <c r="A207" s="9">
        <f>IFERROR(__xludf.DUMMYFUNCTION("""COMPUTED_VALUE"""),31413.0)</f>
        <v>31413</v>
      </c>
      <c r="B207" s="6" t="str">
        <f>IFERROR(__xludf.DUMMYFUNCTION("""COMPUTED_VALUE"""),"gpc_prevision_social_pib")</f>
        <v>gpc_prevision_social_pib</v>
      </c>
      <c r="C207" s="6">
        <f>IFERROR(__xludf.DUMMYFUNCTION("""COMPUTED_VALUE"""),6.07269079119632)</f>
        <v>6.072690791</v>
      </c>
      <c r="D207" s="6">
        <v>1986.0</v>
      </c>
      <c r="E207" s="6" t="s">
        <v>54</v>
      </c>
      <c r="F207" s="6">
        <v>6.07269079119632</v>
      </c>
    </row>
    <row r="208">
      <c r="A208" s="9">
        <f>IFERROR(__xludf.DUMMYFUNCTION("""COMPUTED_VALUE"""),31413.0)</f>
        <v>31413</v>
      </c>
      <c r="B208" s="6" t="str">
        <f>IFERROR(__xludf.DUMMYFUNCTION("""COMPUTED_VALUE"""),"gpc_programas_empleo_pib")</f>
        <v>gpc_programas_empleo_pib</v>
      </c>
      <c r="C208" s="6">
        <f>IFERROR(__xludf.DUMMYFUNCTION("""COMPUTED_VALUE"""),0.0204573308218198)</f>
        <v>0.02045733082</v>
      </c>
      <c r="D208" s="6">
        <v>1986.0</v>
      </c>
      <c r="E208" s="6" t="s">
        <v>55</v>
      </c>
      <c r="F208" s="6">
        <v>0.0204573308218198</v>
      </c>
    </row>
    <row r="209">
      <c r="A209" s="9">
        <f>IFERROR(__xludf.DUMMYFUNCTION("""COMPUTED_VALUE"""),31413.0)</f>
        <v>31413</v>
      </c>
      <c r="B209" s="6" t="str">
        <f>IFERROR(__xludf.DUMMYFUNCTION("""COMPUTED_VALUE"""),"gpc_asignaciones_familiares_pib")</f>
        <v>gpc_asignaciones_familiares_pib</v>
      </c>
      <c r="C209" s="6">
        <f>IFERROR(__xludf.DUMMYFUNCTION("""COMPUTED_VALUE"""),0.689500565992154)</f>
        <v>0.689500566</v>
      </c>
      <c r="D209" s="6">
        <v>1986.0</v>
      </c>
      <c r="E209" s="6" t="s">
        <v>56</v>
      </c>
      <c r="F209" s="6">
        <v>0.689500565992154</v>
      </c>
    </row>
    <row r="210">
      <c r="A210" s="9">
        <f>IFERROR(__xludf.DUMMYFUNCTION("""COMPUTED_VALUE"""),31413.0)</f>
        <v>31413</v>
      </c>
      <c r="B210" s="6" t="str">
        <f>IFERROR(__xludf.DUMMYFUNCTION("""COMPUTED_VALUE"""),"gpc_otros_servicios_urbanos_pib")</f>
        <v>gpc_otros_servicios_urbanos_pib</v>
      </c>
      <c r="C210" s="6">
        <f>IFERROR(__xludf.DUMMYFUNCTION("""COMPUTED_VALUE"""),0.734233369566506)</f>
        <v>0.7342333696</v>
      </c>
      <c r="D210" s="6">
        <v>1986.0</v>
      </c>
      <c r="E210" s="6" t="s">
        <v>57</v>
      </c>
      <c r="F210" s="6">
        <v>0.734233369566506</v>
      </c>
    </row>
    <row r="211">
      <c r="A211" s="9">
        <f>IFERROR(__xludf.DUMMYFUNCTION("""COMPUTED_VALUE"""),31413.0)</f>
        <v>31413</v>
      </c>
      <c r="B211" s="6" t="str">
        <f>IFERROR(__xludf.DUMMYFUNCTION("""COMPUTED_VALUE"""),"gpc_servicios_economicos_pib")</f>
        <v>gpc_servicios_economicos_pib</v>
      </c>
      <c r="C211" s="6">
        <f>IFERROR(__xludf.DUMMYFUNCTION("""COMPUTED_VALUE"""),6.97111241415611)</f>
        <v>6.971112414</v>
      </c>
      <c r="D211" s="6">
        <v>1986.0</v>
      </c>
      <c r="E211" s="6" t="s">
        <v>58</v>
      </c>
      <c r="F211" s="6">
        <v>6.97111241415611</v>
      </c>
    </row>
    <row r="212">
      <c r="A212" s="9">
        <f>IFERROR(__xludf.DUMMYFUNCTION("""COMPUTED_VALUE"""),31413.0)</f>
        <v>31413</v>
      </c>
      <c r="B212" s="6" t="str">
        <f>IFERROR(__xludf.DUMMYFUNCTION("""COMPUTED_VALUE"""),"gpc_produccion_primaria_pib")</f>
        <v>gpc_produccion_primaria_pib</v>
      </c>
      <c r="C212" s="6">
        <f>IFERROR(__xludf.DUMMYFUNCTION("""COMPUTED_VALUE"""),0.451075680649824)</f>
        <v>0.4510756806</v>
      </c>
      <c r="D212" s="6">
        <v>1986.0</v>
      </c>
      <c r="E212" s="6" t="s">
        <v>59</v>
      </c>
      <c r="F212" s="6">
        <v>0.451075680649824</v>
      </c>
    </row>
    <row r="213">
      <c r="A213" s="9">
        <f>IFERROR(__xludf.DUMMYFUNCTION("""COMPUTED_VALUE"""),31413.0)</f>
        <v>31413</v>
      </c>
      <c r="B213" s="6" t="str">
        <f>IFERROR(__xludf.DUMMYFUNCTION("""COMPUTED_VALUE"""),"gpc_energia_combustible_pib")</f>
        <v>gpc_energia_combustible_pib</v>
      </c>
      <c r="C213" s="6">
        <f>IFERROR(__xludf.DUMMYFUNCTION("""COMPUTED_VALUE"""),2.32777720547556)</f>
        <v>2.327777205</v>
      </c>
      <c r="D213" s="6">
        <v>1986.0</v>
      </c>
      <c r="E213" s="6" t="s">
        <v>60</v>
      </c>
      <c r="F213" s="6">
        <v>2.32777720547556</v>
      </c>
    </row>
    <row r="214">
      <c r="A214" s="9">
        <f>IFERROR(__xludf.DUMMYFUNCTION("""COMPUTED_VALUE"""),31413.0)</f>
        <v>31413</v>
      </c>
      <c r="B214" s="6" t="str">
        <f>IFERROR(__xludf.DUMMYFUNCTION("""COMPUTED_VALUE"""),"gpc_industria_pib")</f>
        <v>gpc_industria_pib</v>
      </c>
      <c r="C214" s="6">
        <f>IFERROR(__xludf.DUMMYFUNCTION("""COMPUTED_VALUE"""),0.334905522829763)</f>
        <v>0.3349055228</v>
      </c>
      <c r="D214" s="6">
        <v>1986.0</v>
      </c>
      <c r="E214" s="6" t="s">
        <v>61</v>
      </c>
      <c r="F214" s="6">
        <v>0.334905522829763</v>
      </c>
    </row>
    <row r="215">
      <c r="A215" s="9">
        <f>IFERROR(__xludf.DUMMYFUNCTION("""COMPUTED_VALUE"""),31413.0)</f>
        <v>31413</v>
      </c>
      <c r="B215" s="6" t="str">
        <f>IFERROR(__xludf.DUMMYFUNCTION("""COMPUTED_VALUE"""),"gpc_transporte_pib")</f>
        <v>gpc_transporte_pib</v>
      </c>
      <c r="C215" s="6">
        <f>IFERROR(__xludf.DUMMYFUNCTION("""COMPUTED_VALUE"""),1.88080026357996)</f>
        <v>1.880800264</v>
      </c>
      <c r="D215" s="6">
        <v>1986.0</v>
      </c>
      <c r="E215" s="6" t="s">
        <v>62</v>
      </c>
      <c r="F215" s="6">
        <v>1.88080026357996</v>
      </c>
    </row>
    <row r="216">
      <c r="A216" s="9">
        <f>IFERROR(__xludf.DUMMYFUNCTION("""COMPUTED_VALUE"""),31413.0)</f>
        <v>31413</v>
      </c>
      <c r="B216" s="6" t="str">
        <f>IFERROR(__xludf.DUMMYFUNCTION("""COMPUTED_VALUE"""),"gpc_comunicaciones_pib")</f>
        <v>gpc_comunicaciones_pib</v>
      </c>
      <c r="C216" s="6">
        <f>IFERROR(__xludf.DUMMYFUNCTION("""COMPUTED_VALUE"""),0.395365315807652)</f>
        <v>0.3953653158</v>
      </c>
      <c r="D216" s="6">
        <v>1986.0</v>
      </c>
      <c r="E216" s="6" t="s">
        <v>63</v>
      </c>
      <c r="F216" s="6">
        <v>0.395365315807652</v>
      </c>
    </row>
    <row r="217">
      <c r="A217" s="9">
        <f>IFERROR(__xludf.DUMMYFUNCTION("""COMPUTED_VALUE"""),31413.0)</f>
        <v>31413</v>
      </c>
      <c r="B217" s="6" t="str">
        <f>IFERROR(__xludf.DUMMYFUNCTION("""COMPUTED_VALUE"""),"gpc_otros_servicios_economicos_pib")</f>
        <v>gpc_otros_servicios_economicos_pib</v>
      </c>
      <c r="C217" s="6">
        <f>IFERROR(__xludf.DUMMYFUNCTION("""COMPUTED_VALUE"""),1.58118842581335)</f>
        <v>1.581188426</v>
      </c>
      <c r="D217" s="6">
        <v>1986.0</v>
      </c>
      <c r="E217" s="6" t="s">
        <v>64</v>
      </c>
      <c r="F217" s="6">
        <v>1.58118842581335</v>
      </c>
    </row>
    <row r="218">
      <c r="A218" s="9">
        <f>IFERROR(__xludf.DUMMYFUNCTION("""COMPUTED_VALUE"""),31413.0)</f>
        <v>31413</v>
      </c>
      <c r="B218" s="6" t="str">
        <f>IFERROR(__xludf.DUMMYFUNCTION("""COMPUTED_VALUE"""),"gpc_servicios_deuda_publica_pib")</f>
        <v>gpc_servicios_deuda_publica_pib</v>
      </c>
      <c r="C218" s="6">
        <f>IFERROR(__xludf.DUMMYFUNCTION("""COMPUTED_VALUE"""),2.83206173564568)</f>
        <v>2.832061736</v>
      </c>
      <c r="D218" s="6">
        <v>1986.0</v>
      </c>
      <c r="E218" s="6" t="s">
        <v>65</v>
      </c>
      <c r="F218" s="6">
        <v>2.83206173564568</v>
      </c>
    </row>
    <row r="219">
      <c r="A219" s="9">
        <f>IFERROR(__xludf.DUMMYFUNCTION("""COMPUTED_VALUE"""),31778.0)</f>
        <v>31778</v>
      </c>
      <c r="B219" s="6" t="str">
        <f>IFERROR(__xludf.DUMMYFUNCTION("""COMPUTED_VALUE"""),"gpc_pib")</f>
        <v>gpc_pib</v>
      </c>
      <c r="C219" s="6">
        <f>IFERROR(__xludf.DUMMYFUNCTION("""COMPUTED_VALUE"""),34.6379523962947)</f>
        <v>34.6379524</v>
      </c>
      <c r="D219" s="6">
        <v>1987.0</v>
      </c>
      <c r="E219" s="6" t="s">
        <v>66</v>
      </c>
      <c r="F219" s="6">
        <v>34.6379523962947</v>
      </c>
    </row>
    <row r="220">
      <c r="A220" s="9">
        <f>IFERROR(__xludf.DUMMYFUNCTION("""COMPUTED_VALUE"""),31778.0)</f>
        <v>31778</v>
      </c>
      <c r="B220" s="6" t="str">
        <f>IFERROR(__xludf.DUMMYFUNCTION("""COMPUTED_VALUE"""),"gpc_funcionamiento_estado_pib")</f>
        <v>gpc_funcionamiento_estado_pib</v>
      </c>
      <c r="C220" s="6">
        <f>IFERROR(__xludf.DUMMYFUNCTION("""COMPUTED_VALUE"""),5.53782005259119)</f>
        <v>5.537820053</v>
      </c>
      <c r="D220" s="6">
        <v>1987.0</v>
      </c>
      <c r="E220" s="6" t="s">
        <v>36</v>
      </c>
      <c r="F220" s="6">
        <v>5.53782005259119</v>
      </c>
    </row>
    <row r="221">
      <c r="A221" s="9">
        <f>IFERROR(__xludf.DUMMYFUNCTION("""COMPUTED_VALUE"""),31778.0)</f>
        <v>31778</v>
      </c>
      <c r="B221" s="6" t="str">
        <f>IFERROR(__xludf.DUMMYFUNCTION("""COMPUTED_VALUE"""),"gpc_administracion_general_pib")</f>
        <v>gpc_administracion_general_pib</v>
      </c>
      <c r="C221" s="6">
        <f>IFERROR(__xludf.DUMMYFUNCTION("""COMPUTED_VALUE"""),2.48301036008911)</f>
        <v>2.48301036</v>
      </c>
      <c r="D221" s="6">
        <v>1987.0</v>
      </c>
      <c r="E221" s="6" t="s">
        <v>37</v>
      </c>
      <c r="F221" s="6">
        <v>2.48301036008911</v>
      </c>
    </row>
    <row r="222">
      <c r="A222" s="9">
        <f>IFERROR(__xludf.DUMMYFUNCTION("""COMPUTED_VALUE"""),31778.0)</f>
        <v>31778</v>
      </c>
      <c r="B222" s="6" t="str">
        <f>IFERROR(__xludf.DUMMYFUNCTION("""COMPUTED_VALUE"""),"gpc_justicia_pib")</f>
        <v>gpc_justicia_pib</v>
      </c>
      <c r="C222" s="6">
        <f>IFERROR(__xludf.DUMMYFUNCTION("""COMPUTED_VALUE"""),0.480368321961731)</f>
        <v>0.480368322</v>
      </c>
      <c r="D222" s="6">
        <v>1987.0</v>
      </c>
      <c r="E222" s="6" t="s">
        <v>38</v>
      </c>
      <c r="F222" s="6">
        <v>0.480368321961731</v>
      </c>
    </row>
    <row r="223">
      <c r="A223" s="9">
        <f>IFERROR(__xludf.DUMMYFUNCTION("""COMPUTED_VALUE"""),31778.0)</f>
        <v>31778</v>
      </c>
      <c r="B223" s="6" t="str">
        <f>IFERROR(__xludf.DUMMYFUNCTION("""COMPUTED_VALUE"""),"gpc_defensa_seguridad_pib")</f>
        <v>gpc_defensa_seguridad_pib</v>
      </c>
      <c r="C223" s="6">
        <f>IFERROR(__xludf.DUMMYFUNCTION("""COMPUTED_VALUE"""),2.57444137054034)</f>
        <v>2.574441371</v>
      </c>
      <c r="D223" s="6">
        <v>1987.0</v>
      </c>
      <c r="E223" s="6" t="s">
        <v>39</v>
      </c>
      <c r="F223" s="6">
        <v>2.57444137054034</v>
      </c>
    </row>
    <row r="224">
      <c r="A224" s="9">
        <f>IFERROR(__xludf.DUMMYFUNCTION("""COMPUTED_VALUE"""),31778.0)</f>
        <v>31778</v>
      </c>
      <c r="B224" s="6" t="str">
        <f>IFERROR(__xludf.DUMMYFUNCTION("""COMPUTED_VALUE"""),"gpc_servicios_sociales_pib")</f>
        <v>gpc_servicios_sociales_pib</v>
      </c>
      <c r="C224" s="6">
        <f>IFERROR(__xludf.DUMMYFUNCTION("""COMPUTED_VALUE"""),18.6758912975571)</f>
        <v>18.6758913</v>
      </c>
      <c r="D224" s="6">
        <v>1987.0</v>
      </c>
      <c r="E224" s="6" t="s">
        <v>40</v>
      </c>
      <c r="F224" s="6">
        <v>18.6758912975571</v>
      </c>
    </row>
    <row r="225">
      <c r="A225" s="9">
        <f>IFERROR(__xludf.DUMMYFUNCTION("""COMPUTED_VALUE"""),31778.0)</f>
        <v>31778</v>
      </c>
      <c r="B225" s="6" t="str">
        <f>IFERROR(__xludf.DUMMYFUNCTION("""COMPUTED_VALUE"""),"gpc_educacion_basica_pib")</f>
        <v>gpc_educacion_basica_pib</v>
      </c>
      <c r="C225" s="6">
        <f>IFERROR(__xludf.DUMMYFUNCTION("""COMPUTED_VALUE"""),2.69466617485523)</f>
        <v>2.694666175</v>
      </c>
      <c r="D225" s="6">
        <v>1987.0</v>
      </c>
      <c r="E225" s="6" t="s">
        <v>41</v>
      </c>
      <c r="F225" s="6">
        <v>2.69466617485523</v>
      </c>
    </row>
    <row r="226">
      <c r="A226" s="9">
        <f>IFERROR(__xludf.DUMMYFUNCTION("""COMPUTED_VALUE"""),31778.0)</f>
        <v>31778</v>
      </c>
      <c r="B226" s="6" t="str">
        <f>IFERROR(__xludf.DUMMYFUNCTION("""COMPUTED_VALUE"""),"gpc_educacion_universitaria_pib")</f>
        <v>gpc_educacion_universitaria_pib</v>
      </c>
      <c r="C226" s="6">
        <f>IFERROR(__xludf.DUMMYFUNCTION("""COMPUTED_VALUE"""),0.625493639537421)</f>
        <v>0.6254936395</v>
      </c>
      <c r="D226" s="6">
        <v>1987.0</v>
      </c>
      <c r="E226" s="6" t="s">
        <v>42</v>
      </c>
      <c r="F226" s="6">
        <v>0.625493639537421</v>
      </c>
    </row>
    <row r="227">
      <c r="A227" s="9">
        <f>IFERROR(__xludf.DUMMYFUNCTION("""COMPUTED_VALUE"""),31778.0)</f>
        <v>31778</v>
      </c>
      <c r="B227" s="6" t="str">
        <f>IFERROR(__xludf.DUMMYFUNCTION("""COMPUTED_VALUE"""),"gpc_ciencia_tecnica_pib")</f>
        <v>gpc_ciencia_tecnica_pib</v>
      </c>
      <c r="C227" s="6">
        <f>IFERROR(__xludf.DUMMYFUNCTION("""COMPUTED_VALUE"""),0.309424126097291)</f>
        <v>0.3094241261</v>
      </c>
      <c r="D227" s="6">
        <v>1987.0</v>
      </c>
      <c r="E227" s="6" t="s">
        <v>43</v>
      </c>
      <c r="F227" s="6">
        <v>0.309424126097291</v>
      </c>
    </row>
    <row r="228">
      <c r="A228" s="9">
        <f>IFERROR(__xludf.DUMMYFUNCTION("""COMPUTED_VALUE"""),31778.0)</f>
        <v>31778</v>
      </c>
      <c r="B228" s="6" t="str">
        <f>IFERROR(__xludf.DUMMYFUNCTION("""COMPUTED_VALUE"""),"gpc_cultura_pib")</f>
        <v>gpc_cultura_pib</v>
      </c>
      <c r="C228" s="6">
        <f>IFERROR(__xludf.DUMMYFUNCTION("""COMPUTED_VALUE"""),0.127175262948198)</f>
        <v>0.1271752629</v>
      </c>
      <c r="D228" s="6">
        <v>1987.0</v>
      </c>
      <c r="E228" s="6" t="s">
        <v>44</v>
      </c>
      <c r="F228" s="6">
        <v>0.127175262948198</v>
      </c>
    </row>
    <row r="229">
      <c r="A229" s="9">
        <f>IFERROR(__xludf.DUMMYFUNCTION("""COMPUTED_VALUE"""),31778.0)</f>
        <v>31778</v>
      </c>
      <c r="B229" s="6" t="str">
        <f>IFERROR(__xludf.DUMMYFUNCTION("""COMPUTED_VALUE"""),"gpc_educacion_cultura_sin_discriminar_pib")</f>
        <v>gpc_educacion_cultura_sin_discriminar_pib</v>
      </c>
      <c r="C229" s="6">
        <f>IFERROR(__xludf.DUMMYFUNCTION("""COMPUTED_VALUE"""),0.313698981938888)</f>
        <v>0.3136989819</v>
      </c>
      <c r="D229" s="6">
        <v>1987.0</v>
      </c>
      <c r="E229" s="6" t="s">
        <v>45</v>
      </c>
      <c r="F229" s="6">
        <v>0.313698981938888</v>
      </c>
    </row>
    <row r="230">
      <c r="A230" s="9">
        <f>IFERROR(__xludf.DUMMYFUNCTION("""COMPUTED_VALUE"""),31778.0)</f>
        <v>31778</v>
      </c>
      <c r="B230" s="6" t="str">
        <f>IFERROR(__xludf.DUMMYFUNCTION("""COMPUTED_VALUE"""),"gpc_atencion_salud_pib")</f>
        <v>gpc_atencion_salud_pib</v>
      </c>
      <c r="C230" s="6">
        <f>IFERROR(__xludf.DUMMYFUNCTION("""COMPUTED_VALUE"""),1.55870342962061)</f>
        <v>1.55870343</v>
      </c>
      <c r="D230" s="6">
        <v>1987.0</v>
      </c>
      <c r="E230" s="6" t="s">
        <v>46</v>
      </c>
      <c r="F230" s="6">
        <v>1.55870342962061</v>
      </c>
    </row>
    <row r="231">
      <c r="A231" s="9">
        <f>IFERROR(__xludf.DUMMYFUNCTION("""COMPUTED_VALUE"""),31778.0)</f>
        <v>31778</v>
      </c>
      <c r="B231" s="6" t="str">
        <f>IFERROR(__xludf.DUMMYFUNCTION("""COMPUTED_VALUE"""),"gpc_obras_sociales_salud_pib")</f>
        <v>gpc_obras_sociales_salud_pib</v>
      </c>
      <c r="C231" s="6">
        <f>IFERROR(__xludf.DUMMYFUNCTION("""COMPUTED_VALUE"""),2.05436040681311)</f>
        <v>2.054360407</v>
      </c>
      <c r="D231" s="6">
        <v>1987.0</v>
      </c>
      <c r="E231" s="6" t="s">
        <v>47</v>
      </c>
      <c r="F231" s="6">
        <v>2.05436040681311</v>
      </c>
    </row>
    <row r="232">
      <c r="A232" s="9">
        <f>IFERROR(__xludf.DUMMYFUNCTION("""COMPUTED_VALUE"""),31778.0)</f>
        <v>31778</v>
      </c>
      <c r="B232" s="6" t="str">
        <f>IFERROR(__xludf.DUMMYFUNCTION("""COMPUTED_VALUE"""),"gpc_inssjyp_salud_pib")</f>
        <v>gpc_inssjyp_salud_pib</v>
      </c>
      <c r="C232" s="6">
        <f>IFERROR(__xludf.DUMMYFUNCTION("""COMPUTED_VALUE"""),0.591364972709121)</f>
        <v>0.5913649727</v>
      </c>
      <c r="D232" s="6">
        <v>1987.0</v>
      </c>
      <c r="E232" s="6" t="s">
        <v>48</v>
      </c>
      <c r="F232" s="6">
        <v>0.591364972709121</v>
      </c>
    </row>
    <row r="233">
      <c r="A233" s="9">
        <f>IFERROR(__xludf.DUMMYFUNCTION("""COMPUTED_VALUE"""),31778.0)</f>
        <v>31778</v>
      </c>
      <c r="B233" s="6" t="str">
        <f>IFERROR(__xludf.DUMMYFUNCTION("""COMPUTED_VALUE"""),"gpc_agua_alcantarillado_pib")</f>
        <v>gpc_agua_alcantarillado_pib</v>
      </c>
      <c r="C233" s="6">
        <f>IFERROR(__xludf.DUMMYFUNCTION("""COMPUTED_VALUE"""),0.182900426761901)</f>
        <v>0.1829004268</v>
      </c>
      <c r="D233" s="6">
        <v>1987.0</v>
      </c>
      <c r="E233" s="6" t="s">
        <v>49</v>
      </c>
      <c r="F233" s="6">
        <v>0.182900426761901</v>
      </c>
    </row>
    <row r="234">
      <c r="A234" s="9">
        <f>IFERROR(__xludf.DUMMYFUNCTION("""COMPUTED_VALUE"""),31778.0)</f>
        <v>31778</v>
      </c>
      <c r="B234" s="6" t="str">
        <f>IFERROR(__xludf.DUMMYFUNCTION("""COMPUTED_VALUE"""),"gpc_vivienda_urbanismo_pib")</f>
        <v>gpc_vivienda_urbanismo_pib</v>
      </c>
      <c r="C234" s="6">
        <f>IFERROR(__xludf.DUMMYFUNCTION("""COMPUTED_VALUE"""),0.832701230030485)</f>
        <v>0.83270123</v>
      </c>
      <c r="D234" s="6">
        <v>1987.0</v>
      </c>
      <c r="E234" s="6" t="s">
        <v>50</v>
      </c>
      <c r="F234" s="6">
        <v>0.832701230030485</v>
      </c>
    </row>
    <row r="235">
      <c r="A235" s="9">
        <f>IFERROR(__xludf.DUMMYFUNCTION("""COMPUTED_VALUE"""),31778.0)</f>
        <v>31778</v>
      </c>
      <c r="B235" s="6" t="str">
        <f>IFERROR(__xludf.DUMMYFUNCTION("""COMPUTED_VALUE"""),"gpc_promocion_asistencia_social_pib")</f>
        <v>gpc_promocion_asistencia_social_pib</v>
      </c>
      <c r="C235" s="6">
        <f>IFERROR(__xludf.DUMMYFUNCTION("""COMPUTED_VALUE"""),0.795797484057505)</f>
        <v>0.7957974841</v>
      </c>
      <c r="D235" s="6">
        <v>1987.0</v>
      </c>
      <c r="E235" s="6" t="s">
        <v>51</v>
      </c>
      <c r="F235" s="6">
        <v>0.795797484057505</v>
      </c>
    </row>
    <row r="236">
      <c r="A236" s="9">
        <f>IFERROR(__xludf.DUMMYFUNCTION("""COMPUTED_VALUE"""),31778.0)</f>
        <v>31778</v>
      </c>
      <c r="B236" s="6" t="str">
        <f>IFERROR(__xludf.DUMMYFUNCTION("""COMPUTED_VALUE"""),"gpc_obras_sociales_prestaciones_pib")</f>
        <v>gpc_obras_sociales_prestaciones_pib</v>
      </c>
      <c r="C236" s="6">
        <f>IFERROR(__xludf.DUMMYFUNCTION("""COMPUTED_VALUE"""),0.277186080570514)</f>
        <v>0.2771860806</v>
      </c>
      <c r="D236" s="6">
        <v>1987.0</v>
      </c>
      <c r="E236" s="6" t="s">
        <v>52</v>
      </c>
      <c r="F236" s="6">
        <v>0.277186080570514</v>
      </c>
    </row>
    <row r="237">
      <c r="A237" s="9">
        <f>IFERROR(__xludf.DUMMYFUNCTION("""COMPUTED_VALUE"""),31778.0)</f>
        <v>31778</v>
      </c>
      <c r="B237" s="6" t="str">
        <f>IFERROR(__xludf.DUMMYFUNCTION("""COMPUTED_VALUE"""),"gpc_inssjyp_prestaciones_pib")</f>
        <v>gpc_inssjyp_prestaciones_pib</v>
      </c>
      <c r="C237" s="6">
        <f>IFERROR(__xludf.DUMMYFUNCTION("""COMPUTED_VALUE"""),0.0445113420318693)</f>
        <v>0.04451134203</v>
      </c>
      <c r="D237" s="6">
        <v>1987.0</v>
      </c>
      <c r="E237" s="6" t="s">
        <v>53</v>
      </c>
      <c r="F237" s="6">
        <v>0.0445113420318693</v>
      </c>
    </row>
    <row r="238">
      <c r="A238" s="9">
        <f>IFERROR(__xludf.DUMMYFUNCTION("""COMPUTED_VALUE"""),31778.0)</f>
        <v>31778</v>
      </c>
      <c r="B238" s="6" t="str">
        <f>IFERROR(__xludf.DUMMYFUNCTION("""COMPUTED_VALUE"""),"gpc_prevision_social_pib")</f>
        <v>gpc_prevision_social_pib</v>
      </c>
      <c r="C238" s="6">
        <f>IFERROR(__xludf.DUMMYFUNCTION("""COMPUTED_VALUE"""),6.85324557697903)</f>
        <v>6.853245577</v>
      </c>
      <c r="D238" s="6">
        <v>1987.0</v>
      </c>
      <c r="E238" s="6" t="s">
        <v>54</v>
      </c>
      <c r="F238" s="6">
        <v>6.85324557697903</v>
      </c>
    </row>
    <row r="239">
      <c r="A239" s="9">
        <f>IFERROR(__xludf.DUMMYFUNCTION("""COMPUTED_VALUE"""),31778.0)</f>
        <v>31778</v>
      </c>
      <c r="B239" s="6" t="str">
        <f>IFERROR(__xludf.DUMMYFUNCTION("""COMPUTED_VALUE"""),"gpc_programas_empleo_pib")</f>
        <v>gpc_programas_empleo_pib</v>
      </c>
      <c r="C239" s="6">
        <f>IFERROR(__xludf.DUMMYFUNCTION("""COMPUTED_VALUE"""),0.0219165369814061)</f>
        <v>0.02191653698</v>
      </c>
      <c r="D239" s="6">
        <v>1987.0</v>
      </c>
      <c r="E239" s="6" t="s">
        <v>55</v>
      </c>
      <c r="F239" s="6">
        <v>0.0219165369814061</v>
      </c>
    </row>
    <row r="240">
      <c r="A240" s="9">
        <f>IFERROR(__xludf.DUMMYFUNCTION("""COMPUTED_VALUE"""),31778.0)</f>
        <v>31778</v>
      </c>
      <c r="B240" s="6" t="str">
        <f>IFERROR(__xludf.DUMMYFUNCTION("""COMPUTED_VALUE"""),"gpc_asignaciones_familiares_pib")</f>
        <v>gpc_asignaciones_familiares_pib</v>
      </c>
      <c r="C240" s="6">
        <f>IFERROR(__xludf.DUMMYFUNCTION("""COMPUTED_VALUE"""),0.592636725338603)</f>
        <v>0.5926367253</v>
      </c>
      <c r="D240" s="6">
        <v>1987.0</v>
      </c>
      <c r="E240" s="6" t="s">
        <v>56</v>
      </c>
      <c r="F240" s="6">
        <v>0.592636725338603</v>
      </c>
    </row>
    <row r="241">
      <c r="A241" s="9">
        <f>IFERROR(__xludf.DUMMYFUNCTION("""COMPUTED_VALUE"""),31778.0)</f>
        <v>31778</v>
      </c>
      <c r="B241" s="6" t="str">
        <f>IFERROR(__xludf.DUMMYFUNCTION("""COMPUTED_VALUE"""),"gpc_otros_servicios_urbanos_pib")</f>
        <v>gpc_otros_servicios_urbanos_pib</v>
      </c>
      <c r="C241" s="6">
        <f>IFERROR(__xludf.DUMMYFUNCTION("""COMPUTED_VALUE"""),0.800108900285913)</f>
        <v>0.8001089003</v>
      </c>
      <c r="D241" s="6">
        <v>1987.0</v>
      </c>
      <c r="E241" s="6" t="s">
        <v>57</v>
      </c>
      <c r="F241" s="6">
        <v>0.800108900285913</v>
      </c>
    </row>
    <row r="242">
      <c r="A242" s="9">
        <f>IFERROR(__xludf.DUMMYFUNCTION("""COMPUTED_VALUE"""),31778.0)</f>
        <v>31778</v>
      </c>
      <c r="B242" s="6" t="str">
        <f>IFERROR(__xludf.DUMMYFUNCTION("""COMPUTED_VALUE"""),"gpc_servicios_economicos_pib")</f>
        <v>gpc_servicios_economicos_pib</v>
      </c>
      <c r="C242" s="6">
        <f>IFERROR(__xludf.DUMMYFUNCTION("""COMPUTED_VALUE"""),7.71209926892545)</f>
        <v>7.712099269</v>
      </c>
      <c r="D242" s="6">
        <v>1987.0</v>
      </c>
      <c r="E242" s="6" t="s">
        <v>58</v>
      </c>
      <c r="F242" s="6">
        <v>7.71209926892545</v>
      </c>
    </row>
    <row r="243">
      <c r="A243" s="9">
        <f>IFERROR(__xludf.DUMMYFUNCTION("""COMPUTED_VALUE"""),31778.0)</f>
        <v>31778</v>
      </c>
      <c r="B243" s="6" t="str">
        <f>IFERROR(__xludf.DUMMYFUNCTION("""COMPUTED_VALUE"""),"gpc_produccion_primaria_pib")</f>
        <v>gpc_produccion_primaria_pib</v>
      </c>
      <c r="C243" s="6">
        <f>IFERROR(__xludf.DUMMYFUNCTION("""COMPUTED_VALUE"""),0.418283651819708)</f>
        <v>0.4182836518</v>
      </c>
      <c r="D243" s="6">
        <v>1987.0</v>
      </c>
      <c r="E243" s="6" t="s">
        <v>59</v>
      </c>
      <c r="F243" s="6">
        <v>0.418283651819708</v>
      </c>
    </row>
    <row r="244">
      <c r="A244" s="9">
        <f>IFERROR(__xludf.DUMMYFUNCTION("""COMPUTED_VALUE"""),31778.0)</f>
        <v>31778</v>
      </c>
      <c r="B244" s="6" t="str">
        <f>IFERROR(__xludf.DUMMYFUNCTION("""COMPUTED_VALUE"""),"gpc_energia_combustible_pib")</f>
        <v>gpc_energia_combustible_pib</v>
      </c>
      <c r="C244" s="6">
        <f>IFERROR(__xludf.DUMMYFUNCTION("""COMPUTED_VALUE"""),2.89723110176887)</f>
        <v>2.897231102</v>
      </c>
      <c r="D244" s="6">
        <v>1987.0</v>
      </c>
      <c r="E244" s="6" t="s">
        <v>60</v>
      </c>
      <c r="F244" s="6">
        <v>2.89723110176887</v>
      </c>
    </row>
    <row r="245">
      <c r="A245" s="9">
        <f>IFERROR(__xludf.DUMMYFUNCTION("""COMPUTED_VALUE"""),31778.0)</f>
        <v>31778</v>
      </c>
      <c r="B245" s="6" t="str">
        <f>IFERROR(__xludf.DUMMYFUNCTION("""COMPUTED_VALUE"""),"gpc_industria_pib")</f>
        <v>gpc_industria_pib</v>
      </c>
      <c r="C245" s="6">
        <f>IFERROR(__xludf.DUMMYFUNCTION("""COMPUTED_VALUE"""),0.294643831096371)</f>
        <v>0.2946438311</v>
      </c>
      <c r="D245" s="6">
        <v>1987.0</v>
      </c>
      <c r="E245" s="6" t="s">
        <v>61</v>
      </c>
      <c r="F245" s="6">
        <v>0.294643831096371</v>
      </c>
    </row>
    <row r="246">
      <c r="A246" s="9">
        <f>IFERROR(__xludf.DUMMYFUNCTION("""COMPUTED_VALUE"""),31778.0)</f>
        <v>31778</v>
      </c>
      <c r="B246" s="6" t="str">
        <f>IFERROR(__xludf.DUMMYFUNCTION("""COMPUTED_VALUE"""),"gpc_transporte_pib")</f>
        <v>gpc_transporte_pib</v>
      </c>
      <c r="C246" s="6">
        <f>IFERROR(__xludf.DUMMYFUNCTION("""COMPUTED_VALUE"""),1.95232771933128)</f>
        <v>1.952327719</v>
      </c>
      <c r="D246" s="6">
        <v>1987.0</v>
      </c>
      <c r="E246" s="6" t="s">
        <v>62</v>
      </c>
      <c r="F246" s="6">
        <v>1.95232771933128</v>
      </c>
    </row>
    <row r="247">
      <c r="A247" s="9">
        <f>IFERROR(__xludf.DUMMYFUNCTION("""COMPUTED_VALUE"""),31778.0)</f>
        <v>31778</v>
      </c>
      <c r="B247" s="6" t="str">
        <f>IFERROR(__xludf.DUMMYFUNCTION("""COMPUTED_VALUE"""),"gpc_comunicaciones_pib")</f>
        <v>gpc_comunicaciones_pib</v>
      </c>
      <c r="C247" s="6">
        <f>IFERROR(__xludf.DUMMYFUNCTION("""COMPUTED_VALUE"""),0.585530330201504)</f>
        <v>0.5855303302</v>
      </c>
      <c r="D247" s="6">
        <v>1987.0</v>
      </c>
      <c r="E247" s="6" t="s">
        <v>63</v>
      </c>
      <c r="F247" s="6">
        <v>0.585530330201504</v>
      </c>
    </row>
    <row r="248">
      <c r="A248" s="9">
        <f>IFERROR(__xludf.DUMMYFUNCTION("""COMPUTED_VALUE"""),31778.0)</f>
        <v>31778</v>
      </c>
      <c r="B248" s="6" t="str">
        <f>IFERROR(__xludf.DUMMYFUNCTION("""COMPUTED_VALUE"""),"gpc_otros_servicios_economicos_pib")</f>
        <v>gpc_otros_servicios_economicos_pib</v>
      </c>
      <c r="C248" s="6">
        <f>IFERROR(__xludf.DUMMYFUNCTION("""COMPUTED_VALUE"""),1.56408263470771)</f>
        <v>1.564082635</v>
      </c>
      <c r="D248" s="6">
        <v>1987.0</v>
      </c>
      <c r="E248" s="6" t="s">
        <v>64</v>
      </c>
      <c r="F248" s="6">
        <v>1.56408263470771</v>
      </c>
    </row>
    <row r="249">
      <c r="A249" s="9">
        <f>IFERROR(__xludf.DUMMYFUNCTION("""COMPUTED_VALUE"""),31778.0)</f>
        <v>31778</v>
      </c>
      <c r="B249" s="6" t="str">
        <f>IFERROR(__xludf.DUMMYFUNCTION("""COMPUTED_VALUE"""),"gpc_servicios_deuda_publica_pib")</f>
        <v>gpc_servicios_deuda_publica_pib</v>
      </c>
      <c r="C249" s="6">
        <f>IFERROR(__xludf.DUMMYFUNCTION("""COMPUTED_VALUE"""),2.71214177722099)</f>
        <v>2.712141777</v>
      </c>
      <c r="D249" s="6">
        <v>1987.0</v>
      </c>
      <c r="E249" s="6" t="s">
        <v>65</v>
      </c>
      <c r="F249" s="6">
        <v>2.71214177722099</v>
      </c>
    </row>
    <row r="250">
      <c r="A250" s="9">
        <f>IFERROR(__xludf.DUMMYFUNCTION("""COMPUTED_VALUE"""),32143.0)</f>
        <v>32143</v>
      </c>
      <c r="B250" s="6" t="str">
        <f>IFERROR(__xludf.DUMMYFUNCTION("""COMPUTED_VALUE"""),"gpc_pib")</f>
        <v>gpc_pib</v>
      </c>
      <c r="C250" s="6">
        <f>IFERROR(__xludf.DUMMYFUNCTION("""COMPUTED_VALUE"""),32.1746660820903)</f>
        <v>32.17466608</v>
      </c>
      <c r="D250" s="6">
        <v>1988.0</v>
      </c>
      <c r="E250" s="6" t="s">
        <v>66</v>
      </c>
      <c r="F250" s="6">
        <v>32.1746660820903</v>
      </c>
    </row>
    <row r="251">
      <c r="A251" s="9">
        <f>IFERROR(__xludf.DUMMYFUNCTION("""COMPUTED_VALUE"""),32143.0)</f>
        <v>32143</v>
      </c>
      <c r="B251" s="6" t="str">
        <f>IFERROR(__xludf.DUMMYFUNCTION("""COMPUTED_VALUE"""),"gpc_funcionamiento_estado_pib")</f>
        <v>gpc_funcionamiento_estado_pib</v>
      </c>
      <c r="C251" s="6">
        <f>IFERROR(__xludf.DUMMYFUNCTION("""COMPUTED_VALUE"""),5.23756331336937)</f>
        <v>5.237563313</v>
      </c>
      <c r="D251" s="6">
        <v>1988.0</v>
      </c>
      <c r="E251" s="6" t="s">
        <v>36</v>
      </c>
      <c r="F251" s="6">
        <v>5.23756331336937</v>
      </c>
    </row>
    <row r="252">
      <c r="A252" s="9">
        <f>IFERROR(__xludf.DUMMYFUNCTION("""COMPUTED_VALUE"""),32143.0)</f>
        <v>32143</v>
      </c>
      <c r="B252" s="6" t="str">
        <f>IFERROR(__xludf.DUMMYFUNCTION("""COMPUTED_VALUE"""),"gpc_administracion_general_pib")</f>
        <v>gpc_administracion_general_pib</v>
      </c>
      <c r="C252" s="6">
        <f>IFERROR(__xludf.DUMMYFUNCTION("""COMPUTED_VALUE"""),2.3221556242567)</f>
        <v>2.322155624</v>
      </c>
      <c r="D252" s="6">
        <v>1988.0</v>
      </c>
      <c r="E252" s="6" t="s">
        <v>37</v>
      </c>
      <c r="F252" s="6">
        <v>2.3221556242567</v>
      </c>
    </row>
    <row r="253">
      <c r="A253" s="9">
        <f>IFERROR(__xludf.DUMMYFUNCTION("""COMPUTED_VALUE"""),32143.0)</f>
        <v>32143</v>
      </c>
      <c r="B253" s="6" t="str">
        <f>IFERROR(__xludf.DUMMYFUNCTION("""COMPUTED_VALUE"""),"gpc_justicia_pib")</f>
        <v>gpc_justicia_pib</v>
      </c>
      <c r="C253" s="6">
        <f>IFERROR(__xludf.DUMMYFUNCTION("""COMPUTED_VALUE"""),0.476312589297899)</f>
        <v>0.4763125893</v>
      </c>
      <c r="D253" s="6">
        <v>1988.0</v>
      </c>
      <c r="E253" s="6" t="s">
        <v>38</v>
      </c>
      <c r="F253" s="6">
        <v>0.476312589297899</v>
      </c>
    </row>
    <row r="254">
      <c r="A254" s="9">
        <f>IFERROR(__xludf.DUMMYFUNCTION("""COMPUTED_VALUE"""),32143.0)</f>
        <v>32143</v>
      </c>
      <c r="B254" s="6" t="str">
        <f>IFERROR(__xludf.DUMMYFUNCTION("""COMPUTED_VALUE"""),"gpc_defensa_seguridad_pib")</f>
        <v>gpc_defensa_seguridad_pib</v>
      </c>
      <c r="C254" s="6">
        <f>IFERROR(__xludf.DUMMYFUNCTION("""COMPUTED_VALUE"""),2.43909509981477)</f>
        <v>2.4390951</v>
      </c>
      <c r="D254" s="6">
        <v>1988.0</v>
      </c>
      <c r="E254" s="6" t="s">
        <v>39</v>
      </c>
      <c r="F254" s="6">
        <v>2.43909509981477</v>
      </c>
    </row>
    <row r="255">
      <c r="A255" s="9">
        <f>IFERROR(__xludf.DUMMYFUNCTION("""COMPUTED_VALUE"""),32143.0)</f>
        <v>32143</v>
      </c>
      <c r="B255" s="6" t="str">
        <f>IFERROR(__xludf.DUMMYFUNCTION("""COMPUTED_VALUE"""),"gpc_servicios_sociales_pib")</f>
        <v>gpc_servicios_sociales_pib</v>
      </c>
      <c r="C255" s="6">
        <f>IFERROR(__xludf.DUMMYFUNCTION("""COMPUTED_VALUE"""),16.6784254816552)</f>
        <v>16.67842548</v>
      </c>
      <c r="D255" s="6">
        <v>1988.0</v>
      </c>
      <c r="E255" s="6" t="s">
        <v>40</v>
      </c>
      <c r="F255" s="6">
        <v>16.6784254816552</v>
      </c>
    </row>
    <row r="256">
      <c r="A256" s="9">
        <f>IFERROR(__xludf.DUMMYFUNCTION("""COMPUTED_VALUE"""),32143.0)</f>
        <v>32143</v>
      </c>
      <c r="B256" s="6" t="str">
        <f>IFERROR(__xludf.DUMMYFUNCTION("""COMPUTED_VALUE"""),"gpc_educacion_basica_pib")</f>
        <v>gpc_educacion_basica_pib</v>
      </c>
      <c r="C256" s="6">
        <f>IFERROR(__xludf.DUMMYFUNCTION("""COMPUTED_VALUE"""),2.4360647248594)</f>
        <v>2.436064725</v>
      </c>
      <c r="D256" s="6">
        <v>1988.0</v>
      </c>
      <c r="E256" s="6" t="s">
        <v>41</v>
      </c>
      <c r="F256" s="6">
        <v>2.4360647248594</v>
      </c>
    </row>
    <row r="257">
      <c r="A257" s="9">
        <f>IFERROR(__xludf.DUMMYFUNCTION("""COMPUTED_VALUE"""),32143.0)</f>
        <v>32143</v>
      </c>
      <c r="B257" s="6" t="str">
        <f>IFERROR(__xludf.DUMMYFUNCTION("""COMPUTED_VALUE"""),"gpc_educacion_universitaria_pib")</f>
        <v>gpc_educacion_universitaria_pib</v>
      </c>
      <c r="C257" s="6">
        <f>IFERROR(__xludf.DUMMYFUNCTION("""COMPUTED_VALUE"""),0.608139009726065)</f>
        <v>0.6081390097</v>
      </c>
      <c r="D257" s="6">
        <v>1988.0</v>
      </c>
      <c r="E257" s="6" t="s">
        <v>42</v>
      </c>
      <c r="F257" s="6">
        <v>0.608139009726065</v>
      </c>
    </row>
    <row r="258">
      <c r="A258" s="9">
        <f>IFERROR(__xludf.DUMMYFUNCTION("""COMPUTED_VALUE"""),32143.0)</f>
        <v>32143</v>
      </c>
      <c r="B258" s="6" t="str">
        <f>IFERROR(__xludf.DUMMYFUNCTION("""COMPUTED_VALUE"""),"gpc_ciencia_tecnica_pib")</f>
        <v>gpc_ciencia_tecnica_pib</v>
      </c>
      <c r="C258" s="6">
        <f>IFERROR(__xludf.DUMMYFUNCTION("""COMPUTED_VALUE"""),0.292567100677602)</f>
        <v>0.2925671007</v>
      </c>
      <c r="D258" s="6">
        <v>1988.0</v>
      </c>
      <c r="E258" s="6" t="s">
        <v>43</v>
      </c>
      <c r="F258" s="6">
        <v>0.292567100677602</v>
      </c>
    </row>
    <row r="259">
      <c r="A259" s="9">
        <f>IFERROR(__xludf.DUMMYFUNCTION("""COMPUTED_VALUE"""),32143.0)</f>
        <v>32143</v>
      </c>
      <c r="B259" s="6" t="str">
        <f>IFERROR(__xludf.DUMMYFUNCTION("""COMPUTED_VALUE"""),"gpc_cultura_pib")</f>
        <v>gpc_cultura_pib</v>
      </c>
      <c r="C259" s="6">
        <f>IFERROR(__xludf.DUMMYFUNCTION("""COMPUTED_VALUE"""),0.127744907124534)</f>
        <v>0.1277449071</v>
      </c>
      <c r="D259" s="6">
        <v>1988.0</v>
      </c>
      <c r="E259" s="6" t="s">
        <v>44</v>
      </c>
      <c r="F259" s="6">
        <v>0.127744907124534</v>
      </c>
    </row>
    <row r="260">
      <c r="A260" s="9">
        <f>IFERROR(__xludf.DUMMYFUNCTION("""COMPUTED_VALUE"""),32143.0)</f>
        <v>32143</v>
      </c>
      <c r="B260" s="6" t="str">
        <f>IFERROR(__xludf.DUMMYFUNCTION("""COMPUTED_VALUE"""),"gpc_educacion_cultura_sin_discriminar_pib")</f>
        <v>gpc_educacion_cultura_sin_discriminar_pib</v>
      </c>
      <c r="C260" s="6">
        <f>IFERROR(__xludf.DUMMYFUNCTION("""COMPUTED_VALUE"""),0.291988359141792)</f>
        <v>0.2919883591</v>
      </c>
      <c r="D260" s="6">
        <v>1988.0</v>
      </c>
      <c r="E260" s="6" t="s">
        <v>45</v>
      </c>
      <c r="F260" s="6">
        <v>0.291988359141792</v>
      </c>
    </row>
    <row r="261">
      <c r="A261" s="9">
        <f>IFERROR(__xludf.DUMMYFUNCTION("""COMPUTED_VALUE"""),32143.0)</f>
        <v>32143</v>
      </c>
      <c r="B261" s="6" t="str">
        <f>IFERROR(__xludf.DUMMYFUNCTION("""COMPUTED_VALUE"""),"gpc_atencion_salud_pib")</f>
        <v>gpc_atencion_salud_pib</v>
      </c>
      <c r="C261" s="6">
        <f>IFERROR(__xludf.DUMMYFUNCTION("""COMPUTED_VALUE"""),1.41797169663124)</f>
        <v>1.417971697</v>
      </c>
      <c r="D261" s="6">
        <v>1988.0</v>
      </c>
      <c r="E261" s="6" t="s">
        <v>46</v>
      </c>
      <c r="F261" s="6">
        <v>1.41797169663124</v>
      </c>
    </row>
    <row r="262">
      <c r="A262" s="9">
        <f>IFERROR(__xludf.DUMMYFUNCTION("""COMPUTED_VALUE"""),32143.0)</f>
        <v>32143</v>
      </c>
      <c r="B262" s="6" t="str">
        <f>IFERROR(__xludf.DUMMYFUNCTION("""COMPUTED_VALUE"""),"gpc_obras_sociales_salud_pib")</f>
        <v>gpc_obras_sociales_salud_pib</v>
      </c>
      <c r="C262" s="6">
        <f>IFERROR(__xludf.DUMMYFUNCTION("""COMPUTED_VALUE"""),2.06112745235813)</f>
        <v>2.061127452</v>
      </c>
      <c r="D262" s="6">
        <v>1988.0</v>
      </c>
      <c r="E262" s="6" t="s">
        <v>47</v>
      </c>
      <c r="F262" s="6">
        <v>2.06112745235813</v>
      </c>
    </row>
    <row r="263">
      <c r="A263" s="9">
        <f>IFERROR(__xludf.DUMMYFUNCTION("""COMPUTED_VALUE"""),32143.0)</f>
        <v>32143</v>
      </c>
      <c r="B263" s="6" t="str">
        <f>IFERROR(__xludf.DUMMYFUNCTION("""COMPUTED_VALUE"""),"gpc_inssjyp_salud_pib")</f>
        <v>gpc_inssjyp_salud_pib</v>
      </c>
      <c r="C263" s="6">
        <f>IFERROR(__xludf.DUMMYFUNCTION("""COMPUTED_VALUE"""),0.585527906441526)</f>
        <v>0.5855279064</v>
      </c>
      <c r="D263" s="6">
        <v>1988.0</v>
      </c>
      <c r="E263" s="6" t="s">
        <v>48</v>
      </c>
      <c r="F263" s="6">
        <v>0.585527906441526</v>
      </c>
    </row>
    <row r="264">
      <c r="A264" s="9">
        <f>IFERROR(__xludf.DUMMYFUNCTION("""COMPUTED_VALUE"""),32143.0)</f>
        <v>32143</v>
      </c>
      <c r="B264" s="6" t="str">
        <f>IFERROR(__xludf.DUMMYFUNCTION("""COMPUTED_VALUE"""),"gpc_agua_alcantarillado_pib")</f>
        <v>gpc_agua_alcantarillado_pib</v>
      </c>
      <c r="C264" s="6">
        <f>IFERROR(__xludf.DUMMYFUNCTION("""COMPUTED_VALUE"""),0.177317312845936)</f>
        <v>0.1773173128</v>
      </c>
      <c r="D264" s="6">
        <v>1988.0</v>
      </c>
      <c r="E264" s="6" t="s">
        <v>49</v>
      </c>
      <c r="F264" s="6">
        <v>0.177317312845936</v>
      </c>
    </row>
    <row r="265">
      <c r="A265" s="9">
        <f>IFERROR(__xludf.DUMMYFUNCTION("""COMPUTED_VALUE"""),32143.0)</f>
        <v>32143</v>
      </c>
      <c r="B265" s="6" t="str">
        <f>IFERROR(__xludf.DUMMYFUNCTION("""COMPUTED_VALUE"""),"gpc_vivienda_urbanismo_pib")</f>
        <v>gpc_vivienda_urbanismo_pib</v>
      </c>
      <c r="C265" s="6">
        <f>IFERROR(__xludf.DUMMYFUNCTION("""COMPUTED_VALUE"""),0.638761034167564)</f>
        <v>0.6387610342</v>
      </c>
      <c r="D265" s="6">
        <v>1988.0</v>
      </c>
      <c r="E265" s="6" t="s">
        <v>50</v>
      </c>
      <c r="F265" s="6">
        <v>0.638761034167564</v>
      </c>
    </row>
    <row r="266">
      <c r="A266" s="9">
        <f>IFERROR(__xludf.DUMMYFUNCTION("""COMPUTED_VALUE"""),32143.0)</f>
        <v>32143</v>
      </c>
      <c r="B266" s="6" t="str">
        <f>IFERROR(__xludf.DUMMYFUNCTION("""COMPUTED_VALUE"""),"gpc_promocion_asistencia_social_pib")</f>
        <v>gpc_promocion_asistencia_social_pib</v>
      </c>
      <c r="C266" s="6">
        <f>IFERROR(__xludf.DUMMYFUNCTION("""COMPUTED_VALUE"""),0.695313836143924)</f>
        <v>0.6953138361</v>
      </c>
      <c r="D266" s="6">
        <v>1988.0</v>
      </c>
      <c r="E266" s="6" t="s">
        <v>51</v>
      </c>
      <c r="F266" s="6">
        <v>0.695313836143924</v>
      </c>
    </row>
    <row r="267">
      <c r="A267" s="9">
        <f>IFERROR(__xludf.DUMMYFUNCTION("""COMPUTED_VALUE"""),32143.0)</f>
        <v>32143</v>
      </c>
      <c r="B267" s="6" t="str">
        <f>IFERROR(__xludf.DUMMYFUNCTION("""COMPUTED_VALUE"""),"gpc_obras_sociales_prestaciones_pib")</f>
        <v>gpc_obras_sociales_prestaciones_pib</v>
      </c>
      <c r="C267" s="6">
        <f>IFERROR(__xludf.DUMMYFUNCTION("""COMPUTED_VALUE"""),0.265654784553025)</f>
        <v>0.2656547846</v>
      </c>
      <c r="D267" s="6">
        <v>1988.0</v>
      </c>
      <c r="E267" s="6" t="s">
        <v>52</v>
      </c>
      <c r="F267" s="6">
        <v>0.265654784553025</v>
      </c>
    </row>
    <row r="268">
      <c r="A268" s="9">
        <f>IFERROR(__xludf.DUMMYFUNCTION("""COMPUTED_VALUE"""),32143.0)</f>
        <v>32143</v>
      </c>
      <c r="B268" s="6" t="str">
        <f>IFERROR(__xludf.DUMMYFUNCTION("""COMPUTED_VALUE"""),"gpc_inssjyp_prestaciones_pib")</f>
        <v>gpc_inssjyp_prestaciones_pib</v>
      </c>
      <c r="C268" s="6">
        <f>IFERROR(__xludf.DUMMYFUNCTION("""COMPUTED_VALUE"""),0.0440719929579643)</f>
        <v>0.04407199296</v>
      </c>
      <c r="D268" s="6">
        <v>1988.0</v>
      </c>
      <c r="E268" s="6" t="s">
        <v>53</v>
      </c>
      <c r="F268" s="6">
        <v>0.0440719929579643</v>
      </c>
    </row>
    <row r="269">
      <c r="A269" s="9">
        <f>IFERROR(__xludf.DUMMYFUNCTION("""COMPUTED_VALUE"""),32143.0)</f>
        <v>32143</v>
      </c>
      <c r="B269" s="6" t="str">
        <f>IFERROR(__xludf.DUMMYFUNCTION("""COMPUTED_VALUE"""),"gpc_prevision_social_pib")</f>
        <v>gpc_prevision_social_pib</v>
      </c>
      <c r="C269" s="6">
        <f>IFERROR(__xludf.DUMMYFUNCTION("""COMPUTED_VALUE"""),5.9602057556364)</f>
        <v>5.960205756</v>
      </c>
      <c r="D269" s="6">
        <v>1988.0</v>
      </c>
      <c r="E269" s="6" t="s">
        <v>54</v>
      </c>
      <c r="F269" s="6">
        <v>5.9602057556364</v>
      </c>
    </row>
    <row r="270">
      <c r="A270" s="9">
        <f>IFERROR(__xludf.DUMMYFUNCTION("""COMPUTED_VALUE"""),32143.0)</f>
        <v>32143</v>
      </c>
      <c r="B270" s="6" t="str">
        <f>IFERROR(__xludf.DUMMYFUNCTION("""COMPUTED_VALUE"""),"gpc_programas_empleo_pib")</f>
        <v>gpc_programas_empleo_pib</v>
      </c>
      <c r="C270" s="6">
        <f>IFERROR(__xludf.DUMMYFUNCTION("""COMPUTED_VALUE"""),0.0199555794200969)</f>
        <v>0.01995557942</v>
      </c>
      <c r="D270" s="6">
        <v>1988.0</v>
      </c>
      <c r="E270" s="6" t="s">
        <v>55</v>
      </c>
      <c r="F270" s="6">
        <v>0.0199555794200969</v>
      </c>
    </row>
    <row r="271">
      <c r="A271" s="9">
        <f>IFERROR(__xludf.DUMMYFUNCTION("""COMPUTED_VALUE"""),32143.0)</f>
        <v>32143</v>
      </c>
      <c r="B271" s="6" t="str">
        <f>IFERROR(__xludf.DUMMYFUNCTION("""COMPUTED_VALUE"""),"gpc_asignaciones_familiares_pib")</f>
        <v>gpc_asignaciones_familiares_pib</v>
      </c>
      <c r="C271" s="6">
        <f>IFERROR(__xludf.DUMMYFUNCTION("""COMPUTED_VALUE"""),0.344464142061306)</f>
        <v>0.3444641421</v>
      </c>
      <c r="D271" s="6">
        <v>1988.0</v>
      </c>
      <c r="E271" s="6" t="s">
        <v>56</v>
      </c>
      <c r="F271" s="6">
        <v>0.344464142061306</v>
      </c>
    </row>
    <row r="272">
      <c r="A272" s="9">
        <f>IFERROR(__xludf.DUMMYFUNCTION("""COMPUTED_VALUE"""),32143.0)</f>
        <v>32143</v>
      </c>
      <c r="B272" s="6" t="str">
        <f>IFERROR(__xludf.DUMMYFUNCTION("""COMPUTED_VALUE"""),"gpc_otros_servicios_urbanos_pib")</f>
        <v>gpc_otros_servicios_urbanos_pib</v>
      </c>
      <c r="C272" s="6">
        <f>IFERROR(__xludf.DUMMYFUNCTION("""COMPUTED_VALUE"""),0.711549886908722)</f>
        <v>0.7115498869</v>
      </c>
      <c r="D272" s="6">
        <v>1988.0</v>
      </c>
      <c r="E272" s="6" t="s">
        <v>57</v>
      </c>
      <c r="F272" s="6">
        <v>0.711549886908722</v>
      </c>
    </row>
    <row r="273">
      <c r="A273" s="9">
        <f>IFERROR(__xludf.DUMMYFUNCTION("""COMPUTED_VALUE"""),32143.0)</f>
        <v>32143</v>
      </c>
      <c r="B273" s="6" t="str">
        <f>IFERROR(__xludf.DUMMYFUNCTION("""COMPUTED_VALUE"""),"gpc_servicios_economicos_pib")</f>
        <v>gpc_servicios_economicos_pib</v>
      </c>
      <c r="C273" s="6">
        <f>IFERROR(__xludf.DUMMYFUNCTION("""COMPUTED_VALUE"""),7.99954747551862)</f>
        <v>7.999547476</v>
      </c>
      <c r="D273" s="6">
        <v>1988.0</v>
      </c>
      <c r="E273" s="6" t="s">
        <v>58</v>
      </c>
      <c r="F273" s="6">
        <v>7.99954747551862</v>
      </c>
    </row>
    <row r="274">
      <c r="A274" s="9">
        <f>IFERROR(__xludf.DUMMYFUNCTION("""COMPUTED_VALUE"""),32143.0)</f>
        <v>32143</v>
      </c>
      <c r="B274" s="6" t="str">
        <f>IFERROR(__xludf.DUMMYFUNCTION("""COMPUTED_VALUE"""),"gpc_produccion_primaria_pib")</f>
        <v>gpc_produccion_primaria_pib</v>
      </c>
      <c r="C274" s="6">
        <f>IFERROR(__xludf.DUMMYFUNCTION("""COMPUTED_VALUE"""),0.383413907436353)</f>
        <v>0.3834139074</v>
      </c>
      <c r="D274" s="6">
        <v>1988.0</v>
      </c>
      <c r="E274" s="6" t="s">
        <v>59</v>
      </c>
      <c r="F274" s="6">
        <v>0.383413907436353</v>
      </c>
    </row>
    <row r="275">
      <c r="A275" s="9">
        <f>IFERROR(__xludf.DUMMYFUNCTION("""COMPUTED_VALUE"""),32143.0)</f>
        <v>32143</v>
      </c>
      <c r="B275" s="6" t="str">
        <f>IFERROR(__xludf.DUMMYFUNCTION("""COMPUTED_VALUE"""),"gpc_energia_combustible_pib")</f>
        <v>gpc_energia_combustible_pib</v>
      </c>
      <c r="C275" s="6">
        <f>IFERROR(__xludf.DUMMYFUNCTION("""COMPUTED_VALUE"""),2.54364204185511)</f>
        <v>2.543642042</v>
      </c>
      <c r="D275" s="6">
        <v>1988.0</v>
      </c>
      <c r="E275" s="6" t="s">
        <v>60</v>
      </c>
      <c r="F275" s="6">
        <v>2.54364204185511</v>
      </c>
    </row>
    <row r="276">
      <c r="A276" s="9">
        <f>IFERROR(__xludf.DUMMYFUNCTION("""COMPUTED_VALUE"""),32143.0)</f>
        <v>32143</v>
      </c>
      <c r="B276" s="6" t="str">
        <f>IFERROR(__xludf.DUMMYFUNCTION("""COMPUTED_VALUE"""),"gpc_industria_pib")</f>
        <v>gpc_industria_pib</v>
      </c>
      <c r="C276" s="6">
        <f>IFERROR(__xludf.DUMMYFUNCTION("""COMPUTED_VALUE"""),0.267531579960568)</f>
        <v>0.26753158</v>
      </c>
      <c r="D276" s="6">
        <v>1988.0</v>
      </c>
      <c r="E276" s="6" t="s">
        <v>61</v>
      </c>
      <c r="F276" s="6">
        <v>0.267531579960568</v>
      </c>
    </row>
    <row r="277">
      <c r="A277" s="9">
        <f>IFERROR(__xludf.DUMMYFUNCTION("""COMPUTED_VALUE"""),32143.0)</f>
        <v>32143</v>
      </c>
      <c r="B277" s="6" t="str">
        <f>IFERROR(__xludf.DUMMYFUNCTION("""COMPUTED_VALUE"""),"gpc_transporte_pib")</f>
        <v>gpc_transporte_pib</v>
      </c>
      <c r="C277" s="6">
        <f>IFERROR(__xludf.DUMMYFUNCTION("""COMPUTED_VALUE"""),1.80069227210301)</f>
        <v>1.800692272</v>
      </c>
      <c r="D277" s="6">
        <v>1988.0</v>
      </c>
      <c r="E277" s="6" t="s">
        <v>62</v>
      </c>
      <c r="F277" s="6">
        <v>1.80069227210301</v>
      </c>
    </row>
    <row r="278">
      <c r="A278" s="9">
        <f>IFERROR(__xludf.DUMMYFUNCTION("""COMPUTED_VALUE"""),32143.0)</f>
        <v>32143</v>
      </c>
      <c r="B278" s="6" t="str">
        <f>IFERROR(__xludf.DUMMYFUNCTION("""COMPUTED_VALUE"""),"gpc_comunicaciones_pib")</f>
        <v>gpc_comunicaciones_pib</v>
      </c>
      <c r="C278" s="6">
        <f>IFERROR(__xludf.DUMMYFUNCTION("""COMPUTED_VALUE"""),1.20817473255215)</f>
        <v>1.208174733</v>
      </c>
      <c r="D278" s="6">
        <v>1988.0</v>
      </c>
      <c r="E278" s="6" t="s">
        <v>63</v>
      </c>
      <c r="F278" s="6">
        <v>1.20817473255215</v>
      </c>
    </row>
    <row r="279">
      <c r="A279" s="9">
        <f>IFERROR(__xludf.DUMMYFUNCTION("""COMPUTED_VALUE"""),32143.0)</f>
        <v>32143</v>
      </c>
      <c r="B279" s="6" t="str">
        <f>IFERROR(__xludf.DUMMYFUNCTION("""COMPUTED_VALUE"""),"gpc_otros_servicios_economicos_pib")</f>
        <v>gpc_otros_servicios_economicos_pib</v>
      </c>
      <c r="C279" s="6">
        <f>IFERROR(__xludf.DUMMYFUNCTION("""COMPUTED_VALUE"""),1.79609294161141)</f>
        <v>1.796092942</v>
      </c>
      <c r="D279" s="6">
        <v>1988.0</v>
      </c>
      <c r="E279" s="6" t="s">
        <v>64</v>
      </c>
      <c r="F279" s="6">
        <v>1.79609294161141</v>
      </c>
    </row>
    <row r="280">
      <c r="A280" s="9">
        <f>IFERROR(__xludf.DUMMYFUNCTION("""COMPUTED_VALUE"""),32143.0)</f>
        <v>32143</v>
      </c>
      <c r="B280" s="6" t="str">
        <f>IFERROR(__xludf.DUMMYFUNCTION("""COMPUTED_VALUE"""),"gpc_servicios_deuda_publica_pib")</f>
        <v>gpc_servicios_deuda_publica_pib</v>
      </c>
      <c r="C280" s="6">
        <f>IFERROR(__xludf.DUMMYFUNCTION("""COMPUTED_VALUE"""),2.25912981154707)</f>
        <v>2.259129812</v>
      </c>
      <c r="D280" s="6">
        <v>1988.0</v>
      </c>
      <c r="E280" s="6" t="s">
        <v>65</v>
      </c>
      <c r="F280" s="6">
        <v>2.25912981154707</v>
      </c>
    </row>
    <row r="281">
      <c r="A281" s="9">
        <f>IFERROR(__xludf.DUMMYFUNCTION("""COMPUTED_VALUE"""),32509.0)</f>
        <v>32509</v>
      </c>
      <c r="B281" s="6" t="str">
        <f>IFERROR(__xludf.DUMMYFUNCTION("""COMPUTED_VALUE"""),"gpc_pib")</f>
        <v>gpc_pib</v>
      </c>
      <c r="C281" s="6">
        <f>IFERROR(__xludf.DUMMYFUNCTION("""COMPUTED_VALUE"""),31.7132590292966)</f>
        <v>31.71325903</v>
      </c>
      <c r="D281" s="6">
        <v>1989.0</v>
      </c>
      <c r="E281" s="6" t="s">
        <v>66</v>
      </c>
      <c r="F281" s="6">
        <v>31.7132590292966</v>
      </c>
    </row>
    <row r="282">
      <c r="A282" s="9">
        <f>IFERROR(__xludf.DUMMYFUNCTION("""COMPUTED_VALUE"""),32509.0)</f>
        <v>32509</v>
      </c>
      <c r="B282" s="6" t="str">
        <f>IFERROR(__xludf.DUMMYFUNCTION("""COMPUTED_VALUE"""),"gpc_funcionamiento_estado_pib")</f>
        <v>gpc_funcionamiento_estado_pib</v>
      </c>
      <c r="C282" s="6">
        <f>IFERROR(__xludf.DUMMYFUNCTION("""COMPUTED_VALUE"""),4.68990835596518)</f>
        <v>4.689908356</v>
      </c>
      <c r="D282" s="6">
        <v>1989.0</v>
      </c>
      <c r="E282" s="6" t="s">
        <v>36</v>
      </c>
      <c r="F282" s="6">
        <v>4.68990835596518</v>
      </c>
    </row>
    <row r="283">
      <c r="A283" s="9">
        <f>IFERROR(__xludf.DUMMYFUNCTION("""COMPUTED_VALUE"""),32509.0)</f>
        <v>32509</v>
      </c>
      <c r="B283" s="6" t="str">
        <f>IFERROR(__xludf.DUMMYFUNCTION("""COMPUTED_VALUE"""),"gpc_administracion_general_pib")</f>
        <v>gpc_administracion_general_pib</v>
      </c>
      <c r="C283" s="6">
        <f>IFERROR(__xludf.DUMMYFUNCTION("""COMPUTED_VALUE"""),2.1471553464561)</f>
        <v>2.147155346</v>
      </c>
      <c r="D283" s="6">
        <v>1989.0</v>
      </c>
      <c r="E283" s="6" t="s">
        <v>37</v>
      </c>
      <c r="F283" s="6">
        <v>2.1471553464561</v>
      </c>
    </row>
    <row r="284">
      <c r="A284" s="9">
        <f>IFERROR(__xludf.DUMMYFUNCTION("""COMPUTED_VALUE"""),32509.0)</f>
        <v>32509</v>
      </c>
      <c r="B284" s="6" t="str">
        <f>IFERROR(__xludf.DUMMYFUNCTION("""COMPUTED_VALUE"""),"gpc_justicia_pib")</f>
        <v>gpc_justicia_pib</v>
      </c>
      <c r="C284" s="6">
        <f>IFERROR(__xludf.DUMMYFUNCTION("""COMPUTED_VALUE"""),0.424371383552299)</f>
        <v>0.4243713836</v>
      </c>
      <c r="D284" s="6">
        <v>1989.0</v>
      </c>
      <c r="E284" s="6" t="s">
        <v>38</v>
      </c>
      <c r="F284" s="6">
        <v>0.424371383552299</v>
      </c>
    </row>
    <row r="285">
      <c r="A285" s="9">
        <f>IFERROR(__xludf.DUMMYFUNCTION("""COMPUTED_VALUE"""),32509.0)</f>
        <v>32509</v>
      </c>
      <c r="B285" s="6" t="str">
        <f>IFERROR(__xludf.DUMMYFUNCTION("""COMPUTED_VALUE"""),"gpc_defensa_seguridad_pib")</f>
        <v>gpc_defensa_seguridad_pib</v>
      </c>
      <c r="C285" s="6">
        <f>IFERROR(__xludf.DUMMYFUNCTION("""COMPUTED_VALUE"""),2.11838162595677)</f>
        <v>2.118381626</v>
      </c>
      <c r="D285" s="6">
        <v>1989.0</v>
      </c>
      <c r="E285" s="6" t="s">
        <v>39</v>
      </c>
      <c r="F285" s="6">
        <v>2.11838162595677</v>
      </c>
    </row>
    <row r="286">
      <c r="A286" s="9">
        <f>IFERROR(__xludf.DUMMYFUNCTION("""COMPUTED_VALUE"""),32509.0)</f>
        <v>32509</v>
      </c>
      <c r="B286" s="6" t="str">
        <f>IFERROR(__xludf.DUMMYFUNCTION("""COMPUTED_VALUE"""),"gpc_servicios_sociales_pib")</f>
        <v>gpc_servicios_sociales_pib</v>
      </c>
      <c r="C286" s="6">
        <f>IFERROR(__xludf.DUMMYFUNCTION("""COMPUTED_VALUE"""),16.6089632672459)</f>
        <v>16.60896327</v>
      </c>
      <c r="D286" s="6">
        <v>1989.0</v>
      </c>
      <c r="E286" s="6" t="s">
        <v>40</v>
      </c>
      <c r="F286" s="6">
        <v>16.6089632672459</v>
      </c>
    </row>
    <row r="287">
      <c r="A287" s="9">
        <f>IFERROR(__xludf.DUMMYFUNCTION("""COMPUTED_VALUE"""),32509.0)</f>
        <v>32509</v>
      </c>
      <c r="B287" s="6" t="str">
        <f>IFERROR(__xludf.DUMMYFUNCTION("""COMPUTED_VALUE"""),"gpc_educacion_basica_pib")</f>
        <v>gpc_educacion_basica_pib</v>
      </c>
      <c r="C287" s="6">
        <f>IFERROR(__xludf.DUMMYFUNCTION("""COMPUTED_VALUE"""),2.11985669257887)</f>
        <v>2.119856693</v>
      </c>
      <c r="D287" s="6">
        <v>1989.0</v>
      </c>
      <c r="E287" s="6" t="s">
        <v>41</v>
      </c>
      <c r="F287" s="6">
        <v>2.11985669257887</v>
      </c>
    </row>
    <row r="288">
      <c r="A288" s="9">
        <f>IFERROR(__xludf.DUMMYFUNCTION("""COMPUTED_VALUE"""),32509.0)</f>
        <v>32509</v>
      </c>
      <c r="B288" s="6" t="str">
        <f>IFERROR(__xludf.DUMMYFUNCTION("""COMPUTED_VALUE"""),"gpc_educacion_universitaria_pib")</f>
        <v>gpc_educacion_universitaria_pib</v>
      </c>
      <c r="C288" s="6">
        <f>IFERROR(__xludf.DUMMYFUNCTION("""COMPUTED_VALUE"""),0.480600939200329)</f>
        <v>0.4806009392</v>
      </c>
      <c r="D288" s="6">
        <v>1989.0</v>
      </c>
      <c r="E288" s="6" t="s">
        <v>42</v>
      </c>
      <c r="F288" s="6">
        <v>0.480600939200329</v>
      </c>
    </row>
    <row r="289">
      <c r="A289" s="9">
        <f>IFERROR(__xludf.DUMMYFUNCTION("""COMPUTED_VALUE"""),32509.0)</f>
        <v>32509</v>
      </c>
      <c r="B289" s="6" t="str">
        <f>IFERROR(__xludf.DUMMYFUNCTION("""COMPUTED_VALUE"""),"gpc_ciencia_tecnica_pib")</f>
        <v>gpc_ciencia_tecnica_pib</v>
      </c>
      <c r="C289" s="6">
        <f>IFERROR(__xludf.DUMMYFUNCTION("""COMPUTED_VALUE"""),0.249122195673402)</f>
        <v>0.2491221957</v>
      </c>
      <c r="D289" s="6">
        <v>1989.0</v>
      </c>
      <c r="E289" s="6" t="s">
        <v>43</v>
      </c>
      <c r="F289" s="6">
        <v>0.249122195673402</v>
      </c>
    </row>
    <row r="290">
      <c r="A290" s="9">
        <f>IFERROR(__xludf.DUMMYFUNCTION("""COMPUTED_VALUE"""),32509.0)</f>
        <v>32509</v>
      </c>
      <c r="B290" s="6" t="str">
        <f>IFERROR(__xludf.DUMMYFUNCTION("""COMPUTED_VALUE"""),"gpc_cultura_pib")</f>
        <v>gpc_cultura_pib</v>
      </c>
      <c r="C290" s="6">
        <f>IFERROR(__xludf.DUMMYFUNCTION("""COMPUTED_VALUE"""),0.0957451956083229)</f>
        <v>0.09574519561</v>
      </c>
      <c r="D290" s="6">
        <v>1989.0</v>
      </c>
      <c r="E290" s="6" t="s">
        <v>44</v>
      </c>
      <c r="F290" s="6">
        <v>0.0957451956083229</v>
      </c>
    </row>
    <row r="291">
      <c r="A291" s="9">
        <f>IFERROR(__xludf.DUMMYFUNCTION("""COMPUTED_VALUE"""),32509.0)</f>
        <v>32509</v>
      </c>
      <c r="B291" s="6" t="str">
        <f>IFERROR(__xludf.DUMMYFUNCTION("""COMPUTED_VALUE"""),"gpc_educacion_cultura_sin_discriminar_pib")</f>
        <v>gpc_educacion_cultura_sin_discriminar_pib</v>
      </c>
      <c r="C291" s="6">
        <f>IFERROR(__xludf.DUMMYFUNCTION("""COMPUTED_VALUE"""),0.24144440631664)</f>
        <v>0.2414444063</v>
      </c>
      <c r="D291" s="6">
        <v>1989.0</v>
      </c>
      <c r="E291" s="6" t="s">
        <v>45</v>
      </c>
      <c r="F291" s="6">
        <v>0.24144440631664</v>
      </c>
    </row>
    <row r="292">
      <c r="A292" s="9">
        <f>IFERROR(__xludf.DUMMYFUNCTION("""COMPUTED_VALUE"""),32509.0)</f>
        <v>32509</v>
      </c>
      <c r="B292" s="6" t="str">
        <f>IFERROR(__xludf.DUMMYFUNCTION("""COMPUTED_VALUE"""),"gpc_atencion_salud_pib")</f>
        <v>gpc_atencion_salud_pib</v>
      </c>
      <c r="C292" s="6">
        <f>IFERROR(__xludf.DUMMYFUNCTION("""COMPUTED_VALUE"""),1.32702471914193)</f>
        <v>1.327024719</v>
      </c>
      <c r="D292" s="6">
        <v>1989.0</v>
      </c>
      <c r="E292" s="6" t="s">
        <v>46</v>
      </c>
      <c r="F292" s="6">
        <v>1.32702471914193</v>
      </c>
    </row>
    <row r="293">
      <c r="A293" s="9">
        <f>IFERROR(__xludf.DUMMYFUNCTION("""COMPUTED_VALUE"""),32509.0)</f>
        <v>32509</v>
      </c>
      <c r="B293" s="6" t="str">
        <f>IFERROR(__xludf.DUMMYFUNCTION("""COMPUTED_VALUE"""),"gpc_obras_sociales_salud_pib")</f>
        <v>gpc_obras_sociales_salud_pib</v>
      </c>
      <c r="C293" s="6">
        <f>IFERROR(__xludf.DUMMYFUNCTION("""COMPUTED_VALUE"""),1.80246941660196)</f>
        <v>1.802469417</v>
      </c>
      <c r="D293" s="6">
        <v>1989.0</v>
      </c>
      <c r="E293" s="6" t="s">
        <v>47</v>
      </c>
      <c r="F293" s="6">
        <v>1.80246941660196</v>
      </c>
    </row>
    <row r="294">
      <c r="A294" s="9">
        <f>IFERROR(__xludf.DUMMYFUNCTION("""COMPUTED_VALUE"""),32509.0)</f>
        <v>32509</v>
      </c>
      <c r="B294" s="6" t="str">
        <f>IFERROR(__xludf.DUMMYFUNCTION("""COMPUTED_VALUE"""),"gpc_inssjyp_salud_pib")</f>
        <v>gpc_inssjyp_salud_pib</v>
      </c>
      <c r="C294" s="6">
        <f>IFERROR(__xludf.DUMMYFUNCTION("""COMPUTED_VALUE"""),0.461300704229738)</f>
        <v>0.4613007042</v>
      </c>
      <c r="D294" s="6">
        <v>1989.0</v>
      </c>
      <c r="E294" s="6" t="s">
        <v>48</v>
      </c>
      <c r="F294" s="6">
        <v>0.461300704229738</v>
      </c>
    </row>
    <row r="295">
      <c r="A295" s="9">
        <f>IFERROR(__xludf.DUMMYFUNCTION("""COMPUTED_VALUE"""),32509.0)</f>
        <v>32509</v>
      </c>
      <c r="B295" s="6" t="str">
        <f>IFERROR(__xludf.DUMMYFUNCTION("""COMPUTED_VALUE"""),"gpc_agua_alcantarillado_pib")</f>
        <v>gpc_agua_alcantarillado_pib</v>
      </c>
      <c r="C295" s="6">
        <f>IFERROR(__xludf.DUMMYFUNCTION("""COMPUTED_VALUE"""),0.135183923786575)</f>
        <v>0.1351839238</v>
      </c>
      <c r="D295" s="6">
        <v>1989.0</v>
      </c>
      <c r="E295" s="6" t="s">
        <v>49</v>
      </c>
      <c r="F295" s="6">
        <v>0.135183923786575</v>
      </c>
    </row>
    <row r="296">
      <c r="A296" s="9">
        <f>IFERROR(__xludf.DUMMYFUNCTION("""COMPUTED_VALUE"""),32509.0)</f>
        <v>32509</v>
      </c>
      <c r="B296" s="6" t="str">
        <f>IFERROR(__xludf.DUMMYFUNCTION("""COMPUTED_VALUE"""),"gpc_vivienda_urbanismo_pib")</f>
        <v>gpc_vivienda_urbanismo_pib</v>
      </c>
      <c r="C296" s="6">
        <f>IFERROR(__xludf.DUMMYFUNCTION("""COMPUTED_VALUE"""),0.5077257058725)</f>
        <v>0.5077257059</v>
      </c>
      <c r="D296" s="6">
        <v>1989.0</v>
      </c>
      <c r="E296" s="6" t="s">
        <v>50</v>
      </c>
      <c r="F296" s="6">
        <v>0.5077257058725</v>
      </c>
    </row>
    <row r="297">
      <c r="A297" s="9">
        <f>IFERROR(__xludf.DUMMYFUNCTION("""COMPUTED_VALUE"""),32509.0)</f>
        <v>32509</v>
      </c>
      <c r="B297" s="6" t="str">
        <f>IFERROR(__xludf.DUMMYFUNCTION("""COMPUTED_VALUE"""),"gpc_promocion_asistencia_social_pib")</f>
        <v>gpc_promocion_asistencia_social_pib</v>
      </c>
      <c r="C297" s="6">
        <f>IFERROR(__xludf.DUMMYFUNCTION("""COMPUTED_VALUE"""),0.838279926477861)</f>
        <v>0.8382799265</v>
      </c>
      <c r="D297" s="6">
        <v>1989.0</v>
      </c>
      <c r="E297" s="6" t="s">
        <v>51</v>
      </c>
      <c r="F297" s="6">
        <v>0.838279926477861</v>
      </c>
    </row>
    <row r="298">
      <c r="A298" s="9">
        <f>IFERROR(__xludf.DUMMYFUNCTION("""COMPUTED_VALUE"""),32509.0)</f>
        <v>32509</v>
      </c>
      <c r="B298" s="6" t="str">
        <f>IFERROR(__xludf.DUMMYFUNCTION("""COMPUTED_VALUE"""),"gpc_obras_sociales_prestaciones_pib")</f>
        <v>gpc_obras_sociales_prestaciones_pib</v>
      </c>
      <c r="C298" s="6">
        <f>IFERROR(__xludf.DUMMYFUNCTION("""COMPUTED_VALUE"""),0.215625888259318)</f>
        <v>0.2156258883</v>
      </c>
      <c r="D298" s="6">
        <v>1989.0</v>
      </c>
      <c r="E298" s="6" t="s">
        <v>52</v>
      </c>
      <c r="F298" s="6">
        <v>0.215625888259318</v>
      </c>
    </row>
    <row r="299">
      <c r="A299" s="9">
        <f>IFERROR(__xludf.DUMMYFUNCTION("""COMPUTED_VALUE"""),32509.0)</f>
        <v>32509</v>
      </c>
      <c r="B299" s="6" t="str">
        <f>IFERROR(__xludf.DUMMYFUNCTION("""COMPUTED_VALUE"""),"gpc_inssjyp_prestaciones_pib")</f>
        <v>gpc_inssjyp_prestaciones_pib</v>
      </c>
      <c r="C299" s="6">
        <f>IFERROR(__xludf.DUMMYFUNCTION("""COMPUTED_VALUE"""),0.0347215583828835)</f>
        <v>0.03472155838</v>
      </c>
      <c r="D299" s="6">
        <v>1989.0</v>
      </c>
      <c r="E299" s="6" t="s">
        <v>53</v>
      </c>
      <c r="F299" s="6">
        <v>0.0347215583828835</v>
      </c>
    </row>
    <row r="300">
      <c r="A300" s="9">
        <f>IFERROR(__xludf.DUMMYFUNCTION("""COMPUTED_VALUE"""),32509.0)</f>
        <v>32509</v>
      </c>
      <c r="B300" s="6" t="str">
        <f>IFERROR(__xludf.DUMMYFUNCTION("""COMPUTED_VALUE"""),"gpc_prevision_social_pib")</f>
        <v>gpc_prevision_social_pib</v>
      </c>
      <c r="C300" s="6">
        <f>IFERROR(__xludf.DUMMYFUNCTION("""COMPUTED_VALUE"""),7.08307466382017)</f>
        <v>7.083074664</v>
      </c>
      <c r="D300" s="6">
        <v>1989.0</v>
      </c>
      <c r="E300" s="6" t="s">
        <v>54</v>
      </c>
      <c r="F300" s="6">
        <v>7.08307466382017</v>
      </c>
    </row>
    <row r="301">
      <c r="A301" s="9">
        <f>IFERROR(__xludf.DUMMYFUNCTION("""COMPUTED_VALUE"""),32509.0)</f>
        <v>32509</v>
      </c>
      <c r="B301" s="6" t="str">
        <f>IFERROR(__xludf.DUMMYFUNCTION("""COMPUTED_VALUE"""),"gpc_programas_empleo_pib")</f>
        <v>gpc_programas_empleo_pib</v>
      </c>
      <c r="C301" s="6">
        <f>IFERROR(__xludf.DUMMYFUNCTION("""COMPUTED_VALUE"""),0.0147358481397671)</f>
        <v>0.01473584814</v>
      </c>
      <c r="D301" s="6">
        <v>1989.0</v>
      </c>
      <c r="E301" s="6" t="s">
        <v>55</v>
      </c>
      <c r="F301" s="6">
        <v>0.0147358481397671</v>
      </c>
    </row>
    <row r="302">
      <c r="A302" s="9">
        <f>IFERROR(__xludf.DUMMYFUNCTION("""COMPUTED_VALUE"""),32509.0)</f>
        <v>32509</v>
      </c>
      <c r="B302" s="6" t="str">
        <f>IFERROR(__xludf.DUMMYFUNCTION("""COMPUTED_VALUE"""),"gpc_asignaciones_familiares_pib")</f>
        <v>gpc_asignaciones_familiares_pib</v>
      </c>
      <c r="C302" s="6">
        <f>IFERROR(__xludf.DUMMYFUNCTION("""COMPUTED_VALUE"""),0.35902982566293)</f>
        <v>0.3590298257</v>
      </c>
      <c r="D302" s="6">
        <v>1989.0</v>
      </c>
      <c r="E302" s="6" t="s">
        <v>56</v>
      </c>
      <c r="F302" s="6">
        <v>0.35902982566293</v>
      </c>
    </row>
    <row r="303">
      <c r="A303" s="9">
        <f>IFERROR(__xludf.DUMMYFUNCTION("""COMPUTED_VALUE"""),32509.0)</f>
        <v>32509</v>
      </c>
      <c r="B303" s="6" t="str">
        <f>IFERROR(__xludf.DUMMYFUNCTION("""COMPUTED_VALUE"""),"gpc_otros_servicios_urbanos_pib")</f>
        <v>gpc_otros_servicios_urbanos_pib</v>
      </c>
      <c r="C303" s="6">
        <f>IFERROR(__xludf.DUMMYFUNCTION("""COMPUTED_VALUE"""),0.64302165749272)</f>
        <v>0.6430216575</v>
      </c>
      <c r="D303" s="6">
        <v>1989.0</v>
      </c>
      <c r="E303" s="6" t="s">
        <v>57</v>
      </c>
      <c r="F303" s="6">
        <v>0.64302165749272</v>
      </c>
    </row>
    <row r="304">
      <c r="A304" s="9">
        <f>IFERROR(__xludf.DUMMYFUNCTION("""COMPUTED_VALUE"""),32509.0)</f>
        <v>32509</v>
      </c>
      <c r="B304" s="6" t="str">
        <f>IFERROR(__xludf.DUMMYFUNCTION("""COMPUTED_VALUE"""),"gpc_servicios_economicos_pib")</f>
        <v>gpc_servicios_economicos_pib</v>
      </c>
      <c r="C304" s="6">
        <f>IFERROR(__xludf.DUMMYFUNCTION("""COMPUTED_VALUE"""),7.59289715091927)</f>
        <v>7.592897151</v>
      </c>
      <c r="D304" s="6">
        <v>1989.0</v>
      </c>
      <c r="E304" s="6" t="s">
        <v>58</v>
      </c>
      <c r="F304" s="6">
        <v>7.59289715091927</v>
      </c>
    </row>
    <row r="305">
      <c r="A305" s="9">
        <f>IFERROR(__xludf.DUMMYFUNCTION("""COMPUTED_VALUE"""),32509.0)</f>
        <v>32509</v>
      </c>
      <c r="B305" s="6" t="str">
        <f>IFERROR(__xludf.DUMMYFUNCTION("""COMPUTED_VALUE"""),"gpc_produccion_primaria_pib")</f>
        <v>gpc_produccion_primaria_pib</v>
      </c>
      <c r="C305" s="6">
        <f>IFERROR(__xludf.DUMMYFUNCTION("""COMPUTED_VALUE"""),0.321358065331244)</f>
        <v>0.3213580653</v>
      </c>
      <c r="D305" s="6">
        <v>1989.0</v>
      </c>
      <c r="E305" s="6" t="s">
        <v>59</v>
      </c>
      <c r="F305" s="6">
        <v>0.321358065331244</v>
      </c>
    </row>
    <row r="306">
      <c r="A306" s="9">
        <f>IFERROR(__xludf.DUMMYFUNCTION("""COMPUTED_VALUE"""),32509.0)</f>
        <v>32509</v>
      </c>
      <c r="B306" s="6" t="str">
        <f>IFERROR(__xludf.DUMMYFUNCTION("""COMPUTED_VALUE"""),"gpc_energia_combustible_pib")</f>
        <v>gpc_energia_combustible_pib</v>
      </c>
      <c r="C306" s="6">
        <f>IFERROR(__xludf.DUMMYFUNCTION("""COMPUTED_VALUE"""),2.47878368153175)</f>
        <v>2.478783682</v>
      </c>
      <c r="D306" s="6">
        <v>1989.0</v>
      </c>
      <c r="E306" s="6" t="s">
        <v>60</v>
      </c>
      <c r="F306" s="6">
        <v>2.47878368153175</v>
      </c>
    </row>
    <row r="307">
      <c r="A307" s="9">
        <f>IFERROR(__xludf.DUMMYFUNCTION("""COMPUTED_VALUE"""),32509.0)</f>
        <v>32509</v>
      </c>
      <c r="B307" s="6" t="str">
        <f>IFERROR(__xludf.DUMMYFUNCTION("""COMPUTED_VALUE"""),"gpc_industria_pib")</f>
        <v>gpc_industria_pib</v>
      </c>
      <c r="C307" s="6">
        <f>IFERROR(__xludf.DUMMYFUNCTION("""COMPUTED_VALUE"""),0.243832926176583)</f>
        <v>0.2438329262</v>
      </c>
      <c r="D307" s="6">
        <v>1989.0</v>
      </c>
      <c r="E307" s="6" t="s">
        <v>61</v>
      </c>
      <c r="F307" s="6">
        <v>0.243832926176583</v>
      </c>
    </row>
    <row r="308">
      <c r="A308" s="9">
        <f>IFERROR(__xludf.DUMMYFUNCTION("""COMPUTED_VALUE"""),32509.0)</f>
        <v>32509</v>
      </c>
      <c r="B308" s="6" t="str">
        <f>IFERROR(__xludf.DUMMYFUNCTION("""COMPUTED_VALUE"""),"gpc_transporte_pib")</f>
        <v>gpc_transporte_pib</v>
      </c>
      <c r="C308" s="6">
        <f>IFERROR(__xludf.DUMMYFUNCTION("""COMPUTED_VALUE"""),1.29163322782647)</f>
        <v>1.291633228</v>
      </c>
      <c r="D308" s="6">
        <v>1989.0</v>
      </c>
      <c r="E308" s="6" t="s">
        <v>62</v>
      </c>
      <c r="F308" s="6">
        <v>1.29163322782647</v>
      </c>
    </row>
    <row r="309">
      <c r="A309" s="9">
        <f>IFERROR(__xludf.DUMMYFUNCTION("""COMPUTED_VALUE"""),32509.0)</f>
        <v>32509</v>
      </c>
      <c r="B309" s="6" t="str">
        <f>IFERROR(__xludf.DUMMYFUNCTION("""COMPUTED_VALUE"""),"gpc_comunicaciones_pib")</f>
        <v>gpc_comunicaciones_pib</v>
      </c>
      <c r="C309" s="6">
        <f>IFERROR(__xludf.DUMMYFUNCTION("""COMPUTED_VALUE"""),0.508195649395625)</f>
        <v>0.5081956494</v>
      </c>
      <c r="D309" s="6">
        <v>1989.0</v>
      </c>
      <c r="E309" s="6" t="s">
        <v>63</v>
      </c>
      <c r="F309" s="6">
        <v>0.508195649395625</v>
      </c>
    </row>
    <row r="310">
      <c r="A310" s="9">
        <f>IFERROR(__xludf.DUMMYFUNCTION("""COMPUTED_VALUE"""),32509.0)</f>
        <v>32509</v>
      </c>
      <c r="B310" s="6" t="str">
        <f>IFERROR(__xludf.DUMMYFUNCTION("""COMPUTED_VALUE"""),"gpc_otros_servicios_economicos_pib")</f>
        <v>gpc_otros_servicios_economicos_pib</v>
      </c>
      <c r="C310" s="6">
        <f>IFERROR(__xludf.DUMMYFUNCTION("""COMPUTED_VALUE"""),2.74909360065759)</f>
        <v>2.749093601</v>
      </c>
      <c r="D310" s="6">
        <v>1989.0</v>
      </c>
      <c r="E310" s="6" t="s">
        <v>64</v>
      </c>
      <c r="F310" s="6">
        <v>2.74909360065759</v>
      </c>
    </row>
    <row r="311">
      <c r="A311" s="9">
        <f>IFERROR(__xludf.DUMMYFUNCTION("""COMPUTED_VALUE"""),32509.0)</f>
        <v>32509</v>
      </c>
      <c r="B311" s="6" t="str">
        <f>IFERROR(__xludf.DUMMYFUNCTION("""COMPUTED_VALUE"""),"gpc_servicios_deuda_publica_pib")</f>
        <v>gpc_servicios_deuda_publica_pib</v>
      </c>
      <c r="C311" s="6">
        <f>IFERROR(__xludf.DUMMYFUNCTION("""COMPUTED_VALUE"""),2.82149025516629)</f>
        <v>2.821490255</v>
      </c>
      <c r="D311" s="6">
        <v>1989.0</v>
      </c>
      <c r="E311" s="6" t="s">
        <v>65</v>
      </c>
      <c r="F311" s="6">
        <v>2.82149025516629</v>
      </c>
    </row>
    <row r="312">
      <c r="A312" s="9">
        <f>IFERROR(__xludf.DUMMYFUNCTION("""COMPUTED_VALUE"""),32874.0)</f>
        <v>32874</v>
      </c>
      <c r="B312" s="6" t="str">
        <f>IFERROR(__xludf.DUMMYFUNCTION("""COMPUTED_VALUE"""),"gpc_pib")</f>
        <v>gpc_pib</v>
      </c>
      <c r="C312" s="6">
        <f>IFERROR(__xludf.DUMMYFUNCTION("""COMPUTED_VALUE"""),30.3695450329187)</f>
        <v>30.36954503</v>
      </c>
      <c r="D312" s="6">
        <v>1990.0</v>
      </c>
      <c r="E312" s="6" t="s">
        <v>66</v>
      </c>
      <c r="F312" s="6">
        <v>30.3695450329187</v>
      </c>
    </row>
    <row r="313">
      <c r="A313" s="9">
        <f>IFERROR(__xludf.DUMMYFUNCTION("""COMPUTED_VALUE"""),32874.0)</f>
        <v>32874</v>
      </c>
      <c r="B313" s="6" t="str">
        <f>IFERROR(__xludf.DUMMYFUNCTION("""COMPUTED_VALUE"""),"gpc_funcionamiento_estado_pib")</f>
        <v>gpc_funcionamiento_estado_pib</v>
      </c>
      <c r="C313" s="6">
        <f>IFERROR(__xludf.DUMMYFUNCTION("""COMPUTED_VALUE"""),4.92033117326411)</f>
        <v>4.920331173</v>
      </c>
      <c r="D313" s="6">
        <v>1990.0</v>
      </c>
      <c r="E313" s="6" t="s">
        <v>36</v>
      </c>
      <c r="F313" s="6">
        <v>4.92033117326411</v>
      </c>
    </row>
    <row r="314">
      <c r="A314" s="9">
        <f>IFERROR(__xludf.DUMMYFUNCTION("""COMPUTED_VALUE"""),32874.0)</f>
        <v>32874</v>
      </c>
      <c r="B314" s="6" t="str">
        <f>IFERROR(__xludf.DUMMYFUNCTION("""COMPUTED_VALUE"""),"gpc_administracion_general_pib")</f>
        <v>gpc_administracion_general_pib</v>
      </c>
      <c r="C314" s="6">
        <f>IFERROR(__xludf.DUMMYFUNCTION("""COMPUTED_VALUE"""),2.44407977383453)</f>
        <v>2.444079774</v>
      </c>
      <c r="D314" s="6">
        <v>1990.0</v>
      </c>
      <c r="E314" s="6" t="s">
        <v>37</v>
      </c>
      <c r="F314" s="6">
        <v>2.44407977383453</v>
      </c>
    </row>
    <row r="315">
      <c r="A315" s="9">
        <f>IFERROR(__xludf.DUMMYFUNCTION("""COMPUTED_VALUE"""),32874.0)</f>
        <v>32874</v>
      </c>
      <c r="B315" s="6" t="str">
        <f>IFERROR(__xludf.DUMMYFUNCTION("""COMPUTED_VALUE"""),"gpc_justicia_pib")</f>
        <v>gpc_justicia_pib</v>
      </c>
      <c r="C315" s="6">
        <f>IFERROR(__xludf.DUMMYFUNCTION("""COMPUTED_VALUE"""),0.482213194803587)</f>
        <v>0.4822131948</v>
      </c>
      <c r="D315" s="6">
        <v>1990.0</v>
      </c>
      <c r="E315" s="6" t="s">
        <v>38</v>
      </c>
      <c r="F315" s="6">
        <v>0.482213194803587</v>
      </c>
    </row>
    <row r="316">
      <c r="A316" s="9">
        <f>IFERROR(__xludf.DUMMYFUNCTION("""COMPUTED_VALUE"""),32874.0)</f>
        <v>32874</v>
      </c>
      <c r="B316" s="6" t="str">
        <f>IFERROR(__xludf.DUMMYFUNCTION("""COMPUTED_VALUE"""),"gpc_defensa_seguridad_pib")</f>
        <v>gpc_defensa_seguridad_pib</v>
      </c>
      <c r="C316" s="6">
        <f>IFERROR(__xludf.DUMMYFUNCTION("""COMPUTED_VALUE"""),1.99403820462599)</f>
        <v>1.994038205</v>
      </c>
      <c r="D316" s="6">
        <v>1990.0</v>
      </c>
      <c r="E316" s="6" t="s">
        <v>39</v>
      </c>
      <c r="F316" s="6">
        <v>1.99403820462599</v>
      </c>
    </row>
    <row r="317">
      <c r="A317" s="9">
        <f>IFERROR(__xludf.DUMMYFUNCTION("""COMPUTED_VALUE"""),32874.0)</f>
        <v>32874</v>
      </c>
      <c r="B317" s="6" t="str">
        <f>IFERROR(__xludf.DUMMYFUNCTION("""COMPUTED_VALUE"""),"gpc_servicios_sociales_pib")</f>
        <v>gpc_servicios_sociales_pib</v>
      </c>
      <c r="C317" s="6">
        <f>IFERROR(__xludf.DUMMYFUNCTION("""COMPUTED_VALUE"""),18.5691882635123)</f>
        <v>18.56918826</v>
      </c>
      <c r="D317" s="6">
        <v>1990.0</v>
      </c>
      <c r="E317" s="6" t="s">
        <v>40</v>
      </c>
      <c r="F317" s="6">
        <v>18.5691882635123</v>
      </c>
    </row>
    <row r="318">
      <c r="A318" s="9">
        <f>IFERROR(__xludf.DUMMYFUNCTION("""COMPUTED_VALUE"""),32874.0)</f>
        <v>32874</v>
      </c>
      <c r="B318" s="6" t="str">
        <f>IFERROR(__xludf.DUMMYFUNCTION("""COMPUTED_VALUE"""),"gpc_educacion_basica_pib")</f>
        <v>gpc_educacion_basica_pib</v>
      </c>
      <c r="C318" s="6">
        <f>IFERROR(__xludf.DUMMYFUNCTION("""COMPUTED_VALUE"""),2.35174244970782)</f>
        <v>2.35174245</v>
      </c>
      <c r="D318" s="6">
        <v>1990.0</v>
      </c>
      <c r="E318" s="6" t="s">
        <v>41</v>
      </c>
      <c r="F318" s="6">
        <v>2.35174244970782</v>
      </c>
    </row>
    <row r="319">
      <c r="A319" s="9">
        <f>IFERROR(__xludf.DUMMYFUNCTION("""COMPUTED_VALUE"""),32874.0)</f>
        <v>32874</v>
      </c>
      <c r="B319" s="6" t="str">
        <f>IFERROR(__xludf.DUMMYFUNCTION("""COMPUTED_VALUE"""),"gpc_educacion_universitaria_pib")</f>
        <v>gpc_educacion_universitaria_pib</v>
      </c>
      <c r="C319" s="6">
        <f>IFERROR(__xludf.DUMMYFUNCTION("""COMPUTED_VALUE"""),0.552168355789566)</f>
        <v>0.5521683558</v>
      </c>
      <c r="D319" s="6">
        <v>1990.0</v>
      </c>
      <c r="E319" s="6" t="s">
        <v>42</v>
      </c>
      <c r="F319" s="6">
        <v>0.552168355789566</v>
      </c>
    </row>
    <row r="320">
      <c r="A320" s="9">
        <f>IFERROR(__xludf.DUMMYFUNCTION("""COMPUTED_VALUE"""),32874.0)</f>
        <v>32874</v>
      </c>
      <c r="B320" s="6" t="str">
        <f>IFERROR(__xludf.DUMMYFUNCTION("""COMPUTED_VALUE"""),"gpc_ciencia_tecnica_pib")</f>
        <v>gpc_ciencia_tecnica_pib</v>
      </c>
      <c r="C320" s="6">
        <f>IFERROR(__xludf.DUMMYFUNCTION("""COMPUTED_VALUE"""),0.25358324201955)</f>
        <v>0.253583242</v>
      </c>
      <c r="D320" s="6">
        <v>1990.0</v>
      </c>
      <c r="E320" s="6" t="s">
        <v>43</v>
      </c>
      <c r="F320" s="6">
        <v>0.25358324201955</v>
      </c>
    </row>
    <row r="321">
      <c r="A321" s="9">
        <f>IFERROR(__xludf.DUMMYFUNCTION("""COMPUTED_VALUE"""),32874.0)</f>
        <v>32874</v>
      </c>
      <c r="B321" s="6" t="str">
        <f>IFERROR(__xludf.DUMMYFUNCTION("""COMPUTED_VALUE"""),"gpc_cultura_pib")</f>
        <v>gpc_cultura_pib</v>
      </c>
      <c r="C321" s="6">
        <f>IFERROR(__xludf.DUMMYFUNCTION("""COMPUTED_VALUE"""),0.0983652830140884)</f>
        <v>0.09836528301</v>
      </c>
      <c r="D321" s="6">
        <v>1990.0</v>
      </c>
      <c r="E321" s="6" t="s">
        <v>44</v>
      </c>
      <c r="F321" s="6">
        <v>0.0983652830140884</v>
      </c>
    </row>
    <row r="322">
      <c r="A322" s="9">
        <f>IFERROR(__xludf.DUMMYFUNCTION("""COMPUTED_VALUE"""),32874.0)</f>
        <v>32874</v>
      </c>
      <c r="B322" s="6" t="str">
        <f>IFERROR(__xludf.DUMMYFUNCTION("""COMPUTED_VALUE"""),"gpc_educacion_cultura_sin_discriminar_pib")</f>
        <v>gpc_educacion_cultura_sin_discriminar_pib</v>
      </c>
      <c r="C322" s="6">
        <f>IFERROR(__xludf.DUMMYFUNCTION("""COMPUTED_VALUE"""),0.259745825459077)</f>
        <v>0.2597458255</v>
      </c>
      <c r="D322" s="6">
        <v>1990.0</v>
      </c>
      <c r="E322" s="6" t="s">
        <v>45</v>
      </c>
      <c r="F322" s="6">
        <v>0.259745825459077</v>
      </c>
    </row>
    <row r="323">
      <c r="A323" s="9">
        <f>IFERROR(__xludf.DUMMYFUNCTION("""COMPUTED_VALUE"""),32874.0)</f>
        <v>32874</v>
      </c>
      <c r="B323" s="6" t="str">
        <f>IFERROR(__xludf.DUMMYFUNCTION("""COMPUTED_VALUE"""),"gpc_atencion_salud_pib")</f>
        <v>gpc_atencion_salud_pib</v>
      </c>
      <c r="C323" s="6">
        <f>IFERROR(__xludf.DUMMYFUNCTION("""COMPUTED_VALUE"""),1.41997112673285)</f>
        <v>1.419971127</v>
      </c>
      <c r="D323" s="6">
        <v>1990.0</v>
      </c>
      <c r="E323" s="6" t="s">
        <v>46</v>
      </c>
      <c r="F323" s="6">
        <v>1.41997112673285</v>
      </c>
    </row>
    <row r="324">
      <c r="A324" s="9">
        <f>IFERROR(__xludf.DUMMYFUNCTION("""COMPUTED_VALUE"""),32874.0)</f>
        <v>32874</v>
      </c>
      <c r="B324" s="6" t="str">
        <f>IFERROR(__xludf.DUMMYFUNCTION("""COMPUTED_VALUE"""),"gpc_obras_sociales_salud_pib")</f>
        <v>gpc_obras_sociales_salud_pib</v>
      </c>
      <c r="C324" s="6">
        <f>IFERROR(__xludf.DUMMYFUNCTION("""COMPUTED_VALUE"""),2.14917470203429)</f>
        <v>2.149174702</v>
      </c>
      <c r="D324" s="6">
        <v>1990.0</v>
      </c>
      <c r="E324" s="6" t="s">
        <v>47</v>
      </c>
      <c r="F324" s="6">
        <v>2.14917470203429</v>
      </c>
    </row>
    <row r="325">
      <c r="A325" s="9">
        <f>IFERROR(__xludf.DUMMYFUNCTION("""COMPUTED_VALUE"""),32874.0)</f>
        <v>32874</v>
      </c>
      <c r="B325" s="6" t="str">
        <f>IFERROR(__xludf.DUMMYFUNCTION("""COMPUTED_VALUE"""),"gpc_inssjyp_salud_pib")</f>
        <v>gpc_inssjyp_salud_pib</v>
      </c>
      <c r="C325" s="6">
        <f>IFERROR(__xludf.DUMMYFUNCTION("""COMPUTED_VALUE"""),0.638928621902917)</f>
        <v>0.6389286219</v>
      </c>
      <c r="D325" s="6">
        <v>1990.0</v>
      </c>
      <c r="E325" s="6" t="s">
        <v>48</v>
      </c>
      <c r="F325" s="6">
        <v>0.638928621902917</v>
      </c>
    </row>
    <row r="326">
      <c r="A326" s="9">
        <f>IFERROR(__xludf.DUMMYFUNCTION("""COMPUTED_VALUE"""),32874.0)</f>
        <v>32874</v>
      </c>
      <c r="B326" s="6" t="str">
        <f>IFERROR(__xludf.DUMMYFUNCTION("""COMPUTED_VALUE"""),"gpc_agua_alcantarillado_pib")</f>
        <v>gpc_agua_alcantarillado_pib</v>
      </c>
      <c r="C326" s="6">
        <f>IFERROR(__xludf.DUMMYFUNCTION("""COMPUTED_VALUE"""),0.142864182707565)</f>
        <v>0.1428641827</v>
      </c>
      <c r="D326" s="6">
        <v>1990.0</v>
      </c>
      <c r="E326" s="6" t="s">
        <v>49</v>
      </c>
      <c r="F326" s="6">
        <v>0.142864182707565</v>
      </c>
    </row>
    <row r="327">
      <c r="A327" s="9">
        <f>IFERROR(__xludf.DUMMYFUNCTION("""COMPUTED_VALUE"""),32874.0)</f>
        <v>32874</v>
      </c>
      <c r="B327" s="6" t="str">
        <f>IFERROR(__xludf.DUMMYFUNCTION("""COMPUTED_VALUE"""),"gpc_vivienda_urbanismo_pib")</f>
        <v>gpc_vivienda_urbanismo_pib</v>
      </c>
      <c r="C327" s="6">
        <f>IFERROR(__xludf.DUMMYFUNCTION("""COMPUTED_VALUE"""),0.707865536460956)</f>
        <v>0.7078655365</v>
      </c>
      <c r="D327" s="6">
        <v>1990.0</v>
      </c>
      <c r="E327" s="6" t="s">
        <v>50</v>
      </c>
      <c r="F327" s="6">
        <v>0.707865536460956</v>
      </c>
    </row>
    <row r="328">
      <c r="A328" s="9">
        <f>IFERROR(__xludf.DUMMYFUNCTION("""COMPUTED_VALUE"""),32874.0)</f>
        <v>32874</v>
      </c>
      <c r="B328" s="6" t="str">
        <f>IFERROR(__xludf.DUMMYFUNCTION("""COMPUTED_VALUE"""),"gpc_promocion_asistencia_social_pib")</f>
        <v>gpc_promocion_asistencia_social_pib</v>
      </c>
      <c r="C328" s="6">
        <f>IFERROR(__xludf.DUMMYFUNCTION("""COMPUTED_VALUE"""),0.586573089863864)</f>
        <v>0.5865730899</v>
      </c>
      <c r="D328" s="6">
        <v>1990.0</v>
      </c>
      <c r="E328" s="6" t="s">
        <v>51</v>
      </c>
      <c r="F328" s="6">
        <v>0.586573089863864</v>
      </c>
    </row>
    <row r="329">
      <c r="A329" s="9">
        <f>IFERROR(__xludf.DUMMYFUNCTION("""COMPUTED_VALUE"""),32874.0)</f>
        <v>32874</v>
      </c>
      <c r="B329" s="6" t="str">
        <f>IFERROR(__xludf.DUMMYFUNCTION("""COMPUTED_VALUE"""),"gpc_obras_sociales_prestaciones_pib")</f>
        <v>gpc_obras_sociales_prestaciones_pib</v>
      </c>
      <c r="C329" s="6">
        <f>IFERROR(__xludf.DUMMYFUNCTION("""COMPUTED_VALUE"""),0.245405156339921)</f>
        <v>0.2454051563</v>
      </c>
      <c r="D329" s="6">
        <v>1990.0</v>
      </c>
      <c r="E329" s="6" t="s">
        <v>52</v>
      </c>
      <c r="F329" s="6">
        <v>0.245405156339921</v>
      </c>
    </row>
    <row r="330">
      <c r="A330" s="9">
        <f>IFERROR(__xludf.DUMMYFUNCTION("""COMPUTED_VALUE"""),32874.0)</f>
        <v>32874</v>
      </c>
      <c r="B330" s="6" t="str">
        <f>IFERROR(__xludf.DUMMYFUNCTION("""COMPUTED_VALUE"""),"gpc_inssjyp_prestaciones_pib")</f>
        <v>gpc_inssjyp_prestaciones_pib</v>
      </c>
      <c r="C330" s="6">
        <f>IFERROR(__xludf.DUMMYFUNCTION("""COMPUTED_VALUE"""),0.0480914016486066)</f>
        <v>0.04809140165</v>
      </c>
      <c r="D330" s="6">
        <v>1990.0</v>
      </c>
      <c r="E330" s="6" t="s">
        <v>53</v>
      </c>
      <c r="F330" s="6">
        <v>0.0480914016486066</v>
      </c>
    </row>
    <row r="331">
      <c r="A331" s="9">
        <f>IFERROR(__xludf.DUMMYFUNCTION("""COMPUTED_VALUE"""),32874.0)</f>
        <v>32874</v>
      </c>
      <c r="B331" s="6" t="str">
        <f>IFERROR(__xludf.DUMMYFUNCTION("""COMPUTED_VALUE"""),"gpc_prevision_social_pib")</f>
        <v>gpc_prevision_social_pib</v>
      </c>
      <c r="C331" s="6">
        <f>IFERROR(__xludf.DUMMYFUNCTION("""COMPUTED_VALUE"""),7.93174124068069)</f>
        <v>7.931741241</v>
      </c>
      <c r="D331" s="6">
        <v>1990.0</v>
      </c>
      <c r="E331" s="6" t="s">
        <v>54</v>
      </c>
      <c r="F331" s="6">
        <v>7.93174124068069</v>
      </c>
    </row>
    <row r="332">
      <c r="A332" s="9">
        <f>IFERROR(__xludf.DUMMYFUNCTION("""COMPUTED_VALUE"""),32874.0)</f>
        <v>32874</v>
      </c>
      <c r="B332" s="6" t="str">
        <f>IFERROR(__xludf.DUMMYFUNCTION("""COMPUTED_VALUE"""),"gpc_programas_empleo_pib")</f>
        <v>gpc_programas_empleo_pib</v>
      </c>
      <c r="C332" s="6">
        <f>IFERROR(__xludf.DUMMYFUNCTION("""COMPUTED_VALUE"""),0.0189107425398632)</f>
        <v>0.01891074254</v>
      </c>
      <c r="D332" s="6">
        <v>1990.0</v>
      </c>
      <c r="E332" s="6" t="s">
        <v>55</v>
      </c>
      <c r="F332" s="6">
        <v>0.0189107425398632</v>
      </c>
    </row>
    <row r="333">
      <c r="A333" s="9">
        <f>IFERROR(__xludf.DUMMYFUNCTION("""COMPUTED_VALUE"""),32874.0)</f>
        <v>32874</v>
      </c>
      <c r="B333" s="6" t="str">
        <f>IFERROR(__xludf.DUMMYFUNCTION("""COMPUTED_VALUE"""),"gpc_asignaciones_familiares_pib")</f>
        <v>gpc_asignaciones_familiares_pib</v>
      </c>
      <c r="C333" s="6">
        <f>IFERROR(__xludf.DUMMYFUNCTION("""COMPUTED_VALUE"""),0.375265091656294)</f>
        <v>0.3752650917</v>
      </c>
      <c r="D333" s="6">
        <v>1990.0</v>
      </c>
      <c r="E333" s="6" t="s">
        <v>56</v>
      </c>
      <c r="F333" s="6">
        <v>0.375265091656294</v>
      </c>
    </row>
    <row r="334">
      <c r="A334" s="9">
        <f>IFERROR(__xludf.DUMMYFUNCTION("""COMPUTED_VALUE"""),32874.0)</f>
        <v>32874</v>
      </c>
      <c r="B334" s="6" t="str">
        <f>IFERROR(__xludf.DUMMYFUNCTION("""COMPUTED_VALUE"""),"gpc_otros_servicios_urbanos_pib")</f>
        <v>gpc_otros_servicios_urbanos_pib</v>
      </c>
      <c r="C334" s="6">
        <f>IFERROR(__xludf.DUMMYFUNCTION("""COMPUTED_VALUE"""),0.788792214954465)</f>
        <v>0.788792215</v>
      </c>
      <c r="D334" s="6">
        <v>1990.0</v>
      </c>
      <c r="E334" s="6" t="s">
        <v>57</v>
      </c>
      <c r="F334" s="6">
        <v>0.788792214954465</v>
      </c>
    </row>
    <row r="335">
      <c r="A335" s="9">
        <f>IFERROR(__xludf.DUMMYFUNCTION("""COMPUTED_VALUE"""),32874.0)</f>
        <v>32874</v>
      </c>
      <c r="B335" s="6" t="str">
        <f>IFERROR(__xludf.DUMMYFUNCTION("""COMPUTED_VALUE"""),"gpc_servicios_economicos_pib")</f>
        <v>gpc_servicios_economicos_pib</v>
      </c>
      <c r="C335" s="6">
        <f>IFERROR(__xludf.DUMMYFUNCTION("""COMPUTED_VALUE"""),5.30855343049734)</f>
        <v>5.30855343</v>
      </c>
      <c r="D335" s="6">
        <v>1990.0</v>
      </c>
      <c r="E335" s="6" t="s">
        <v>58</v>
      </c>
      <c r="F335" s="6">
        <v>5.30855343049734</v>
      </c>
    </row>
    <row r="336">
      <c r="A336" s="9">
        <f>IFERROR(__xludf.DUMMYFUNCTION("""COMPUTED_VALUE"""),32874.0)</f>
        <v>32874</v>
      </c>
      <c r="B336" s="6" t="str">
        <f>IFERROR(__xludf.DUMMYFUNCTION("""COMPUTED_VALUE"""),"gpc_produccion_primaria_pib")</f>
        <v>gpc_produccion_primaria_pib</v>
      </c>
      <c r="C336" s="6">
        <f>IFERROR(__xludf.DUMMYFUNCTION("""COMPUTED_VALUE"""),0.267126209971293)</f>
        <v>0.26712621</v>
      </c>
      <c r="D336" s="6">
        <v>1990.0</v>
      </c>
      <c r="E336" s="6" t="s">
        <v>59</v>
      </c>
      <c r="F336" s="6">
        <v>0.267126209971293</v>
      </c>
    </row>
    <row r="337">
      <c r="A337" s="9">
        <f>IFERROR(__xludf.DUMMYFUNCTION("""COMPUTED_VALUE"""),32874.0)</f>
        <v>32874</v>
      </c>
      <c r="B337" s="6" t="str">
        <f>IFERROR(__xludf.DUMMYFUNCTION("""COMPUTED_VALUE"""),"gpc_energia_combustible_pib")</f>
        <v>gpc_energia_combustible_pib</v>
      </c>
      <c r="C337" s="6">
        <f>IFERROR(__xludf.DUMMYFUNCTION("""COMPUTED_VALUE"""),1.83481517368423)</f>
        <v>1.834815174</v>
      </c>
      <c r="D337" s="6">
        <v>1990.0</v>
      </c>
      <c r="E337" s="6" t="s">
        <v>60</v>
      </c>
      <c r="F337" s="6">
        <v>1.83481517368423</v>
      </c>
    </row>
    <row r="338">
      <c r="A338" s="9">
        <f>IFERROR(__xludf.DUMMYFUNCTION("""COMPUTED_VALUE"""),32874.0)</f>
        <v>32874</v>
      </c>
      <c r="B338" s="6" t="str">
        <f>IFERROR(__xludf.DUMMYFUNCTION("""COMPUTED_VALUE"""),"gpc_industria_pib")</f>
        <v>gpc_industria_pib</v>
      </c>
      <c r="C338" s="6">
        <f>IFERROR(__xludf.DUMMYFUNCTION("""COMPUTED_VALUE"""),0.164288553266993)</f>
        <v>0.1642885533</v>
      </c>
      <c r="D338" s="6">
        <v>1990.0</v>
      </c>
      <c r="E338" s="6" t="s">
        <v>61</v>
      </c>
      <c r="F338" s="6">
        <v>0.164288553266993</v>
      </c>
    </row>
    <row r="339">
      <c r="A339" s="9">
        <f>IFERROR(__xludf.DUMMYFUNCTION("""COMPUTED_VALUE"""),32874.0)</f>
        <v>32874</v>
      </c>
      <c r="B339" s="6" t="str">
        <f>IFERROR(__xludf.DUMMYFUNCTION("""COMPUTED_VALUE"""),"gpc_transporte_pib")</f>
        <v>gpc_transporte_pib</v>
      </c>
      <c r="C339" s="6">
        <f>IFERROR(__xludf.DUMMYFUNCTION("""COMPUTED_VALUE"""),1.01259474213317)</f>
        <v>1.012594742</v>
      </c>
      <c r="D339" s="6">
        <v>1990.0</v>
      </c>
      <c r="E339" s="6" t="s">
        <v>62</v>
      </c>
      <c r="F339" s="6">
        <v>1.01259474213317</v>
      </c>
    </row>
    <row r="340">
      <c r="A340" s="9">
        <f>IFERROR(__xludf.DUMMYFUNCTION("""COMPUTED_VALUE"""),32874.0)</f>
        <v>32874</v>
      </c>
      <c r="B340" s="6" t="str">
        <f>IFERROR(__xludf.DUMMYFUNCTION("""COMPUTED_VALUE"""),"gpc_comunicaciones_pib")</f>
        <v>gpc_comunicaciones_pib</v>
      </c>
      <c r="C340" s="6">
        <f>IFERROR(__xludf.DUMMYFUNCTION("""COMPUTED_VALUE"""),0.124727456467725)</f>
        <v>0.1247274565</v>
      </c>
      <c r="D340" s="6">
        <v>1990.0</v>
      </c>
      <c r="E340" s="6" t="s">
        <v>63</v>
      </c>
      <c r="F340" s="6">
        <v>0.124727456467725</v>
      </c>
    </row>
    <row r="341">
      <c r="A341" s="9">
        <f>IFERROR(__xludf.DUMMYFUNCTION("""COMPUTED_VALUE"""),32874.0)</f>
        <v>32874</v>
      </c>
      <c r="B341" s="6" t="str">
        <f>IFERROR(__xludf.DUMMYFUNCTION("""COMPUTED_VALUE"""),"gpc_otros_servicios_economicos_pib")</f>
        <v>gpc_otros_servicios_economicos_pib</v>
      </c>
      <c r="C341" s="6">
        <f>IFERROR(__xludf.DUMMYFUNCTION("""COMPUTED_VALUE"""),1.90500129497391)</f>
        <v>1.905001295</v>
      </c>
      <c r="D341" s="6">
        <v>1990.0</v>
      </c>
      <c r="E341" s="6" t="s">
        <v>64</v>
      </c>
      <c r="F341" s="6">
        <v>1.90500129497391</v>
      </c>
    </row>
    <row r="342">
      <c r="A342" s="9">
        <f>IFERROR(__xludf.DUMMYFUNCTION("""COMPUTED_VALUE"""),32874.0)</f>
        <v>32874</v>
      </c>
      <c r="B342" s="6" t="str">
        <f>IFERROR(__xludf.DUMMYFUNCTION("""COMPUTED_VALUE"""),"gpc_servicios_deuda_publica_pib")</f>
        <v>gpc_servicios_deuda_publica_pib</v>
      </c>
      <c r="C342" s="6">
        <f>IFERROR(__xludf.DUMMYFUNCTION("""COMPUTED_VALUE"""),1.57147216564493)</f>
        <v>1.571472166</v>
      </c>
      <c r="D342" s="6">
        <v>1990.0</v>
      </c>
      <c r="E342" s="6" t="s">
        <v>65</v>
      </c>
      <c r="F342" s="6">
        <v>1.57147216564493</v>
      </c>
    </row>
    <row r="343">
      <c r="A343" s="9">
        <f>IFERROR(__xludf.DUMMYFUNCTION("""COMPUTED_VALUE"""),33239.0)</f>
        <v>33239</v>
      </c>
      <c r="B343" s="6" t="str">
        <f>IFERROR(__xludf.DUMMYFUNCTION("""COMPUTED_VALUE"""),"gpc_pib")</f>
        <v>gpc_pib</v>
      </c>
      <c r="C343" s="6">
        <f>IFERROR(__xludf.DUMMYFUNCTION("""COMPUTED_VALUE"""),31.0432369697209)</f>
        <v>31.04323697</v>
      </c>
      <c r="D343" s="6">
        <v>1991.0</v>
      </c>
      <c r="E343" s="6" t="s">
        <v>66</v>
      </c>
      <c r="F343" s="6">
        <v>31.0432369697209</v>
      </c>
    </row>
    <row r="344">
      <c r="A344" s="9">
        <f>IFERROR(__xludf.DUMMYFUNCTION("""COMPUTED_VALUE"""),33239.0)</f>
        <v>33239</v>
      </c>
      <c r="B344" s="6" t="str">
        <f>IFERROR(__xludf.DUMMYFUNCTION("""COMPUTED_VALUE"""),"gpc_funcionamiento_estado_pib")</f>
        <v>gpc_funcionamiento_estado_pib</v>
      </c>
      <c r="C344" s="6">
        <f>IFERROR(__xludf.DUMMYFUNCTION("""COMPUTED_VALUE"""),5.80332688818082)</f>
        <v>5.803326888</v>
      </c>
      <c r="D344" s="6">
        <v>1991.0</v>
      </c>
      <c r="E344" s="6" t="s">
        <v>36</v>
      </c>
      <c r="F344" s="6">
        <v>5.80332688818082</v>
      </c>
    </row>
    <row r="345">
      <c r="A345" s="9">
        <f>IFERROR(__xludf.DUMMYFUNCTION("""COMPUTED_VALUE"""),33239.0)</f>
        <v>33239</v>
      </c>
      <c r="B345" s="6" t="str">
        <f>IFERROR(__xludf.DUMMYFUNCTION("""COMPUTED_VALUE"""),"gpc_administracion_general_pib")</f>
        <v>gpc_administracion_general_pib</v>
      </c>
      <c r="C345" s="6">
        <f>IFERROR(__xludf.DUMMYFUNCTION("""COMPUTED_VALUE"""),2.88094381996151)</f>
        <v>2.88094382</v>
      </c>
      <c r="D345" s="6">
        <v>1991.0</v>
      </c>
      <c r="E345" s="6" t="s">
        <v>37</v>
      </c>
      <c r="F345" s="6">
        <v>2.88094381996151</v>
      </c>
    </row>
    <row r="346">
      <c r="A346" s="9">
        <f>IFERROR(__xludf.DUMMYFUNCTION("""COMPUTED_VALUE"""),33239.0)</f>
        <v>33239</v>
      </c>
      <c r="B346" s="6" t="str">
        <f>IFERROR(__xludf.DUMMYFUNCTION("""COMPUTED_VALUE"""),"gpc_justicia_pib")</f>
        <v>gpc_justicia_pib</v>
      </c>
      <c r="C346" s="6">
        <f>IFERROR(__xludf.DUMMYFUNCTION("""COMPUTED_VALUE"""),0.6052383149219)</f>
        <v>0.6052383149</v>
      </c>
      <c r="D346" s="6">
        <v>1991.0</v>
      </c>
      <c r="E346" s="6" t="s">
        <v>38</v>
      </c>
      <c r="F346" s="6">
        <v>0.6052383149219</v>
      </c>
    </row>
    <row r="347">
      <c r="A347" s="9">
        <f>IFERROR(__xludf.DUMMYFUNCTION("""COMPUTED_VALUE"""),33239.0)</f>
        <v>33239</v>
      </c>
      <c r="B347" s="6" t="str">
        <f>IFERROR(__xludf.DUMMYFUNCTION("""COMPUTED_VALUE"""),"gpc_defensa_seguridad_pib")</f>
        <v>gpc_defensa_seguridad_pib</v>
      </c>
      <c r="C347" s="6">
        <f>IFERROR(__xludf.DUMMYFUNCTION("""COMPUTED_VALUE"""),2.31714475329741)</f>
        <v>2.317144753</v>
      </c>
      <c r="D347" s="6">
        <v>1991.0</v>
      </c>
      <c r="E347" s="6" t="s">
        <v>39</v>
      </c>
      <c r="F347" s="6">
        <v>2.31714475329741</v>
      </c>
    </row>
    <row r="348">
      <c r="A348" s="9">
        <f>IFERROR(__xludf.DUMMYFUNCTION("""COMPUTED_VALUE"""),33239.0)</f>
        <v>33239</v>
      </c>
      <c r="B348" s="6" t="str">
        <f>IFERROR(__xludf.DUMMYFUNCTION("""COMPUTED_VALUE"""),"gpc_servicios_sociales_pib")</f>
        <v>gpc_servicios_sociales_pib</v>
      </c>
      <c r="C348" s="6">
        <f>IFERROR(__xludf.DUMMYFUNCTION("""COMPUTED_VALUE"""),19.6138636954817)</f>
        <v>19.6138637</v>
      </c>
      <c r="D348" s="6">
        <v>1991.0</v>
      </c>
      <c r="E348" s="6" t="s">
        <v>40</v>
      </c>
      <c r="F348" s="6">
        <v>19.6138636954817</v>
      </c>
    </row>
    <row r="349">
      <c r="A349" s="9">
        <f>IFERROR(__xludf.DUMMYFUNCTION("""COMPUTED_VALUE"""),33239.0)</f>
        <v>33239</v>
      </c>
      <c r="B349" s="6" t="str">
        <f>IFERROR(__xludf.DUMMYFUNCTION("""COMPUTED_VALUE"""),"gpc_educacion_basica_pib")</f>
        <v>gpc_educacion_basica_pib</v>
      </c>
      <c r="C349" s="6">
        <f>IFERROR(__xludf.DUMMYFUNCTION("""COMPUTED_VALUE"""),2.53454730845461)</f>
        <v>2.534547308</v>
      </c>
      <c r="D349" s="6">
        <v>1991.0</v>
      </c>
      <c r="E349" s="6" t="s">
        <v>41</v>
      </c>
      <c r="F349" s="6">
        <v>2.53454730845461</v>
      </c>
    </row>
    <row r="350">
      <c r="A350" s="9">
        <f>IFERROR(__xludf.DUMMYFUNCTION("""COMPUTED_VALUE"""),33239.0)</f>
        <v>33239</v>
      </c>
      <c r="B350" s="6" t="str">
        <f>IFERROR(__xludf.DUMMYFUNCTION("""COMPUTED_VALUE"""),"gpc_educacion_universitaria_pib")</f>
        <v>gpc_educacion_universitaria_pib</v>
      </c>
      <c r="C350" s="6">
        <f>IFERROR(__xludf.DUMMYFUNCTION("""COMPUTED_VALUE"""),0.53788231179)</f>
        <v>0.5378823118</v>
      </c>
      <c r="D350" s="6">
        <v>1991.0</v>
      </c>
      <c r="E350" s="6" t="s">
        <v>42</v>
      </c>
      <c r="F350" s="6">
        <v>0.53788231179</v>
      </c>
    </row>
    <row r="351">
      <c r="A351" s="9">
        <f>IFERROR(__xludf.DUMMYFUNCTION("""COMPUTED_VALUE"""),33239.0)</f>
        <v>33239</v>
      </c>
      <c r="B351" s="6" t="str">
        <f>IFERROR(__xludf.DUMMYFUNCTION("""COMPUTED_VALUE"""),"gpc_ciencia_tecnica_pib")</f>
        <v>gpc_ciencia_tecnica_pib</v>
      </c>
      <c r="C351" s="6">
        <f>IFERROR(__xludf.DUMMYFUNCTION("""COMPUTED_VALUE"""),0.23464788023202)</f>
        <v>0.2346478802</v>
      </c>
      <c r="D351" s="6">
        <v>1991.0</v>
      </c>
      <c r="E351" s="6" t="s">
        <v>43</v>
      </c>
      <c r="F351" s="6">
        <v>0.23464788023202</v>
      </c>
    </row>
    <row r="352">
      <c r="A352" s="9">
        <f>IFERROR(__xludf.DUMMYFUNCTION("""COMPUTED_VALUE"""),33239.0)</f>
        <v>33239</v>
      </c>
      <c r="B352" s="6" t="str">
        <f>IFERROR(__xludf.DUMMYFUNCTION("""COMPUTED_VALUE"""),"gpc_cultura_pib")</f>
        <v>gpc_cultura_pib</v>
      </c>
      <c r="C352" s="6">
        <f>IFERROR(__xludf.DUMMYFUNCTION("""COMPUTED_VALUE"""),0.100916017684465)</f>
        <v>0.1009160177</v>
      </c>
      <c r="D352" s="6">
        <v>1991.0</v>
      </c>
      <c r="E352" s="6" t="s">
        <v>44</v>
      </c>
      <c r="F352" s="6">
        <v>0.100916017684465</v>
      </c>
    </row>
    <row r="353">
      <c r="A353" s="9">
        <f>IFERROR(__xludf.DUMMYFUNCTION("""COMPUTED_VALUE"""),33239.0)</f>
        <v>33239</v>
      </c>
      <c r="B353" s="6" t="str">
        <f>IFERROR(__xludf.DUMMYFUNCTION("""COMPUTED_VALUE"""),"gpc_educacion_cultura_sin_discriminar_pib")</f>
        <v>gpc_educacion_cultura_sin_discriminar_pib</v>
      </c>
      <c r="C353" s="6">
        <f>IFERROR(__xludf.DUMMYFUNCTION("""COMPUTED_VALUE"""),0.204853473024154)</f>
        <v>0.204853473</v>
      </c>
      <c r="D353" s="6">
        <v>1991.0</v>
      </c>
      <c r="E353" s="6" t="s">
        <v>45</v>
      </c>
      <c r="F353" s="6">
        <v>0.204853473024154</v>
      </c>
    </row>
    <row r="354">
      <c r="A354" s="9">
        <f>IFERROR(__xludf.DUMMYFUNCTION("""COMPUTED_VALUE"""),33239.0)</f>
        <v>33239</v>
      </c>
      <c r="B354" s="6" t="str">
        <f>IFERROR(__xludf.DUMMYFUNCTION("""COMPUTED_VALUE"""),"gpc_atencion_salud_pib")</f>
        <v>gpc_atencion_salud_pib</v>
      </c>
      <c r="C354" s="6">
        <f>IFERROR(__xludf.DUMMYFUNCTION("""COMPUTED_VALUE"""),1.5774781011978)</f>
        <v>1.577478101</v>
      </c>
      <c r="D354" s="6">
        <v>1991.0</v>
      </c>
      <c r="E354" s="6" t="s">
        <v>46</v>
      </c>
      <c r="F354" s="6">
        <v>1.5774781011978</v>
      </c>
    </row>
    <row r="355">
      <c r="A355" s="9">
        <f>IFERROR(__xludf.DUMMYFUNCTION("""COMPUTED_VALUE"""),33239.0)</f>
        <v>33239</v>
      </c>
      <c r="B355" s="6" t="str">
        <f>IFERROR(__xludf.DUMMYFUNCTION("""COMPUTED_VALUE"""),"gpc_obras_sociales_salud_pib")</f>
        <v>gpc_obras_sociales_salud_pib</v>
      </c>
      <c r="C355" s="6">
        <f>IFERROR(__xludf.DUMMYFUNCTION("""COMPUTED_VALUE"""),2.04344881804341)</f>
        <v>2.043448818</v>
      </c>
      <c r="D355" s="6">
        <v>1991.0</v>
      </c>
      <c r="E355" s="6" t="s">
        <v>47</v>
      </c>
      <c r="F355" s="6">
        <v>2.04344881804341</v>
      </c>
    </row>
    <row r="356">
      <c r="A356" s="9">
        <f>IFERROR(__xludf.DUMMYFUNCTION("""COMPUTED_VALUE"""),33239.0)</f>
        <v>33239</v>
      </c>
      <c r="B356" s="6" t="str">
        <f>IFERROR(__xludf.DUMMYFUNCTION("""COMPUTED_VALUE"""),"gpc_inssjyp_salud_pib")</f>
        <v>gpc_inssjyp_salud_pib</v>
      </c>
      <c r="C356" s="6">
        <f>IFERROR(__xludf.DUMMYFUNCTION("""COMPUTED_VALUE"""),0.737889461283377)</f>
        <v>0.7378894613</v>
      </c>
      <c r="D356" s="6">
        <v>1991.0</v>
      </c>
      <c r="E356" s="6" t="s">
        <v>48</v>
      </c>
      <c r="F356" s="6">
        <v>0.737889461283377</v>
      </c>
    </row>
    <row r="357">
      <c r="A357" s="9">
        <f>IFERROR(__xludf.DUMMYFUNCTION("""COMPUTED_VALUE"""),33239.0)</f>
        <v>33239</v>
      </c>
      <c r="B357" s="6" t="str">
        <f>IFERROR(__xludf.DUMMYFUNCTION("""COMPUTED_VALUE"""),"gpc_agua_alcantarillado_pib")</f>
        <v>gpc_agua_alcantarillado_pib</v>
      </c>
      <c r="C357" s="6">
        <f>IFERROR(__xludf.DUMMYFUNCTION("""COMPUTED_VALUE"""),0.141561575493637)</f>
        <v>0.1415615755</v>
      </c>
      <c r="D357" s="6">
        <v>1991.0</v>
      </c>
      <c r="E357" s="6" t="s">
        <v>49</v>
      </c>
      <c r="F357" s="6">
        <v>0.141561575493637</v>
      </c>
    </row>
    <row r="358">
      <c r="A358" s="9">
        <f>IFERROR(__xludf.DUMMYFUNCTION("""COMPUTED_VALUE"""),33239.0)</f>
        <v>33239</v>
      </c>
      <c r="B358" s="6" t="str">
        <f>IFERROR(__xludf.DUMMYFUNCTION("""COMPUTED_VALUE"""),"gpc_vivienda_urbanismo_pib")</f>
        <v>gpc_vivienda_urbanismo_pib</v>
      </c>
      <c r="C358" s="6">
        <f>IFERROR(__xludf.DUMMYFUNCTION("""COMPUTED_VALUE"""),0.616686028950599)</f>
        <v>0.616686029</v>
      </c>
      <c r="D358" s="6">
        <v>1991.0</v>
      </c>
      <c r="E358" s="6" t="s">
        <v>50</v>
      </c>
      <c r="F358" s="6">
        <v>0.616686028950599</v>
      </c>
    </row>
    <row r="359">
      <c r="A359" s="9">
        <f>IFERROR(__xludf.DUMMYFUNCTION("""COMPUTED_VALUE"""),33239.0)</f>
        <v>33239</v>
      </c>
      <c r="B359" s="6" t="str">
        <f>IFERROR(__xludf.DUMMYFUNCTION("""COMPUTED_VALUE"""),"gpc_promocion_asistencia_social_pib")</f>
        <v>gpc_promocion_asistencia_social_pib</v>
      </c>
      <c r="C359" s="6">
        <f>IFERROR(__xludf.DUMMYFUNCTION("""COMPUTED_VALUE"""),0.638712736014532)</f>
        <v>0.638712736</v>
      </c>
      <c r="D359" s="6">
        <v>1991.0</v>
      </c>
      <c r="E359" s="6" t="s">
        <v>51</v>
      </c>
      <c r="F359" s="6">
        <v>0.638712736014532</v>
      </c>
    </row>
    <row r="360">
      <c r="A360" s="9">
        <f>IFERROR(__xludf.DUMMYFUNCTION("""COMPUTED_VALUE"""),33239.0)</f>
        <v>33239</v>
      </c>
      <c r="B360" s="6" t="str">
        <f>IFERROR(__xludf.DUMMYFUNCTION("""COMPUTED_VALUE"""),"gpc_obras_sociales_prestaciones_pib")</f>
        <v>gpc_obras_sociales_prestaciones_pib</v>
      </c>
      <c r="C360" s="6">
        <f>IFERROR(__xludf.DUMMYFUNCTION("""COMPUTED_VALUE"""),0.198897255692511)</f>
        <v>0.1988972557</v>
      </c>
      <c r="D360" s="6">
        <v>1991.0</v>
      </c>
      <c r="E360" s="6" t="s">
        <v>52</v>
      </c>
      <c r="F360" s="6">
        <v>0.198897255692511</v>
      </c>
    </row>
    <row r="361">
      <c r="A361" s="9">
        <f>IFERROR(__xludf.DUMMYFUNCTION("""COMPUTED_VALUE"""),33239.0)</f>
        <v>33239</v>
      </c>
      <c r="B361" s="6" t="str">
        <f>IFERROR(__xludf.DUMMYFUNCTION("""COMPUTED_VALUE"""),"gpc_inssjyp_prestaciones_pib")</f>
        <v>gpc_inssjyp_prestaciones_pib</v>
      </c>
      <c r="C361" s="6">
        <f>IFERROR(__xludf.DUMMYFUNCTION("""COMPUTED_VALUE"""),0.0555400669783187)</f>
        <v>0.05554006698</v>
      </c>
      <c r="D361" s="6">
        <v>1991.0</v>
      </c>
      <c r="E361" s="6" t="s">
        <v>53</v>
      </c>
      <c r="F361" s="6">
        <v>0.0555400669783187</v>
      </c>
    </row>
    <row r="362">
      <c r="A362" s="9">
        <f>IFERROR(__xludf.DUMMYFUNCTION("""COMPUTED_VALUE"""),33239.0)</f>
        <v>33239</v>
      </c>
      <c r="B362" s="6" t="str">
        <f>IFERROR(__xludf.DUMMYFUNCTION("""COMPUTED_VALUE"""),"gpc_prevision_social_pib")</f>
        <v>gpc_prevision_social_pib</v>
      </c>
      <c r="C362" s="6">
        <f>IFERROR(__xludf.DUMMYFUNCTION("""COMPUTED_VALUE"""),8.38535422870219)</f>
        <v>8.385354229</v>
      </c>
      <c r="D362" s="6">
        <v>1991.0</v>
      </c>
      <c r="E362" s="6" t="s">
        <v>54</v>
      </c>
      <c r="F362" s="6">
        <v>8.38535422870219</v>
      </c>
    </row>
    <row r="363">
      <c r="A363" s="9">
        <f>IFERROR(__xludf.DUMMYFUNCTION("""COMPUTED_VALUE"""),33239.0)</f>
        <v>33239</v>
      </c>
      <c r="B363" s="6" t="str">
        <f>IFERROR(__xludf.DUMMYFUNCTION("""COMPUTED_VALUE"""),"gpc_programas_empleo_pib")</f>
        <v>gpc_programas_empleo_pib</v>
      </c>
      <c r="C363" s="6">
        <f>IFERROR(__xludf.DUMMYFUNCTION("""COMPUTED_VALUE"""),0.0261046134765201)</f>
        <v>0.02610461348</v>
      </c>
      <c r="D363" s="6">
        <v>1991.0</v>
      </c>
      <c r="E363" s="6" t="s">
        <v>55</v>
      </c>
      <c r="F363" s="6">
        <v>0.0261046134765201</v>
      </c>
    </row>
    <row r="364">
      <c r="A364" s="9">
        <f>IFERROR(__xludf.DUMMYFUNCTION("""COMPUTED_VALUE"""),33239.0)</f>
        <v>33239</v>
      </c>
      <c r="B364" s="6" t="str">
        <f>IFERROR(__xludf.DUMMYFUNCTION("""COMPUTED_VALUE"""),"gpc_asignaciones_familiares_pib")</f>
        <v>gpc_asignaciones_familiares_pib</v>
      </c>
      <c r="C364" s="6">
        <f>IFERROR(__xludf.DUMMYFUNCTION("""COMPUTED_VALUE"""),0.661211416469115)</f>
        <v>0.6612114165</v>
      </c>
      <c r="D364" s="6">
        <v>1991.0</v>
      </c>
      <c r="E364" s="6" t="s">
        <v>56</v>
      </c>
      <c r="F364" s="6">
        <v>0.661211416469115</v>
      </c>
    </row>
    <row r="365">
      <c r="A365" s="9">
        <f>IFERROR(__xludf.DUMMYFUNCTION("""COMPUTED_VALUE"""),33239.0)</f>
        <v>33239</v>
      </c>
      <c r="B365" s="6" t="str">
        <f>IFERROR(__xludf.DUMMYFUNCTION("""COMPUTED_VALUE"""),"gpc_otros_servicios_urbanos_pib")</f>
        <v>gpc_otros_servicios_urbanos_pib</v>
      </c>
      <c r="C365" s="6">
        <f>IFERROR(__xludf.DUMMYFUNCTION("""COMPUTED_VALUE"""),0.918132401994427)</f>
        <v>0.918132402</v>
      </c>
      <c r="D365" s="6">
        <v>1991.0</v>
      </c>
      <c r="E365" s="6" t="s">
        <v>57</v>
      </c>
      <c r="F365" s="6">
        <v>0.918132401994427</v>
      </c>
    </row>
    <row r="366">
      <c r="A366" s="9">
        <f>IFERROR(__xludf.DUMMYFUNCTION("""COMPUTED_VALUE"""),33239.0)</f>
        <v>33239</v>
      </c>
      <c r="B366" s="6" t="str">
        <f>IFERROR(__xludf.DUMMYFUNCTION("""COMPUTED_VALUE"""),"gpc_servicios_economicos_pib")</f>
        <v>gpc_servicios_economicos_pib</v>
      </c>
      <c r="C366" s="6">
        <f>IFERROR(__xludf.DUMMYFUNCTION("""COMPUTED_VALUE"""),3.63408915252208)</f>
        <v>3.634089153</v>
      </c>
      <c r="D366" s="6">
        <v>1991.0</v>
      </c>
      <c r="E366" s="6" t="s">
        <v>58</v>
      </c>
      <c r="F366" s="6">
        <v>3.63408915252208</v>
      </c>
    </row>
    <row r="367">
      <c r="A367" s="9">
        <f>IFERROR(__xludf.DUMMYFUNCTION("""COMPUTED_VALUE"""),33239.0)</f>
        <v>33239</v>
      </c>
      <c r="B367" s="6" t="str">
        <f>IFERROR(__xludf.DUMMYFUNCTION("""COMPUTED_VALUE"""),"gpc_produccion_primaria_pib")</f>
        <v>gpc_produccion_primaria_pib</v>
      </c>
      <c r="C367" s="6">
        <f>IFERROR(__xludf.DUMMYFUNCTION("""COMPUTED_VALUE"""),0.276441059002039)</f>
        <v>0.276441059</v>
      </c>
      <c r="D367" s="6">
        <v>1991.0</v>
      </c>
      <c r="E367" s="6" t="s">
        <v>59</v>
      </c>
      <c r="F367" s="6">
        <v>0.276441059002039</v>
      </c>
    </row>
    <row r="368">
      <c r="A368" s="9">
        <f>IFERROR(__xludf.DUMMYFUNCTION("""COMPUTED_VALUE"""),33239.0)</f>
        <v>33239</v>
      </c>
      <c r="B368" s="6" t="str">
        <f>IFERROR(__xludf.DUMMYFUNCTION("""COMPUTED_VALUE"""),"gpc_energia_combustible_pib")</f>
        <v>gpc_energia_combustible_pib</v>
      </c>
      <c r="C368" s="6">
        <f>IFERROR(__xludf.DUMMYFUNCTION("""COMPUTED_VALUE"""),1.40517820334017)</f>
        <v>1.405178203</v>
      </c>
      <c r="D368" s="6">
        <v>1991.0</v>
      </c>
      <c r="E368" s="6" t="s">
        <v>60</v>
      </c>
      <c r="F368" s="6">
        <v>1.40517820334017</v>
      </c>
    </row>
    <row r="369">
      <c r="A369" s="9">
        <f>IFERROR(__xludf.DUMMYFUNCTION("""COMPUTED_VALUE"""),33239.0)</f>
        <v>33239</v>
      </c>
      <c r="B369" s="6" t="str">
        <f>IFERROR(__xludf.DUMMYFUNCTION("""COMPUTED_VALUE"""),"gpc_industria_pib")</f>
        <v>gpc_industria_pib</v>
      </c>
      <c r="C369" s="6">
        <f>IFERROR(__xludf.DUMMYFUNCTION("""COMPUTED_VALUE"""),0.168321500394567)</f>
        <v>0.1683215004</v>
      </c>
      <c r="D369" s="6">
        <v>1991.0</v>
      </c>
      <c r="E369" s="6" t="s">
        <v>61</v>
      </c>
      <c r="F369" s="6">
        <v>0.168321500394567</v>
      </c>
    </row>
    <row r="370">
      <c r="A370" s="9">
        <f>IFERROR(__xludf.DUMMYFUNCTION("""COMPUTED_VALUE"""),33239.0)</f>
        <v>33239</v>
      </c>
      <c r="B370" s="6" t="str">
        <f>IFERROR(__xludf.DUMMYFUNCTION("""COMPUTED_VALUE"""),"gpc_transporte_pib")</f>
        <v>gpc_transporte_pib</v>
      </c>
      <c r="C370" s="6">
        <f>IFERROR(__xludf.DUMMYFUNCTION("""COMPUTED_VALUE"""),0.96024315434841)</f>
        <v>0.9602431543</v>
      </c>
      <c r="D370" s="6">
        <v>1991.0</v>
      </c>
      <c r="E370" s="6" t="s">
        <v>62</v>
      </c>
      <c r="F370" s="6">
        <v>0.96024315434841</v>
      </c>
    </row>
    <row r="371">
      <c r="A371" s="9">
        <f>IFERROR(__xludf.DUMMYFUNCTION("""COMPUTED_VALUE"""),33239.0)</f>
        <v>33239</v>
      </c>
      <c r="B371" s="6" t="str">
        <f>IFERROR(__xludf.DUMMYFUNCTION("""COMPUTED_VALUE"""),"gpc_comunicaciones_pib")</f>
        <v>gpc_comunicaciones_pib</v>
      </c>
      <c r="C371" s="6">
        <f>IFERROR(__xludf.DUMMYFUNCTION("""COMPUTED_VALUE"""),0.0277234104684625)</f>
        <v>0.02772341047</v>
      </c>
      <c r="D371" s="6">
        <v>1991.0</v>
      </c>
      <c r="E371" s="6" t="s">
        <v>63</v>
      </c>
      <c r="F371" s="6">
        <v>0.0277234104684625</v>
      </c>
    </row>
    <row r="372">
      <c r="A372" s="9">
        <f>IFERROR(__xludf.DUMMYFUNCTION("""COMPUTED_VALUE"""),33239.0)</f>
        <v>33239</v>
      </c>
      <c r="B372" s="6" t="str">
        <f>IFERROR(__xludf.DUMMYFUNCTION("""COMPUTED_VALUE"""),"gpc_otros_servicios_economicos_pib")</f>
        <v>gpc_otros_servicios_economicos_pib</v>
      </c>
      <c r="C372" s="6">
        <f>IFERROR(__xludf.DUMMYFUNCTION("""COMPUTED_VALUE"""),0.79618182496843)</f>
        <v>0.796181825</v>
      </c>
      <c r="D372" s="6">
        <v>1991.0</v>
      </c>
      <c r="E372" s="6" t="s">
        <v>64</v>
      </c>
      <c r="F372" s="6">
        <v>0.79618182496843</v>
      </c>
    </row>
    <row r="373">
      <c r="A373" s="9">
        <f>IFERROR(__xludf.DUMMYFUNCTION("""COMPUTED_VALUE"""),33239.0)</f>
        <v>33239</v>
      </c>
      <c r="B373" s="6" t="str">
        <f>IFERROR(__xludf.DUMMYFUNCTION("""COMPUTED_VALUE"""),"gpc_servicios_deuda_publica_pib")</f>
        <v>gpc_servicios_deuda_publica_pib</v>
      </c>
      <c r="C373" s="6">
        <f>IFERROR(__xludf.DUMMYFUNCTION("""COMPUTED_VALUE"""),1.99195723353628)</f>
        <v>1.991957234</v>
      </c>
      <c r="D373" s="6">
        <v>1991.0</v>
      </c>
      <c r="E373" s="6" t="s">
        <v>65</v>
      </c>
      <c r="F373" s="6">
        <v>1.99195723353628</v>
      </c>
    </row>
    <row r="374">
      <c r="A374" s="9">
        <f>IFERROR(__xludf.DUMMYFUNCTION("""COMPUTED_VALUE"""),33604.0)</f>
        <v>33604</v>
      </c>
      <c r="B374" s="6" t="str">
        <f>IFERROR(__xludf.DUMMYFUNCTION("""COMPUTED_VALUE"""),"gpc_pib")</f>
        <v>gpc_pib</v>
      </c>
      <c r="C374" s="6">
        <f>IFERROR(__xludf.DUMMYFUNCTION("""COMPUTED_VALUE"""),31.4928070518152)</f>
        <v>31.49280705</v>
      </c>
      <c r="D374" s="6">
        <v>1992.0</v>
      </c>
      <c r="E374" s="6" t="s">
        <v>66</v>
      </c>
      <c r="F374" s="6">
        <v>31.4928070518152</v>
      </c>
    </row>
    <row r="375">
      <c r="A375" s="9">
        <f>IFERROR(__xludf.DUMMYFUNCTION("""COMPUTED_VALUE"""),33604.0)</f>
        <v>33604</v>
      </c>
      <c r="B375" s="6" t="str">
        <f>IFERROR(__xludf.DUMMYFUNCTION("""COMPUTED_VALUE"""),"gpc_funcionamiento_estado_pib")</f>
        <v>gpc_funcionamiento_estado_pib</v>
      </c>
      <c r="C375" s="6">
        <f>IFERROR(__xludf.DUMMYFUNCTION("""COMPUTED_VALUE"""),6.08167229958081)</f>
        <v>6.0816723</v>
      </c>
      <c r="D375" s="6">
        <v>1992.0</v>
      </c>
      <c r="E375" s="6" t="s">
        <v>36</v>
      </c>
      <c r="F375" s="6">
        <v>6.08167229958081</v>
      </c>
    </row>
    <row r="376">
      <c r="A376" s="9">
        <f>IFERROR(__xludf.DUMMYFUNCTION("""COMPUTED_VALUE"""),33604.0)</f>
        <v>33604</v>
      </c>
      <c r="B376" s="6" t="str">
        <f>IFERROR(__xludf.DUMMYFUNCTION("""COMPUTED_VALUE"""),"gpc_administracion_general_pib")</f>
        <v>gpc_administracion_general_pib</v>
      </c>
      <c r="C376" s="6">
        <f>IFERROR(__xludf.DUMMYFUNCTION("""COMPUTED_VALUE"""),3.13504839280203)</f>
        <v>3.135048393</v>
      </c>
      <c r="D376" s="6">
        <v>1992.0</v>
      </c>
      <c r="E376" s="6" t="s">
        <v>37</v>
      </c>
      <c r="F376" s="6">
        <v>3.13504839280203</v>
      </c>
    </row>
    <row r="377">
      <c r="A377" s="9">
        <f>IFERROR(__xludf.DUMMYFUNCTION("""COMPUTED_VALUE"""),33604.0)</f>
        <v>33604</v>
      </c>
      <c r="B377" s="6" t="str">
        <f>IFERROR(__xludf.DUMMYFUNCTION("""COMPUTED_VALUE"""),"gpc_justicia_pib")</f>
        <v>gpc_justicia_pib</v>
      </c>
      <c r="C377" s="6">
        <f>IFERROR(__xludf.DUMMYFUNCTION("""COMPUTED_VALUE"""),0.655384338318819)</f>
        <v>0.6553843383</v>
      </c>
      <c r="D377" s="6">
        <v>1992.0</v>
      </c>
      <c r="E377" s="6" t="s">
        <v>38</v>
      </c>
      <c r="F377" s="6">
        <v>0.655384338318819</v>
      </c>
    </row>
    <row r="378">
      <c r="A378" s="9">
        <f>IFERROR(__xludf.DUMMYFUNCTION("""COMPUTED_VALUE"""),33604.0)</f>
        <v>33604</v>
      </c>
      <c r="B378" s="6" t="str">
        <f>IFERROR(__xludf.DUMMYFUNCTION("""COMPUTED_VALUE"""),"gpc_defensa_seguridad_pib")</f>
        <v>gpc_defensa_seguridad_pib</v>
      </c>
      <c r="C378" s="6">
        <f>IFERROR(__xludf.DUMMYFUNCTION("""COMPUTED_VALUE"""),2.29123956845996)</f>
        <v>2.291239568</v>
      </c>
      <c r="D378" s="6">
        <v>1992.0</v>
      </c>
      <c r="E378" s="6" t="s">
        <v>39</v>
      </c>
      <c r="F378" s="6">
        <v>2.29123956845996</v>
      </c>
    </row>
    <row r="379">
      <c r="A379" s="9">
        <f>IFERROR(__xludf.DUMMYFUNCTION("""COMPUTED_VALUE"""),33604.0)</f>
        <v>33604</v>
      </c>
      <c r="B379" s="6" t="str">
        <f>IFERROR(__xludf.DUMMYFUNCTION("""COMPUTED_VALUE"""),"gpc_servicios_sociales_pib")</f>
        <v>gpc_servicios_sociales_pib</v>
      </c>
      <c r="C379" s="6">
        <f>IFERROR(__xludf.DUMMYFUNCTION("""COMPUTED_VALUE"""),19.8071099050701)</f>
        <v>19.80710991</v>
      </c>
      <c r="D379" s="6">
        <v>1992.0</v>
      </c>
      <c r="E379" s="6" t="s">
        <v>40</v>
      </c>
      <c r="F379" s="6">
        <v>19.8071099050701</v>
      </c>
    </row>
    <row r="380">
      <c r="A380" s="9">
        <f>IFERROR(__xludf.DUMMYFUNCTION("""COMPUTED_VALUE"""),33604.0)</f>
        <v>33604</v>
      </c>
      <c r="B380" s="6" t="str">
        <f>IFERROR(__xludf.DUMMYFUNCTION("""COMPUTED_VALUE"""),"gpc_educacion_basica_pib")</f>
        <v>gpc_educacion_basica_pib</v>
      </c>
      <c r="C380" s="6">
        <f>IFERROR(__xludf.DUMMYFUNCTION("""COMPUTED_VALUE"""),2.53441446271827)</f>
        <v>2.534414463</v>
      </c>
      <c r="D380" s="6">
        <v>1992.0</v>
      </c>
      <c r="E380" s="6" t="s">
        <v>41</v>
      </c>
      <c r="F380" s="6">
        <v>2.53441446271827</v>
      </c>
    </row>
    <row r="381">
      <c r="A381" s="9">
        <f>IFERROR(__xludf.DUMMYFUNCTION("""COMPUTED_VALUE"""),33604.0)</f>
        <v>33604</v>
      </c>
      <c r="B381" s="6" t="str">
        <f>IFERROR(__xludf.DUMMYFUNCTION("""COMPUTED_VALUE"""),"gpc_educacion_universitaria_pib")</f>
        <v>gpc_educacion_universitaria_pib</v>
      </c>
      <c r="C381" s="6">
        <f>IFERROR(__xludf.DUMMYFUNCTION("""COMPUTED_VALUE"""),0.629605024058444)</f>
        <v>0.6296050241</v>
      </c>
      <c r="D381" s="6">
        <v>1992.0</v>
      </c>
      <c r="E381" s="6" t="s">
        <v>42</v>
      </c>
      <c r="F381" s="6">
        <v>0.629605024058444</v>
      </c>
    </row>
    <row r="382">
      <c r="A382" s="9">
        <f>IFERROR(__xludf.DUMMYFUNCTION("""COMPUTED_VALUE"""),33604.0)</f>
        <v>33604</v>
      </c>
      <c r="B382" s="6" t="str">
        <f>IFERROR(__xludf.DUMMYFUNCTION("""COMPUTED_VALUE"""),"gpc_ciencia_tecnica_pib")</f>
        <v>gpc_ciencia_tecnica_pib</v>
      </c>
      <c r="C382" s="6">
        <f>IFERROR(__xludf.DUMMYFUNCTION("""COMPUTED_VALUE"""),0.200412438611681)</f>
        <v>0.2004124386</v>
      </c>
      <c r="D382" s="6">
        <v>1992.0</v>
      </c>
      <c r="E382" s="6" t="s">
        <v>43</v>
      </c>
      <c r="F382" s="6">
        <v>0.200412438611681</v>
      </c>
    </row>
    <row r="383">
      <c r="A383" s="9">
        <f>IFERROR(__xludf.DUMMYFUNCTION("""COMPUTED_VALUE"""),33604.0)</f>
        <v>33604</v>
      </c>
      <c r="B383" s="6" t="str">
        <f>IFERROR(__xludf.DUMMYFUNCTION("""COMPUTED_VALUE"""),"gpc_cultura_pib")</f>
        <v>gpc_cultura_pib</v>
      </c>
      <c r="C383" s="6">
        <f>IFERROR(__xludf.DUMMYFUNCTION("""COMPUTED_VALUE"""),0.0734376566490496)</f>
        <v>0.07343765665</v>
      </c>
      <c r="D383" s="6">
        <v>1992.0</v>
      </c>
      <c r="E383" s="6" t="s">
        <v>44</v>
      </c>
      <c r="F383" s="6">
        <v>0.0734376566490496</v>
      </c>
    </row>
    <row r="384">
      <c r="A384" s="9">
        <f>IFERROR(__xludf.DUMMYFUNCTION("""COMPUTED_VALUE"""),33604.0)</f>
        <v>33604</v>
      </c>
      <c r="B384" s="6" t="str">
        <f>IFERROR(__xludf.DUMMYFUNCTION("""COMPUTED_VALUE"""),"gpc_educacion_cultura_sin_discriminar_pib")</f>
        <v>gpc_educacion_cultura_sin_discriminar_pib</v>
      </c>
      <c r="C384" s="6">
        <f>IFERROR(__xludf.DUMMYFUNCTION("""COMPUTED_VALUE"""),0.369643386171403)</f>
        <v>0.3696433862</v>
      </c>
      <c r="D384" s="6">
        <v>1992.0</v>
      </c>
      <c r="E384" s="6" t="s">
        <v>45</v>
      </c>
      <c r="F384" s="6">
        <v>0.369643386171403</v>
      </c>
    </row>
    <row r="385">
      <c r="A385" s="9">
        <f>IFERROR(__xludf.DUMMYFUNCTION("""COMPUTED_VALUE"""),33604.0)</f>
        <v>33604</v>
      </c>
      <c r="B385" s="6" t="str">
        <f>IFERROR(__xludf.DUMMYFUNCTION("""COMPUTED_VALUE"""),"gpc_atencion_salud_pib")</f>
        <v>gpc_atencion_salud_pib</v>
      </c>
      <c r="C385" s="6">
        <f>IFERROR(__xludf.DUMMYFUNCTION("""COMPUTED_VALUE"""),1.7502243619693)</f>
        <v>1.750224362</v>
      </c>
      <c r="D385" s="6">
        <v>1992.0</v>
      </c>
      <c r="E385" s="6" t="s">
        <v>46</v>
      </c>
      <c r="F385" s="6">
        <v>1.7502243619693</v>
      </c>
    </row>
    <row r="386">
      <c r="A386" s="9">
        <f>IFERROR(__xludf.DUMMYFUNCTION("""COMPUTED_VALUE"""),33604.0)</f>
        <v>33604</v>
      </c>
      <c r="B386" s="6" t="str">
        <f>IFERROR(__xludf.DUMMYFUNCTION("""COMPUTED_VALUE"""),"gpc_obras_sociales_salud_pib")</f>
        <v>gpc_obras_sociales_salud_pib</v>
      </c>
      <c r="C386" s="6">
        <f>IFERROR(__xludf.DUMMYFUNCTION("""COMPUTED_VALUE"""),1.90126095229842)</f>
        <v>1.901260952</v>
      </c>
      <c r="D386" s="6">
        <v>1992.0</v>
      </c>
      <c r="E386" s="6" t="s">
        <v>47</v>
      </c>
      <c r="F386" s="6">
        <v>1.90126095229842</v>
      </c>
    </row>
    <row r="387">
      <c r="A387" s="9">
        <f>IFERROR(__xludf.DUMMYFUNCTION("""COMPUTED_VALUE"""),33604.0)</f>
        <v>33604</v>
      </c>
      <c r="B387" s="6" t="str">
        <f>IFERROR(__xludf.DUMMYFUNCTION("""COMPUTED_VALUE"""),"gpc_inssjyp_salud_pib")</f>
        <v>gpc_inssjyp_salud_pib</v>
      </c>
      <c r="C387" s="6">
        <f>IFERROR(__xludf.DUMMYFUNCTION("""COMPUTED_VALUE"""),0.812738501075292)</f>
        <v>0.8127385011</v>
      </c>
      <c r="D387" s="6">
        <v>1992.0</v>
      </c>
      <c r="E387" s="6" t="s">
        <v>48</v>
      </c>
      <c r="F387" s="6">
        <v>0.812738501075292</v>
      </c>
    </row>
    <row r="388">
      <c r="A388" s="9">
        <f>IFERROR(__xludf.DUMMYFUNCTION("""COMPUTED_VALUE"""),33604.0)</f>
        <v>33604</v>
      </c>
      <c r="B388" s="6" t="str">
        <f>IFERROR(__xludf.DUMMYFUNCTION("""COMPUTED_VALUE"""),"gpc_agua_alcantarillado_pib")</f>
        <v>gpc_agua_alcantarillado_pib</v>
      </c>
      <c r="C388" s="6">
        <f>IFERROR(__xludf.DUMMYFUNCTION("""COMPUTED_VALUE"""),0.13906219113564)</f>
        <v>0.1390621911</v>
      </c>
      <c r="D388" s="6">
        <v>1992.0</v>
      </c>
      <c r="E388" s="6" t="s">
        <v>49</v>
      </c>
      <c r="F388" s="6">
        <v>0.13906219113564</v>
      </c>
    </row>
    <row r="389">
      <c r="A389" s="9">
        <f>IFERROR(__xludf.DUMMYFUNCTION("""COMPUTED_VALUE"""),33604.0)</f>
        <v>33604</v>
      </c>
      <c r="B389" s="6" t="str">
        <f>IFERROR(__xludf.DUMMYFUNCTION("""COMPUTED_VALUE"""),"gpc_vivienda_urbanismo_pib")</f>
        <v>gpc_vivienda_urbanismo_pib</v>
      </c>
      <c r="C389" s="6">
        <f>IFERROR(__xludf.DUMMYFUNCTION("""COMPUTED_VALUE"""),0.456097459366779)</f>
        <v>0.4560974594</v>
      </c>
      <c r="D389" s="6">
        <v>1992.0</v>
      </c>
      <c r="E389" s="6" t="s">
        <v>50</v>
      </c>
      <c r="F389" s="6">
        <v>0.456097459366779</v>
      </c>
    </row>
    <row r="390">
      <c r="A390" s="9">
        <f>IFERROR(__xludf.DUMMYFUNCTION("""COMPUTED_VALUE"""),33604.0)</f>
        <v>33604</v>
      </c>
      <c r="B390" s="6" t="str">
        <f>IFERROR(__xludf.DUMMYFUNCTION("""COMPUTED_VALUE"""),"gpc_promocion_asistencia_social_pib")</f>
        <v>gpc_promocion_asistencia_social_pib</v>
      </c>
      <c r="C390" s="6">
        <f>IFERROR(__xludf.DUMMYFUNCTION("""COMPUTED_VALUE"""),0.690783089725017)</f>
        <v>0.6907830897</v>
      </c>
      <c r="D390" s="6">
        <v>1992.0</v>
      </c>
      <c r="E390" s="6" t="s">
        <v>51</v>
      </c>
      <c r="F390" s="6">
        <v>0.690783089725017</v>
      </c>
    </row>
    <row r="391">
      <c r="A391" s="9">
        <f>IFERROR(__xludf.DUMMYFUNCTION("""COMPUTED_VALUE"""),33604.0)</f>
        <v>33604</v>
      </c>
      <c r="B391" s="6" t="str">
        <f>IFERROR(__xludf.DUMMYFUNCTION("""COMPUTED_VALUE"""),"gpc_obras_sociales_prestaciones_pib")</f>
        <v>gpc_obras_sociales_prestaciones_pib</v>
      </c>
      <c r="C391" s="6">
        <f>IFERROR(__xludf.DUMMYFUNCTION("""COMPUTED_VALUE"""),0.167466422711161)</f>
        <v>0.1674664227</v>
      </c>
      <c r="D391" s="6">
        <v>1992.0</v>
      </c>
      <c r="E391" s="6" t="s">
        <v>52</v>
      </c>
      <c r="F391" s="6">
        <v>0.167466422711161</v>
      </c>
    </row>
    <row r="392">
      <c r="A392" s="9">
        <f>IFERROR(__xludf.DUMMYFUNCTION("""COMPUTED_VALUE"""),33604.0)</f>
        <v>33604</v>
      </c>
      <c r="B392" s="6" t="str">
        <f>IFERROR(__xludf.DUMMYFUNCTION("""COMPUTED_VALUE"""),"gpc_inssjyp_prestaciones_pib")</f>
        <v>gpc_inssjyp_prestaciones_pib</v>
      </c>
      <c r="C392" s="6">
        <f>IFERROR(__xludf.DUMMYFUNCTION("""COMPUTED_VALUE"""),0.0611738656723338)</f>
        <v>0.06117386567</v>
      </c>
      <c r="D392" s="6">
        <v>1992.0</v>
      </c>
      <c r="E392" s="6" t="s">
        <v>53</v>
      </c>
      <c r="F392" s="6">
        <v>0.0611738656723338</v>
      </c>
    </row>
    <row r="393">
      <c r="A393" s="9">
        <f>IFERROR(__xludf.DUMMYFUNCTION("""COMPUTED_VALUE"""),33604.0)</f>
        <v>33604</v>
      </c>
      <c r="B393" s="6" t="str">
        <f>IFERROR(__xludf.DUMMYFUNCTION("""COMPUTED_VALUE"""),"gpc_prevision_social_pib")</f>
        <v>gpc_prevision_social_pib</v>
      </c>
      <c r="C393" s="6">
        <f>IFERROR(__xludf.DUMMYFUNCTION("""COMPUTED_VALUE"""),8.45156745746069)</f>
        <v>8.451567457</v>
      </c>
      <c r="D393" s="6">
        <v>1992.0</v>
      </c>
      <c r="E393" s="6" t="s">
        <v>54</v>
      </c>
      <c r="F393" s="6">
        <v>8.45156745746069</v>
      </c>
    </row>
    <row r="394">
      <c r="A394" s="9">
        <f>IFERROR(__xludf.DUMMYFUNCTION("""COMPUTED_VALUE"""),33604.0)</f>
        <v>33604</v>
      </c>
      <c r="B394" s="6" t="str">
        <f>IFERROR(__xludf.DUMMYFUNCTION("""COMPUTED_VALUE"""),"gpc_programas_empleo_pib")</f>
        <v>gpc_programas_empleo_pib</v>
      </c>
      <c r="C394" s="6">
        <f>IFERROR(__xludf.DUMMYFUNCTION("""COMPUTED_VALUE"""),0.036541277730537)</f>
        <v>0.03654127773</v>
      </c>
      <c r="D394" s="6">
        <v>1992.0</v>
      </c>
      <c r="E394" s="6" t="s">
        <v>55</v>
      </c>
      <c r="F394" s="6">
        <v>0.036541277730537</v>
      </c>
    </row>
    <row r="395">
      <c r="A395" s="9">
        <f>IFERROR(__xludf.DUMMYFUNCTION("""COMPUTED_VALUE"""),33604.0)</f>
        <v>33604</v>
      </c>
      <c r="B395" s="6" t="str">
        <f>IFERROR(__xludf.DUMMYFUNCTION("""COMPUTED_VALUE"""),"gpc_asignaciones_familiares_pib")</f>
        <v>gpc_asignaciones_familiares_pib</v>
      </c>
      <c r="C395" s="6">
        <f>IFERROR(__xludf.DUMMYFUNCTION("""COMPUTED_VALUE"""),0.592721106562868)</f>
        <v>0.5927211066</v>
      </c>
      <c r="D395" s="6">
        <v>1992.0</v>
      </c>
      <c r="E395" s="6" t="s">
        <v>56</v>
      </c>
      <c r="F395" s="6">
        <v>0.592721106562868</v>
      </c>
    </row>
    <row r="396">
      <c r="A396" s="9">
        <f>IFERROR(__xludf.DUMMYFUNCTION("""COMPUTED_VALUE"""),33604.0)</f>
        <v>33604</v>
      </c>
      <c r="B396" s="6" t="str">
        <f>IFERROR(__xludf.DUMMYFUNCTION("""COMPUTED_VALUE"""),"gpc_otros_servicios_urbanos_pib")</f>
        <v>gpc_otros_servicios_urbanos_pib</v>
      </c>
      <c r="C396" s="6">
        <f>IFERROR(__xludf.DUMMYFUNCTION("""COMPUTED_VALUE"""),0.93996025115321)</f>
        <v>0.9399602512</v>
      </c>
      <c r="D396" s="6">
        <v>1992.0</v>
      </c>
      <c r="E396" s="6" t="s">
        <v>57</v>
      </c>
      <c r="F396" s="6">
        <v>0.93996025115321</v>
      </c>
    </row>
    <row r="397">
      <c r="A397" s="9">
        <f>IFERROR(__xludf.DUMMYFUNCTION("""COMPUTED_VALUE"""),33604.0)</f>
        <v>33604</v>
      </c>
      <c r="B397" s="6" t="str">
        <f>IFERROR(__xludf.DUMMYFUNCTION("""COMPUTED_VALUE"""),"gpc_servicios_economicos_pib")</f>
        <v>gpc_servicios_economicos_pib</v>
      </c>
      <c r="C397" s="6">
        <f>IFERROR(__xludf.DUMMYFUNCTION("""COMPUTED_VALUE"""),3.09734517109038)</f>
        <v>3.097345171</v>
      </c>
      <c r="D397" s="6">
        <v>1992.0</v>
      </c>
      <c r="E397" s="6" t="s">
        <v>58</v>
      </c>
      <c r="F397" s="6">
        <v>3.09734517109038</v>
      </c>
    </row>
    <row r="398">
      <c r="A398" s="9">
        <f>IFERROR(__xludf.DUMMYFUNCTION("""COMPUTED_VALUE"""),33604.0)</f>
        <v>33604</v>
      </c>
      <c r="B398" s="6" t="str">
        <f>IFERROR(__xludf.DUMMYFUNCTION("""COMPUTED_VALUE"""),"gpc_produccion_primaria_pib")</f>
        <v>gpc_produccion_primaria_pib</v>
      </c>
      <c r="C398" s="6">
        <f>IFERROR(__xludf.DUMMYFUNCTION("""COMPUTED_VALUE"""),0.225215040781929)</f>
        <v>0.2252150408</v>
      </c>
      <c r="D398" s="6">
        <v>1992.0</v>
      </c>
      <c r="E398" s="6" t="s">
        <v>59</v>
      </c>
      <c r="F398" s="6">
        <v>0.225215040781929</v>
      </c>
    </row>
    <row r="399">
      <c r="A399" s="9">
        <f>IFERROR(__xludf.DUMMYFUNCTION("""COMPUTED_VALUE"""),33604.0)</f>
        <v>33604</v>
      </c>
      <c r="B399" s="6" t="str">
        <f>IFERROR(__xludf.DUMMYFUNCTION("""COMPUTED_VALUE"""),"gpc_energia_combustible_pib")</f>
        <v>gpc_energia_combustible_pib</v>
      </c>
      <c r="C399" s="6">
        <f>IFERROR(__xludf.DUMMYFUNCTION("""COMPUTED_VALUE"""),1.31669092432226)</f>
        <v>1.316690924</v>
      </c>
      <c r="D399" s="6">
        <v>1992.0</v>
      </c>
      <c r="E399" s="6" t="s">
        <v>60</v>
      </c>
      <c r="F399" s="6">
        <v>1.31669092432226</v>
      </c>
    </row>
    <row r="400">
      <c r="A400" s="9">
        <f>IFERROR(__xludf.DUMMYFUNCTION("""COMPUTED_VALUE"""),33604.0)</f>
        <v>33604</v>
      </c>
      <c r="B400" s="6" t="str">
        <f>IFERROR(__xludf.DUMMYFUNCTION("""COMPUTED_VALUE"""),"gpc_industria_pib")</f>
        <v>gpc_industria_pib</v>
      </c>
      <c r="C400" s="6">
        <f>IFERROR(__xludf.DUMMYFUNCTION("""COMPUTED_VALUE"""),0.125894862068568)</f>
        <v>0.1258948621</v>
      </c>
      <c r="D400" s="6">
        <v>1992.0</v>
      </c>
      <c r="E400" s="6" t="s">
        <v>61</v>
      </c>
      <c r="F400" s="6">
        <v>0.125894862068568</v>
      </c>
    </row>
    <row r="401">
      <c r="A401" s="9">
        <f>IFERROR(__xludf.DUMMYFUNCTION("""COMPUTED_VALUE"""),33604.0)</f>
        <v>33604</v>
      </c>
      <c r="B401" s="6" t="str">
        <f>IFERROR(__xludf.DUMMYFUNCTION("""COMPUTED_VALUE"""),"gpc_transporte_pib")</f>
        <v>gpc_transporte_pib</v>
      </c>
      <c r="C401" s="6">
        <f>IFERROR(__xludf.DUMMYFUNCTION("""COMPUTED_VALUE"""),0.952238229357538)</f>
        <v>0.9522382294</v>
      </c>
      <c r="D401" s="6">
        <v>1992.0</v>
      </c>
      <c r="E401" s="6" t="s">
        <v>62</v>
      </c>
      <c r="F401" s="6">
        <v>0.952238229357538</v>
      </c>
    </row>
    <row r="402">
      <c r="A402" s="9">
        <f>IFERROR(__xludf.DUMMYFUNCTION("""COMPUTED_VALUE"""),33604.0)</f>
        <v>33604</v>
      </c>
      <c r="B402" s="6" t="str">
        <f>IFERROR(__xludf.DUMMYFUNCTION("""COMPUTED_VALUE"""),"gpc_comunicaciones_pib")</f>
        <v>gpc_comunicaciones_pib</v>
      </c>
      <c r="C402" s="6">
        <f>IFERROR(__xludf.DUMMYFUNCTION("""COMPUTED_VALUE"""),0.0455245286479072)</f>
        <v>0.04552452865</v>
      </c>
      <c r="D402" s="6">
        <v>1992.0</v>
      </c>
      <c r="E402" s="6" t="s">
        <v>63</v>
      </c>
      <c r="F402" s="6">
        <v>0.0455245286479072</v>
      </c>
    </row>
    <row r="403">
      <c r="A403" s="9">
        <f>IFERROR(__xludf.DUMMYFUNCTION("""COMPUTED_VALUE"""),33604.0)</f>
        <v>33604</v>
      </c>
      <c r="B403" s="6" t="str">
        <f>IFERROR(__xludf.DUMMYFUNCTION("""COMPUTED_VALUE"""),"gpc_otros_servicios_economicos_pib")</f>
        <v>gpc_otros_servicios_economicos_pib</v>
      </c>
      <c r="C403" s="6">
        <f>IFERROR(__xludf.DUMMYFUNCTION("""COMPUTED_VALUE"""),0.431781585912173)</f>
        <v>0.4317815859</v>
      </c>
      <c r="D403" s="6">
        <v>1992.0</v>
      </c>
      <c r="E403" s="6" t="s">
        <v>64</v>
      </c>
      <c r="F403" s="6">
        <v>0.431781585912173</v>
      </c>
    </row>
    <row r="404">
      <c r="A404" s="9">
        <f>IFERROR(__xludf.DUMMYFUNCTION("""COMPUTED_VALUE"""),33604.0)</f>
        <v>33604</v>
      </c>
      <c r="B404" s="6" t="str">
        <f>IFERROR(__xludf.DUMMYFUNCTION("""COMPUTED_VALUE"""),"gpc_servicios_deuda_publica_pib")</f>
        <v>gpc_servicios_deuda_publica_pib</v>
      </c>
      <c r="C404" s="6">
        <f>IFERROR(__xludf.DUMMYFUNCTION("""COMPUTED_VALUE"""),2.50667967607389)</f>
        <v>2.506679676</v>
      </c>
      <c r="D404" s="6">
        <v>1992.0</v>
      </c>
      <c r="E404" s="6" t="s">
        <v>65</v>
      </c>
      <c r="F404" s="6">
        <v>2.50667967607389</v>
      </c>
    </row>
    <row r="405">
      <c r="A405" s="9">
        <f>IFERROR(__xludf.DUMMYFUNCTION("""COMPUTED_VALUE"""),33970.0)</f>
        <v>33970</v>
      </c>
      <c r="B405" s="6" t="str">
        <f>IFERROR(__xludf.DUMMYFUNCTION("""COMPUTED_VALUE"""),"gpc_pib")</f>
        <v>gpc_pib</v>
      </c>
      <c r="C405" s="6">
        <f>IFERROR(__xludf.DUMMYFUNCTION("""COMPUTED_VALUE"""),31.7125590778916)</f>
        <v>31.71255908</v>
      </c>
      <c r="D405" s="6">
        <v>1993.0</v>
      </c>
      <c r="E405" s="6" t="s">
        <v>66</v>
      </c>
      <c r="F405" s="6">
        <v>31.7125590778916</v>
      </c>
    </row>
    <row r="406">
      <c r="A406" s="9">
        <f>IFERROR(__xludf.DUMMYFUNCTION("""COMPUTED_VALUE"""),33970.0)</f>
        <v>33970</v>
      </c>
      <c r="B406" s="6" t="str">
        <f>IFERROR(__xludf.DUMMYFUNCTION("""COMPUTED_VALUE"""),"gpc_funcionamiento_estado_pib")</f>
        <v>gpc_funcionamiento_estado_pib</v>
      </c>
      <c r="C406" s="6">
        <f>IFERROR(__xludf.DUMMYFUNCTION("""COMPUTED_VALUE"""),6.17689259388084)</f>
        <v>6.176892594</v>
      </c>
      <c r="D406" s="6">
        <v>1993.0</v>
      </c>
      <c r="E406" s="6" t="s">
        <v>36</v>
      </c>
      <c r="F406" s="6">
        <v>6.17689259388084</v>
      </c>
    </row>
    <row r="407">
      <c r="A407" s="9">
        <f>IFERROR(__xludf.DUMMYFUNCTION("""COMPUTED_VALUE"""),33970.0)</f>
        <v>33970</v>
      </c>
      <c r="B407" s="6" t="str">
        <f>IFERROR(__xludf.DUMMYFUNCTION("""COMPUTED_VALUE"""),"gpc_administracion_general_pib")</f>
        <v>gpc_administracion_general_pib</v>
      </c>
      <c r="C407" s="6">
        <f>IFERROR(__xludf.DUMMYFUNCTION("""COMPUTED_VALUE"""),3.16597343099633)</f>
        <v>3.165973431</v>
      </c>
      <c r="D407" s="6">
        <v>1993.0</v>
      </c>
      <c r="E407" s="6" t="s">
        <v>37</v>
      </c>
      <c r="F407" s="6">
        <v>3.16597343099633</v>
      </c>
    </row>
    <row r="408">
      <c r="A408" s="9">
        <f>IFERROR(__xludf.DUMMYFUNCTION("""COMPUTED_VALUE"""),33970.0)</f>
        <v>33970</v>
      </c>
      <c r="B408" s="6" t="str">
        <f>IFERROR(__xludf.DUMMYFUNCTION("""COMPUTED_VALUE"""),"gpc_justicia_pib")</f>
        <v>gpc_justicia_pib</v>
      </c>
      <c r="C408" s="6">
        <f>IFERROR(__xludf.DUMMYFUNCTION("""COMPUTED_VALUE"""),0.707114546920796)</f>
        <v>0.7071145469</v>
      </c>
      <c r="D408" s="6">
        <v>1993.0</v>
      </c>
      <c r="E408" s="6" t="s">
        <v>38</v>
      </c>
      <c r="F408" s="6">
        <v>0.707114546920796</v>
      </c>
    </row>
    <row r="409">
      <c r="A409" s="9">
        <f>IFERROR(__xludf.DUMMYFUNCTION("""COMPUTED_VALUE"""),33970.0)</f>
        <v>33970</v>
      </c>
      <c r="B409" s="6" t="str">
        <f>IFERROR(__xludf.DUMMYFUNCTION("""COMPUTED_VALUE"""),"gpc_defensa_seguridad_pib")</f>
        <v>gpc_defensa_seguridad_pib</v>
      </c>
      <c r="C409" s="6">
        <f>IFERROR(__xludf.DUMMYFUNCTION("""COMPUTED_VALUE"""),2.30380461596371)</f>
        <v>2.303804616</v>
      </c>
      <c r="D409" s="6">
        <v>1993.0</v>
      </c>
      <c r="E409" s="6" t="s">
        <v>39</v>
      </c>
      <c r="F409" s="6">
        <v>2.30380461596371</v>
      </c>
    </row>
    <row r="410">
      <c r="A410" s="9">
        <f>IFERROR(__xludf.DUMMYFUNCTION("""COMPUTED_VALUE"""),33970.0)</f>
        <v>33970</v>
      </c>
      <c r="B410" s="6" t="str">
        <f>IFERROR(__xludf.DUMMYFUNCTION("""COMPUTED_VALUE"""),"gpc_servicios_sociales_pib")</f>
        <v>gpc_servicios_sociales_pib</v>
      </c>
      <c r="C410" s="6">
        <f>IFERROR(__xludf.DUMMYFUNCTION("""COMPUTED_VALUE"""),20.2876374854089)</f>
        <v>20.28763749</v>
      </c>
      <c r="D410" s="6">
        <v>1993.0</v>
      </c>
      <c r="E410" s="6" t="s">
        <v>40</v>
      </c>
      <c r="F410" s="6">
        <v>20.2876374854089</v>
      </c>
    </row>
    <row r="411">
      <c r="A411" s="9">
        <f>IFERROR(__xludf.DUMMYFUNCTION("""COMPUTED_VALUE"""),33970.0)</f>
        <v>33970</v>
      </c>
      <c r="B411" s="6" t="str">
        <f>IFERROR(__xludf.DUMMYFUNCTION("""COMPUTED_VALUE"""),"gpc_educacion_basica_pib")</f>
        <v>gpc_educacion_basica_pib</v>
      </c>
      <c r="C411" s="6">
        <f>IFERROR(__xludf.DUMMYFUNCTION("""COMPUTED_VALUE"""),2.73255268880991)</f>
        <v>2.732552689</v>
      </c>
      <c r="D411" s="6">
        <v>1993.0</v>
      </c>
      <c r="E411" s="6" t="s">
        <v>41</v>
      </c>
      <c r="F411" s="6">
        <v>2.73255268880991</v>
      </c>
    </row>
    <row r="412">
      <c r="A412" s="9">
        <f>IFERROR(__xludf.DUMMYFUNCTION("""COMPUTED_VALUE"""),33970.0)</f>
        <v>33970</v>
      </c>
      <c r="B412" s="6" t="str">
        <f>IFERROR(__xludf.DUMMYFUNCTION("""COMPUTED_VALUE"""),"gpc_educacion_universitaria_pib")</f>
        <v>gpc_educacion_universitaria_pib</v>
      </c>
      <c r="C412" s="6">
        <f>IFERROR(__xludf.DUMMYFUNCTION("""COMPUTED_VALUE"""),0.711439135086646)</f>
        <v>0.7114391351</v>
      </c>
      <c r="D412" s="6">
        <v>1993.0</v>
      </c>
      <c r="E412" s="6" t="s">
        <v>42</v>
      </c>
      <c r="F412" s="6">
        <v>0.711439135086646</v>
      </c>
    </row>
    <row r="413">
      <c r="A413" s="9">
        <f>IFERROR(__xludf.DUMMYFUNCTION("""COMPUTED_VALUE"""),33970.0)</f>
        <v>33970</v>
      </c>
      <c r="B413" s="6" t="str">
        <f>IFERROR(__xludf.DUMMYFUNCTION("""COMPUTED_VALUE"""),"gpc_ciencia_tecnica_pib")</f>
        <v>gpc_ciencia_tecnica_pib</v>
      </c>
      <c r="C413" s="6">
        <f>IFERROR(__xludf.DUMMYFUNCTION("""COMPUTED_VALUE"""),0.219151962334486)</f>
        <v>0.2191519623</v>
      </c>
      <c r="D413" s="6">
        <v>1993.0</v>
      </c>
      <c r="E413" s="6" t="s">
        <v>43</v>
      </c>
      <c r="F413" s="6">
        <v>0.219151962334486</v>
      </c>
    </row>
    <row r="414">
      <c r="A414" s="9">
        <f>IFERROR(__xludf.DUMMYFUNCTION("""COMPUTED_VALUE"""),33970.0)</f>
        <v>33970</v>
      </c>
      <c r="B414" s="6" t="str">
        <f>IFERROR(__xludf.DUMMYFUNCTION("""COMPUTED_VALUE"""),"gpc_cultura_pib")</f>
        <v>gpc_cultura_pib</v>
      </c>
      <c r="C414" s="6">
        <f>IFERROR(__xludf.DUMMYFUNCTION("""COMPUTED_VALUE"""),0.0932472891264014)</f>
        <v>0.09324728913</v>
      </c>
      <c r="D414" s="6">
        <v>1993.0</v>
      </c>
      <c r="E414" s="6" t="s">
        <v>44</v>
      </c>
      <c r="F414" s="6">
        <v>0.0932472891264014</v>
      </c>
    </row>
    <row r="415">
      <c r="A415" s="9">
        <f>IFERROR(__xludf.DUMMYFUNCTION("""COMPUTED_VALUE"""),33970.0)</f>
        <v>33970</v>
      </c>
      <c r="B415" s="6" t="str">
        <f>IFERROR(__xludf.DUMMYFUNCTION("""COMPUTED_VALUE"""),"gpc_educacion_cultura_sin_discriminar_pib")</f>
        <v>gpc_educacion_cultura_sin_discriminar_pib</v>
      </c>
      <c r="C415" s="6">
        <f>IFERROR(__xludf.DUMMYFUNCTION("""COMPUTED_VALUE"""),0.331254655030411)</f>
        <v>0.331254655</v>
      </c>
      <c r="D415" s="6">
        <v>1993.0</v>
      </c>
      <c r="E415" s="6" t="s">
        <v>45</v>
      </c>
      <c r="F415" s="6">
        <v>0.331254655030411</v>
      </c>
    </row>
    <row r="416">
      <c r="A416" s="9">
        <f>IFERROR(__xludf.DUMMYFUNCTION("""COMPUTED_VALUE"""),33970.0)</f>
        <v>33970</v>
      </c>
      <c r="B416" s="6" t="str">
        <f>IFERROR(__xludf.DUMMYFUNCTION("""COMPUTED_VALUE"""),"gpc_atencion_salud_pib")</f>
        <v>gpc_atencion_salud_pib</v>
      </c>
      <c r="C416" s="6">
        <f>IFERROR(__xludf.DUMMYFUNCTION("""COMPUTED_VALUE"""),1.84015665976705)</f>
        <v>1.84015666</v>
      </c>
      <c r="D416" s="6">
        <v>1993.0</v>
      </c>
      <c r="E416" s="6" t="s">
        <v>46</v>
      </c>
      <c r="F416" s="6">
        <v>1.84015665976705</v>
      </c>
    </row>
    <row r="417">
      <c r="A417" s="9">
        <f>IFERROR(__xludf.DUMMYFUNCTION("""COMPUTED_VALUE"""),33970.0)</f>
        <v>33970</v>
      </c>
      <c r="B417" s="6" t="str">
        <f>IFERROR(__xludf.DUMMYFUNCTION("""COMPUTED_VALUE"""),"gpc_obras_sociales_salud_pib")</f>
        <v>gpc_obras_sociales_salud_pib</v>
      </c>
      <c r="C417" s="6">
        <f>IFERROR(__xludf.DUMMYFUNCTION("""COMPUTED_VALUE"""),1.97416028583248)</f>
        <v>1.974160286</v>
      </c>
      <c r="D417" s="6">
        <v>1993.0</v>
      </c>
      <c r="E417" s="6" t="s">
        <v>47</v>
      </c>
      <c r="F417" s="6">
        <v>1.97416028583248</v>
      </c>
    </row>
    <row r="418">
      <c r="A418" s="9">
        <f>IFERROR(__xludf.DUMMYFUNCTION("""COMPUTED_VALUE"""),33970.0)</f>
        <v>33970</v>
      </c>
      <c r="B418" s="6" t="str">
        <f>IFERROR(__xludf.DUMMYFUNCTION("""COMPUTED_VALUE"""),"gpc_inssjyp_salud_pib")</f>
        <v>gpc_inssjyp_salud_pib</v>
      </c>
      <c r="C418" s="6">
        <f>IFERROR(__xludf.DUMMYFUNCTION("""COMPUTED_VALUE"""),0.822244840205619)</f>
        <v>0.8222448402</v>
      </c>
      <c r="D418" s="6">
        <v>1993.0</v>
      </c>
      <c r="E418" s="6" t="s">
        <v>48</v>
      </c>
      <c r="F418" s="6">
        <v>0.822244840205619</v>
      </c>
    </row>
    <row r="419">
      <c r="A419" s="9">
        <f>IFERROR(__xludf.DUMMYFUNCTION("""COMPUTED_VALUE"""),33970.0)</f>
        <v>33970</v>
      </c>
      <c r="B419" s="6" t="str">
        <f>IFERROR(__xludf.DUMMYFUNCTION("""COMPUTED_VALUE"""),"gpc_agua_alcantarillado_pib")</f>
        <v>gpc_agua_alcantarillado_pib</v>
      </c>
      <c r="C419" s="6">
        <f>IFERROR(__xludf.DUMMYFUNCTION("""COMPUTED_VALUE"""),0.209342878025637)</f>
        <v>0.209342878</v>
      </c>
      <c r="D419" s="6">
        <v>1993.0</v>
      </c>
      <c r="E419" s="6" t="s">
        <v>49</v>
      </c>
      <c r="F419" s="6">
        <v>0.209342878025637</v>
      </c>
    </row>
    <row r="420">
      <c r="A420" s="9">
        <f>IFERROR(__xludf.DUMMYFUNCTION("""COMPUTED_VALUE"""),33970.0)</f>
        <v>33970</v>
      </c>
      <c r="B420" s="6" t="str">
        <f>IFERROR(__xludf.DUMMYFUNCTION("""COMPUTED_VALUE"""),"gpc_vivienda_urbanismo_pib")</f>
        <v>gpc_vivienda_urbanismo_pib</v>
      </c>
      <c r="C420" s="6">
        <f>IFERROR(__xludf.DUMMYFUNCTION("""COMPUTED_VALUE"""),0.606502059252652)</f>
        <v>0.6065020593</v>
      </c>
      <c r="D420" s="6">
        <v>1993.0</v>
      </c>
      <c r="E420" s="6" t="s">
        <v>50</v>
      </c>
      <c r="F420" s="6">
        <v>0.606502059252652</v>
      </c>
    </row>
    <row r="421">
      <c r="A421" s="9">
        <f>IFERROR(__xludf.DUMMYFUNCTION("""COMPUTED_VALUE"""),33970.0)</f>
        <v>33970</v>
      </c>
      <c r="B421" s="6" t="str">
        <f>IFERROR(__xludf.DUMMYFUNCTION("""COMPUTED_VALUE"""),"gpc_promocion_asistencia_social_pib")</f>
        <v>gpc_promocion_asistencia_social_pib</v>
      </c>
      <c r="C421" s="6">
        <f>IFERROR(__xludf.DUMMYFUNCTION("""COMPUTED_VALUE"""),0.700132579264331)</f>
        <v>0.7001325793</v>
      </c>
      <c r="D421" s="6">
        <v>1993.0</v>
      </c>
      <c r="E421" s="6" t="s">
        <v>51</v>
      </c>
      <c r="F421" s="6">
        <v>0.700132579264331</v>
      </c>
    </row>
    <row r="422">
      <c r="A422" s="9">
        <f>IFERROR(__xludf.DUMMYFUNCTION("""COMPUTED_VALUE"""),33970.0)</f>
        <v>33970</v>
      </c>
      <c r="B422" s="6" t="str">
        <f>IFERROR(__xludf.DUMMYFUNCTION("""COMPUTED_VALUE"""),"gpc_obras_sociales_prestaciones_pib")</f>
        <v>gpc_obras_sociales_prestaciones_pib</v>
      </c>
      <c r="C422" s="6">
        <f>IFERROR(__xludf.DUMMYFUNCTION("""COMPUTED_VALUE"""),0.157221475826801)</f>
        <v>0.1572214758</v>
      </c>
      <c r="D422" s="6">
        <v>1993.0</v>
      </c>
      <c r="E422" s="6" t="s">
        <v>52</v>
      </c>
      <c r="F422" s="6">
        <v>0.157221475826801</v>
      </c>
    </row>
    <row r="423">
      <c r="A423" s="9">
        <f>IFERROR(__xludf.DUMMYFUNCTION("""COMPUTED_VALUE"""),33970.0)</f>
        <v>33970</v>
      </c>
      <c r="B423" s="6" t="str">
        <f>IFERROR(__xludf.DUMMYFUNCTION("""COMPUTED_VALUE"""),"gpc_inssjyp_prestaciones_pib")</f>
        <v>gpc_inssjyp_prestaciones_pib</v>
      </c>
      <c r="C423" s="6">
        <f>IFERROR(__xludf.DUMMYFUNCTION("""COMPUTED_VALUE"""),0.101625766766986)</f>
        <v>0.1016257668</v>
      </c>
      <c r="D423" s="6">
        <v>1993.0</v>
      </c>
      <c r="E423" s="6" t="s">
        <v>53</v>
      </c>
      <c r="F423" s="6">
        <v>0.101625766766986</v>
      </c>
    </row>
    <row r="424">
      <c r="A424" s="9">
        <f>IFERROR(__xludf.DUMMYFUNCTION("""COMPUTED_VALUE"""),33970.0)</f>
        <v>33970</v>
      </c>
      <c r="B424" s="6" t="str">
        <f>IFERROR(__xludf.DUMMYFUNCTION("""COMPUTED_VALUE"""),"gpc_prevision_social_pib")</f>
        <v>gpc_prevision_social_pib</v>
      </c>
      <c r="C424" s="6">
        <f>IFERROR(__xludf.DUMMYFUNCTION("""COMPUTED_VALUE"""),7.88298437759021)</f>
        <v>7.882984378</v>
      </c>
      <c r="D424" s="6">
        <v>1993.0</v>
      </c>
      <c r="E424" s="6" t="s">
        <v>54</v>
      </c>
      <c r="F424" s="6">
        <v>7.88298437759021</v>
      </c>
    </row>
    <row r="425">
      <c r="A425" s="9">
        <f>IFERROR(__xludf.DUMMYFUNCTION("""COMPUTED_VALUE"""),33970.0)</f>
        <v>33970</v>
      </c>
      <c r="B425" s="6" t="str">
        <f>IFERROR(__xludf.DUMMYFUNCTION("""COMPUTED_VALUE"""),"gpc_programas_empleo_pib")</f>
        <v>gpc_programas_empleo_pib</v>
      </c>
      <c r="C425" s="6">
        <f>IFERROR(__xludf.DUMMYFUNCTION("""COMPUTED_VALUE"""),0.200275555257039)</f>
        <v>0.2002755553</v>
      </c>
      <c r="D425" s="6">
        <v>1993.0</v>
      </c>
      <c r="E425" s="6" t="s">
        <v>55</v>
      </c>
      <c r="F425" s="6">
        <v>0.200275555257039</v>
      </c>
    </row>
    <row r="426">
      <c r="A426" s="9">
        <f>IFERROR(__xludf.DUMMYFUNCTION("""COMPUTED_VALUE"""),33970.0)</f>
        <v>33970</v>
      </c>
      <c r="B426" s="6" t="str">
        <f>IFERROR(__xludf.DUMMYFUNCTION("""COMPUTED_VALUE"""),"gpc_asignaciones_familiares_pib")</f>
        <v>gpc_asignaciones_familiares_pib</v>
      </c>
      <c r="C426" s="6">
        <f>IFERROR(__xludf.DUMMYFUNCTION("""COMPUTED_VALUE"""),0.643942640264331)</f>
        <v>0.6439426403</v>
      </c>
      <c r="D426" s="6">
        <v>1993.0</v>
      </c>
      <c r="E426" s="6" t="s">
        <v>56</v>
      </c>
      <c r="F426" s="6">
        <v>0.643942640264331</v>
      </c>
    </row>
    <row r="427">
      <c r="A427" s="9">
        <f>IFERROR(__xludf.DUMMYFUNCTION("""COMPUTED_VALUE"""),33970.0)</f>
        <v>33970</v>
      </c>
      <c r="B427" s="6" t="str">
        <f>IFERROR(__xludf.DUMMYFUNCTION("""COMPUTED_VALUE"""),"gpc_otros_servicios_urbanos_pib")</f>
        <v>gpc_otros_servicios_urbanos_pib</v>
      </c>
      <c r="C427" s="6">
        <f>IFERROR(__xludf.DUMMYFUNCTION("""COMPUTED_VALUE"""),1.06140263696788)</f>
        <v>1.061402637</v>
      </c>
      <c r="D427" s="6">
        <v>1993.0</v>
      </c>
      <c r="E427" s="6" t="s">
        <v>57</v>
      </c>
      <c r="F427" s="6">
        <v>1.06140263696788</v>
      </c>
    </row>
    <row r="428">
      <c r="A428" s="9">
        <f>IFERROR(__xludf.DUMMYFUNCTION("""COMPUTED_VALUE"""),33970.0)</f>
        <v>33970</v>
      </c>
      <c r="B428" s="6" t="str">
        <f>IFERROR(__xludf.DUMMYFUNCTION("""COMPUTED_VALUE"""),"gpc_servicios_economicos_pib")</f>
        <v>gpc_servicios_economicos_pib</v>
      </c>
      <c r="C428" s="6">
        <f>IFERROR(__xludf.DUMMYFUNCTION("""COMPUTED_VALUE"""),3.39926442779479)</f>
        <v>3.399264428</v>
      </c>
      <c r="D428" s="6">
        <v>1993.0</v>
      </c>
      <c r="E428" s="6" t="s">
        <v>58</v>
      </c>
      <c r="F428" s="6">
        <v>3.39926442779479</v>
      </c>
    </row>
    <row r="429">
      <c r="A429" s="9">
        <f>IFERROR(__xludf.DUMMYFUNCTION("""COMPUTED_VALUE"""),33970.0)</f>
        <v>33970</v>
      </c>
      <c r="B429" s="6" t="str">
        <f>IFERROR(__xludf.DUMMYFUNCTION("""COMPUTED_VALUE"""),"gpc_produccion_primaria_pib")</f>
        <v>gpc_produccion_primaria_pib</v>
      </c>
      <c r="C429" s="6">
        <f>IFERROR(__xludf.DUMMYFUNCTION("""COMPUTED_VALUE"""),0.326075089917015)</f>
        <v>0.3260750899</v>
      </c>
      <c r="D429" s="6">
        <v>1993.0</v>
      </c>
      <c r="E429" s="6" t="s">
        <v>59</v>
      </c>
      <c r="F429" s="6">
        <v>0.326075089917015</v>
      </c>
    </row>
    <row r="430">
      <c r="A430" s="9">
        <f>IFERROR(__xludf.DUMMYFUNCTION("""COMPUTED_VALUE"""),33970.0)</f>
        <v>33970</v>
      </c>
      <c r="B430" s="6" t="str">
        <f>IFERROR(__xludf.DUMMYFUNCTION("""COMPUTED_VALUE"""),"gpc_energia_combustible_pib")</f>
        <v>gpc_energia_combustible_pib</v>
      </c>
      <c r="C430" s="6">
        <f>IFERROR(__xludf.DUMMYFUNCTION("""COMPUTED_VALUE"""),1.306294974074)</f>
        <v>1.306294974</v>
      </c>
      <c r="D430" s="6">
        <v>1993.0</v>
      </c>
      <c r="E430" s="6" t="s">
        <v>60</v>
      </c>
      <c r="F430" s="6">
        <v>1.306294974074</v>
      </c>
    </row>
    <row r="431">
      <c r="A431" s="9">
        <f>IFERROR(__xludf.DUMMYFUNCTION("""COMPUTED_VALUE"""),33970.0)</f>
        <v>33970</v>
      </c>
      <c r="B431" s="6" t="str">
        <f>IFERROR(__xludf.DUMMYFUNCTION("""COMPUTED_VALUE"""),"gpc_industria_pib")</f>
        <v>gpc_industria_pib</v>
      </c>
      <c r="C431" s="6">
        <f>IFERROR(__xludf.DUMMYFUNCTION("""COMPUTED_VALUE"""),0.17102538319659)</f>
        <v>0.1710253832</v>
      </c>
      <c r="D431" s="6">
        <v>1993.0</v>
      </c>
      <c r="E431" s="6" t="s">
        <v>61</v>
      </c>
      <c r="F431" s="6">
        <v>0.17102538319659</v>
      </c>
    </row>
    <row r="432">
      <c r="A432" s="9">
        <f>IFERROR(__xludf.DUMMYFUNCTION("""COMPUTED_VALUE"""),33970.0)</f>
        <v>33970</v>
      </c>
      <c r="B432" s="6" t="str">
        <f>IFERROR(__xludf.DUMMYFUNCTION("""COMPUTED_VALUE"""),"gpc_transporte_pib")</f>
        <v>gpc_transporte_pib</v>
      </c>
      <c r="C432" s="6">
        <f>IFERROR(__xludf.DUMMYFUNCTION("""COMPUTED_VALUE"""),1.00343960095046)</f>
        <v>1.003439601</v>
      </c>
      <c r="D432" s="6">
        <v>1993.0</v>
      </c>
      <c r="E432" s="6" t="s">
        <v>62</v>
      </c>
      <c r="F432" s="6">
        <v>1.00343960095046</v>
      </c>
    </row>
    <row r="433">
      <c r="A433" s="9">
        <f>IFERROR(__xludf.DUMMYFUNCTION("""COMPUTED_VALUE"""),33970.0)</f>
        <v>33970</v>
      </c>
      <c r="B433" s="6" t="str">
        <f>IFERROR(__xludf.DUMMYFUNCTION("""COMPUTED_VALUE"""),"gpc_comunicaciones_pib")</f>
        <v>gpc_comunicaciones_pib</v>
      </c>
      <c r="C433" s="6">
        <f>IFERROR(__xludf.DUMMYFUNCTION("""COMPUTED_VALUE"""),0.104770324407515)</f>
        <v>0.1047703244</v>
      </c>
      <c r="D433" s="6">
        <v>1993.0</v>
      </c>
      <c r="E433" s="6" t="s">
        <v>63</v>
      </c>
      <c r="F433" s="6">
        <v>0.104770324407515</v>
      </c>
    </row>
    <row r="434">
      <c r="A434" s="9">
        <f>IFERROR(__xludf.DUMMYFUNCTION("""COMPUTED_VALUE"""),33970.0)</f>
        <v>33970</v>
      </c>
      <c r="B434" s="6" t="str">
        <f>IFERROR(__xludf.DUMMYFUNCTION("""COMPUTED_VALUE"""),"gpc_otros_servicios_economicos_pib")</f>
        <v>gpc_otros_servicios_economicos_pib</v>
      </c>
      <c r="C434" s="6">
        <f>IFERROR(__xludf.DUMMYFUNCTION("""COMPUTED_VALUE"""),0.487659055249201)</f>
        <v>0.4876590552</v>
      </c>
      <c r="D434" s="6">
        <v>1993.0</v>
      </c>
      <c r="E434" s="6" t="s">
        <v>64</v>
      </c>
      <c r="F434" s="6">
        <v>0.487659055249201</v>
      </c>
    </row>
    <row r="435">
      <c r="A435" s="9">
        <f>IFERROR(__xludf.DUMMYFUNCTION("""COMPUTED_VALUE"""),33970.0)</f>
        <v>33970</v>
      </c>
      <c r="B435" s="6" t="str">
        <f>IFERROR(__xludf.DUMMYFUNCTION("""COMPUTED_VALUE"""),"gpc_servicios_deuda_publica_pib")</f>
        <v>gpc_servicios_deuda_publica_pib</v>
      </c>
      <c r="C435" s="6">
        <f>IFERROR(__xludf.DUMMYFUNCTION("""COMPUTED_VALUE"""),1.84876457080704)</f>
        <v>1.848764571</v>
      </c>
      <c r="D435" s="6">
        <v>1993.0</v>
      </c>
      <c r="E435" s="6" t="s">
        <v>65</v>
      </c>
      <c r="F435" s="6">
        <v>1.84876457080704</v>
      </c>
    </row>
    <row r="436">
      <c r="A436" s="9">
        <f>IFERROR(__xludf.DUMMYFUNCTION("""COMPUTED_VALUE"""),34335.0)</f>
        <v>34335</v>
      </c>
      <c r="B436" s="6" t="str">
        <f>IFERROR(__xludf.DUMMYFUNCTION("""COMPUTED_VALUE"""),"gpc_pib")</f>
        <v>gpc_pib</v>
      </c>
      <c r="C436" s="6">
        <f>IFERROR(__xludf.DUMMYFUNCTION("""COMPUTED_VALUE"""),31.8278741114533)</f>
        <v>31.82787411</v>
      </c>
      <c r="D436" s="6">
        <v>1994.0</v>
      </c>
      <c r="E436" s="6" t="s">
        <v>66</v>
      </c>
      <c r="F436" s="6">
        <v>31.8278741114533</v>
      </c>
    </row>
    <row r="437">
      <c r="A437" s="9">
        <f>IFERROR(__xludf.DUMMYFUNCTION("""COMPUTED_VALUE"""),34335.0)</f>
        <v>34335</v>
      </c>
      <c r="B437" s="6" t="str">
        <f>IFERROR(__xludf.DUMMYFUNCTION("""COMPUTED_VALUE"""),"gpc_funcionamiento_estado_pib")</f>
        <v>gpc_funcionamiento_estado_pib</v>
      </c>
      <c r="C437" s="6">
        <f>IFERROR(__xludf.DUMMYFUNCTION("""COMPUTED_VALUE"""),6.30545839516208)</f>
        <v>6.305458395</v>
      </c>
      <c r="D437" s="6">
        <v>1994.0</v>
      </c>
      <c r="E437" s="6" t="s">
        <v>36</v>
      </c>
      <c r="F437" s="6">
        <v>6.30545839516208</v>
      </c>
    </row>
    <row r="438">
      <c r="A438" s="9">
        <f>IFERROR(__xludf.DUMMYFUNCTION("""COMPUTED_VALUE"""),34335.0)</f>
        <v>34335</v>
      </c>
      <c r="B438" s="6" t="str">
        <f>IFERROR(__xludf.DUMMYFUNCTION("""COMPUTED_VALUE"""),"gpc_administracion_general_pib")</f>
        <v>gpc_administracion_general_pib</v>
      </c>
      <c r="C438" s="6">
        <f>IFERROR(__xludf.DUMMYFUNCTION("""COMPUTED_VALUE"""),3.25816757581662)</f>
        <v>3.258167576</v>
      </c>
      <c r="D438" s="6">
        <v>1994.0</v>
      </c>
      <c r="E438" s="6" t="s">
        <v>37</v>
      </c>
      <c r="F438" s="6">
        <v>3.25816757581662</v>
      </c>
    </row>
    <row r="439">
      <c r="A439" s="9">
        <f>IFERROR(__xludf.DUMMYFUNCTION("""COMPUTED_VALUE"""),34335.0)</f>
        <v>34335</v>
      </c>
      <c r="B439" s="6" t="str">
        <f>IFERROR(__xludf.DUMMYFUNCTION("""COMPUTED_VALUE"""),"gpc_justicia_pib")</f>
        <v>gpc_justicia_pib</v>
      </c>
      <c r="C439" s="6">
        <f>IFERROR(__xludf.DUMMYFUNCTION("""COMPUTED_VALUE"""),0.740174083579329)</f>
        <v>0.7401740836</v>
      </c>
      <c r="D439" s="6">
        <v>1994.0</v>
      </c>
      <c r="E439" s="6" t="s">
        <v>38</v>
      </c>
      <c r="F439" s="6">
        <v>0.740174083579329</v>
      </c>
    </row>
    <row r="440">
      <c r="A440" s="9">
        <f>IFERROR(__xludf.DUMMYFUNCTION("""COMPUTED_VALUE"""),34335.0)</f>
        <v>34335</v>
      </c>
      <c r="B440" s="6" t="str">
        <f>IFERROR(__xludf.DUMMYFUNCTION("""COMPUTED_VALUE"""),"gpc_defensa_seguridad_pib")</f>
        <v>gpc_defensa_seguridad_pib</v>
      </c>
      <c r="C440" s="6">
        <f>IFERROR(__xludf.DUMMYFUNCTION("""COMPUTED_VALUE"""),2.30711673576613)</f>
        <v>2.307116736</v>
      </c>
      <c r="D440" s="6">
        <v>1994.0</v>
      </c>
      <c r="E440" s="6" t="s">
        <v>39</v>
      </c>
      <c r="F440" s="6">
        <v>2.30711673576613</v>
      </c>
    </row>
    <row r="441">
      <c r="A441" s="9">
        <f>IFERROR(__xludf.DUMMYFUNCTION("""COMPUTED_VALUE"""),34335.0)</f>
        <v>34335</v>
      </c>
      <c r="B441" s="6" t="str">
        <f>IFERROR(__xludf.DUMMYFUNCTION("""COMPUTED_VALUE"""),"gpc_servicios_sociales_pib")</f>
        <v>gpc_servicios_sociales_pib</v>
      </c>
      <c r="C441" s="6">
        <f>IFERROR(__xludf.DUMMYFUNCTION("""COMPUTED_VALUE"""),21.0238472366766)</f>
        <v>21.02384724</v>
      </c>
      <c r="D441" s="6">
        <v>1994.0</v>
      </c>
      <c r="E441" s="6" t="s">
        <v>40</v>
      </c>
      <c r="F441" s="6">
        <v>21.0238472366766</v>
      </c>
    </row>
    <row r="442">
      <c r="A442" s="9">
        <f>IFERROR(__xludf.DUMMYFUNCTION("""COMPUTED_VALUE"""),34335.0)</f>
        <v>34335</v>
      </c>
      <c r="B442" s="6" t="str">
        <f>IFERROR(__xludf.DUMMYFUNCTION("""COMPUTED_VALUE"""),"gpc_educacion_basica_pib")</f>
        <v>gpc_educacion_basica_pib</v>
      </c>
      <c r="C442" s="6">
        <f>IFERROR(__xludf.DUMMYFUNCTION("""COMPUTED_VALUE"""),2.77175672845931)</f>
        <v>2.771756728</v>
      </c>
      <c r="D442" s="6">
        <v>1994.0</v>
      </c>
      <c r="E442" s="6" t="s">
        <v>41</v>
      </c>
      <c r="F442" s="6">
        <v>2.77175672845931</v>
      </c>
    </row>
    <row r="443">
      <c r="A443" s="9">
        <f>IFERROR(__xludf.DUMMYFUNCTION("""COMPUTED_VALUE"""),34335.0)</f>
        <v>34335</v>
      </c>
      <c r="B443" s="6" t="str">
        <f>IFERROR(__xludf.DUMMYFUNCTION("""COMPUTED_VALUE"""),"gpc_educacion_universitaria_pib")</f>
        <v>gpc_educacion_universitaria_pib</v>
      </c>
      <c r="C443" s="6">
        <f>IFERROR(__xludf.DUMMYFUNCTION("""COMPUTED_VALUE"""),0.715315897214327)</f>
        <v>0.7153158972</v>
      </c>
      <c r="D443" s="6">
        <v>1994.0</v>
      </c>
      <c r="E443" s="6" t="s">
        <v>42</v>
      </c>
      <c r="F443" s="6">
        <v>0.715315897214327</v>
      </c>
    </row>
    <row r="444">
      <c r="A444" s="9">
        <f>IFERROR(__xludf.DUMMYFUNCTION("""COMPUTED_VALUE"""),34335.0)</f>
        <v>34335</v>
      </c>
      <c r="B444" s="6" t="str">
        <f>IFERROR(__xludf.DUMMYFUNCTION("""COMPUTED_VALUE"""),"gpc_ciencia_tecnica_pib")</f>
        <v>gpc_ciencia_tecnica_pib</v>
      </c>
      <c r="C444" s="6">
        <f>IFERROR(__xludf.DUMMYFUNCTION("""COMPUTED_VALUE"""),0.233262122327226)</f>
        <v>0.2332621223</v>
      </c>
      <c r="D444" s="6">
        <v>1994.0</v>
      </c>
      <c r="E444" s="6" t="s">
        <v>43</v>
      </c>
      <c r="F444" s="6">
        <v>0.233262122327226</v>
      </c>
    </row>
    <row r="445">
      <c r="A445" s="9">
        <f>IFERROR(__xludf.DUMMYFUNCTION("""COMPUTED_VALUE"""),34335.0)</f>
        <v>34335</v>
      </c>
      <c r="B445" s="6" t="str">
        <f>IFERROR(__xludf.DUMMYFUNCTION("""COMPUTED_VALUE"""),"gpc_cultura_pib")</f>
        <v>gpc_cultura_pib</v>
      </c>
      <c r="C445" s="6">
        <f>IFERROR(__xludf.DUMMYFUNCTION("""COMPUTED_VALUE"""),0.106448966459995)</f>
        <v>0.1064489665</v>
      </c>
      <c r="D445" s="6">
        <v>1994.0</v>
      </c>
      <c r="E445" s="6" t="s">
        <v>44</v>
      </c>
      <c r="F445" s="6">
        <v>0.106448966459995</v>
      </c>
    </row>
    <row r="446">
      <c r="A446" s="9">
        <f>IFERROR(__xludf.DUMMYFUNCTION("""COMPUTED_VALUE"""),34335.0)</f>
        <v>34335</v>
      </c>
      <c r="B446" s="6" t="str">
        <f>IFERROR(__xludf.DUMMYFUNCTION("""COMPUTED_VALUE"""),"gpc_educacion_cultura_sin_discriminar_pib")</f>
        <v>gpc_educacion_cultura_sin_discriminar_pib</v>
      </c>
      <c r="C446" s="6">
        <f>IFERROR(__xludf.DUMMYFUNCTION("""COMPUTED_VALUE"""),0.32953174289823)</f>
        <v>0.3295317429</v>
      </c>
      <c r="D446" s="6">
        <v>1994.0</v>
      </c>
      <c r="E446" s="6" t="s">
        <v>45</v>
      </c>
      <c r="F446" s="6">
        <v>0.32953174289823</v>
      </c>
    </row>
    <row r="447">
      <c r="A447" s="9">
        <f>IFERROR(__xludf.DUMMYFUNCTION("""COMPUTED_VALUE"""),34335.0)</f>
        <v>34335</v>
      </c>
      <c r="B447" s="6" t="str">
        <f>IFERROR(__xludf.DUMMYFUNCTION("""COMPUTED_VALUE"""),"gpc_atencion_salud_pib")</f>
        <v>gpc_atencion_salud_pib</v>
      </c>
      <c r="C447" s="6">
        <f>IFERROR(__xludf.DUMMYFUNCTION("""COMPUTED_VALUE"""),1.90841786593099)</f>
        <v>1.908417866</v>
      </c>
      <c r="D447" s="6">
        <v>1994.0</v>
      </c>
      <c r="E447" s="6" t="s">
        <v>46</v>
      </c>
      <c r="F447" s="6">
        <v>1.90841786593099</v>
      </c>
    </row>
    <row r="448">
      <c r="A448" s="9">
        <f>IFERROR(__xludf.DUMMYFUNCTION("""COMPUTED_VALUE"""),34335.0)</f>
        <v>34335</v>
      </c>
      <c r="B448" s="6" t="str">
        <f>IFERROR(__xludf.DUMMYFUNCTION("""COMPUTED_VALUE"""),"gpc_obras_sociales_salud_pib")</f>
        <v>gpc_obras_sociales_salud_pib</v>
      </c>
      <c r="C448" s="6">
        <f>IFERROR(__xludf.DUMMYFUNCTION("""COMPUTED_VALUE"""),1.99666615605435)</f>
        <v>1.996666156</v>
      </c>
      <c r="D448" s="6">
        <v>1994.0</v>
      </c>
      <c r="E448" s="6" t="s">
        <v>47</v>
      </c>
      <c r="F448" s="6">
        <v>1.99666615605435</v>
      </c>
    </row>
    <row r="449">
      <c r="A449" s="9">
        <f>IFERROR(__xludf.DUMMYFUNCTION("""COMPUTED_VALUE"""),34335.0)</f>
        <v>34335</v>
      </c>
      <c r="B449" s="6" t="str">
        <f>IFERROR(__xludf.DUMMYFUNCTION("""COMPUTED_VALUE"""),"gpc_inssjyp_salud_pib")</f>
        <v>gpc_inssjyp_salud_pib</v>
      </c>
      <c r="C449" s="6">
        <f>IFERROR(__xludf.DUMMYFUNCTION("""COMPUTED_VALUE"""),0.957273374773233)</f>
        <v>0.9572733748</v>
      </c>
      <c r="D449" s="6">
        <v>1994.0</v>
      </c>
      <c r="E449" s="6" t="s">
        <v>48</v>
      </c>
      <c r="F449" s="6">
        <v>0.957273374773233</v>
      </c>
    </row>
    <row r="450">
      <c r="A450" s="9">
        <f>IFERROR(__xludf.DUMMYFUNCTION("""COMPUTED_VALUE"""),34335.0)</f>
        <v>34335</v>
      </c>
      <c r="B450" s="6" t="str">
        <f>IFERROR(__xludf.DUMMYFUNCTION("""COMPUTED_VALUE"""),"gpc_agua_alcantarillado_pib")</f>
        <v>gpc_agua_alcantarillado_pib</v>
      </c>
      <c r="C450" s="6">
        <f>IFERROR(__xludf.DUMMYFUNCTION("""COMPUTED_VALUE"""),0.212279608725784)</f>
        <v>0.2122796087</v>
      </c>
      <c r="D450" s="6">
        <v>1994.0</v>
      </c>
      <c r="E450" s="6" t="s">
        <v>49</v>
      </c>
      <c r="F450" s="6">
        <v>0.212279608725784</v>
      </c>
    </row>
    <row r="451">
      <c r="A451" s="9">
        <f>IFERROR(__xludf.DUMMYFUNCTION("""COMPUTED_VALUE"""),34335.0)</f>
        <v>34335</v>
      </c>
      <c r="B451" s="6" t="str">
        <f>IFERROR(__xludf.DUMMYFUNCTION("""COMPUTED_VALUE"""),"gpc_vivienda_urbanismo_pib")</f>
        <v>gpc_vivienda_urbanismo_pib</v>
      </c>
      <c r="C451" s="6">
        <f>IFERROR(__xludf.DUMMYFUNCTION("""COMPUTED_VALUE"""),0.626202936349295)</f>
        <v>0.6262029363</v>
      </c>
      <c r="D451" s="6">
        <v>1994.0</v>
      </c>
      <c r="E451" s="6" t="s">
        <v>50</v>
      </c>
      <c r="F451" s="6">
        <v>0.626202936349295</v>
      </c>
    </row>
    <row r="452">
      <c r="A452" s="9">
        <f>IFERROR(__xludf.DUMMYFUNCTION("""COMPUTED_VALUE"""),34335.0)</f>
        <v>34335</v>
      </c>
      <c r="B452" s="6" t="str">
        <f>IFERROR(__xludf.DUMMYFUNCTION("""COMPUTED_VALUE"""),"gpc_promocion_asistencia_social_pib")</f>
        <v>gpc_promocion_asistencia_social_pib</v>
      </c>
      <c r="C452" s="6">
        <f>IFERROR(__xludf.DUMMYFUNCTION("""COMPUTED_VALUE"""),0.724323517882101)</f>
        <v>0.7243235179</v>
      </c>
      <c r="D452" s="6">
        <v>1994.0</v>
      </c>
      <c r="E452" s="6" t="s">
        <v>51</v>
      </c>
      <c r="F452" s="6">
        <v>0.724323517882101</v>
      </c>
    </row>
    <row r="453">
      <c r="A453" s="9">
        <f>IFERROR(__xludf.DUMMYFUNCTION("""COMPUTED_VALUE"""),34335.0)</f>
        <v>34335</v>
      </c>
      <c r="B453" s="6" t="str">
        <f>IFERROR(__xludf.DUMMYFUNCTION("""COMPUTED_VALUE"""),"gpc_obras_sociales_prestaciones_pib")</f>
        <v>gpc_obras_sociales_prestaciones_pib</v>
      </c>
      <c r="C453" s="6">
        <f>IFERROR(__xludf.DUMMYFUNCTION("""COMPUTED_VALUE"""),0.146446787665003)</f>
        <v>0.1464467877</v>
      </c>
      <c r="D453" s="6">
        <v>1994.0</v>
      </c>
      <c r="E453" s="6" t="s">
        <v>52</v>
      </c>
      <c r="F453" s="6">
        <v>0.146446787665003</v>
      </c>
    </row>
    <row r="454">
      <c r="A454" s="9">
        <f>IFERROR(__xludf.DUMMYFUNCTION("""COMPUTED_VALUE"""),34335.0)</f>
        <v>34335</v>
      </c>
      <c r="B454" s="6" t="str">
        <f>IFERROR(__xludf.DUMMYFUNCTION("""COMPUTED_VALUE"""),"gpc_inssjyp_prestaciones_pib")</f>
        <v>gpc_inssjyp_prestaciones_pib</v>
      </c>
      <c r="C454" s="6">
        <f>IFERROR(__xludf.DUMMYFUNCTION("""COMPUTED_VALUE"""),0.158952398092863)</f>
        <v>0.1589523981</v>
      </c>
      <c r="D454" s="6">
        <v>1994.0</v>
      </c>
      <c r="E454" s="6" t="s">
        <v>53</v>
      </c>
      <c r="F454" s="6">
        <v>0.158952398092863</v>
      </c>
    </row>
    <row r="455">
      <c r="A455" s="9">
        <f>IFERROR(__xludf.DUMMYFUNCTION("""COMPUTED_VALUE"""),34335.0)</f>
        <v>34335</v>
      </c>
      <c r="B455" s="6" t="str">
        <f>IFERROR(__xludf.DUMMYFUNCTION("""COMPUTED_VALUE"""),"gpc_prevision_social_pib")</f>
        <v>gpc_prevision_social_pib</v>
      </c>
      <c r="C455" s="6">
        <f>IFERROR(__xludf.DUMMYFUNCTION("""COMPUTED_VALUE"""),8.23245015586558)</f>
        <v>8.232450156</v>
      </c>
      <c r="D455" s="6">
        <v>1994.0</v>
      </c>
      <c r="E455" s="6" t="s">
        <v>54</v>
      </c>
      <c r="F455" s="6">
        <v>8.23245015586558</v>
      </c>
    </row>
    <row r="456">
      <c r="A456" s="9">
        <f>IFERROR(__xludf.DUMMYFUNCTION("""COMPUTED_VALUE"""),34335.0)</f>
        <v>34335</v>
      </c>
      <c r="B456" s="6" t="str">
        <f>IFERROR(__xludf.DUMMYFUNCTION("""COMPUTED_VALUE"""),"gpc_programas_empleo_pib")</f>
        <v>gpc_programas_empleo_pib</v>
      </c>
      <c r="C456" s="6">
        <f>IFERROR(__xludf.DUMMYFUNCTION("""COMPUTED_VALUE"""),0.238631571118758)</f>
        <v>0.2386315711</v>
      </c>
      <c r="D456" s="6">
        <v>1994.0</v>
      </c>
      <c r="E456" s="6" t="s">
        <v>55</v>
      </c>
      <c r="F456" s="6">
        <v>0.238631571118758</v>
      </c>
    </row>
    <row r="457">
      <c r="A457" s="9">
        <f>IFERROR(__xludf.DUMMYFUNCTION("""COMPUTED_VALUE"""),34335.0)</f>
        <v>34335</v>
      </c>
      <c r="B457" s="6" t="str">
        <f>IFERROR(__xludf.DUMMYFUNCTION("""COMPUTED_VALUE"""),"gpc_asignaciones_familiares_pib")</f>
        <v>gpc_asignaciones_familiares_pib</v>
      </c>
      <c r="C457" s="6">
        <f>IFERROR(__xludf.DUMMYFUNCTION("""COMPUTED_VALUE"""),0.669167073610243)</f>
        <v>0.6691670736</v>
      </c>
      <c r="D457" s="6">
        <v>1994.0</v>
      </c>
      <c r="E457" s="6" t="s">
        <v>56</v>
      </c>
      <c r="F457" s="6">
        <v>0.669167073610243</v>
      </c>
    </row>
    <row r="458">
      <c r="A458" s="9">
        <f>IFERROR(__xludf.DUMMYFUNCTION("""COMPUTED_VALUE"""),34335.0)</f>
        <v>34335</v>
      </c>
      <c r="B458" s="6" t="str">
        <f>IFERROR(__xludf.DUMMYFUNCTION("""COMPUTED_VALUE"""),"gpc_otros_servicios_urbanos_pib")</f>
        <v>gpc_otros_servicios_urbanos_pib</v>
      </c>
      <c r="C458" s="6">
        <f>IFERROR(__xludf.DUMMYFUNCTION("""COMPUTED_VALUE"""),0.996720333249369)</f>
        <v>0.9967203332</v>
      </c>
      <c r="D458" s="6">
        <v>1994.0</v>
      </c>
      <c r="E458" s="6" t="s">
        <v>57</v>
      </c>
      <c r="F458" s="6">
        <v>0.996720333249369</v>
      </c>
    </row>
    <row r="459">
      <c r="A459" s="9">
        <f>IFERROR(__xludf.DUMMYFUNCTION("""COMPUTED_VALUE"""),34335.0)</f>
        <v>34335</v>
      </c>
      <c r="B459" s="6" t="str">
        <f>IFERROR(__xludf.DUMMYFUNCTION("""COMPUTED_VALUE"""),"gpc_servicios_economicos_pib")</f>
        <v>gpc_servicios_economicos_pib</v>
      </c>
      <c r="C459" s="6">
        <f>IFERROR(__xludf.DUMMYFUNCTION("""COMPUTED_VALUE"""),2.74534750702428)</f>
        <v>2.745347507</v>
      </c>
      <c r="D459" s="6">
        <v>1994.0</v>
      </c>
      <c r="E459" s="6" t="s">
        <v>58</v>
      </c>
      <c r="F459" s="6">
        <v>2.74534750702428</v>
      </c>
    </row>
    <row r="460">
      <c r="A460" s="9">
        <f>IFERROR(__xludf.DUMMYFUNCTION("""COMPUTED_VALUE"""),34335.0)</f>
        <v>34335</v>
      </c>
      <c r="B460" s="6" t="str">
        <f>IFERROR(__xludf.DUMMYFUNCTION("""COMPUTED_VALUE"""),"gpc_produccion_primaria_pib")</f>
        <v>gpc_produccion_primaria_pib</v>
      </c>
      <c r="C460" s="6">
        <f>IFERROR(__xludf.DUMMYFUNCTION("""COMPUTED_VALUE"""),0.343126672345277)</f>
        <v>0.3431266723</v>
      </c>
      <c r="D460" s="6">
        <v>1994.0</v>
      </c>
      <c r="E460" s="6" t="s">
        <v>59</v>
      </c>
      <c r="F460" s="6">
        <v>0.343126672345277</v>
      </c>
    </row>
    <row r="461">
      <c r="A461" s="9">
        <f>IFERROR(__xludf.DUMMYFUNCTION("""COMPUTED_VALUE"""),34335.0)</f>
        <v>34335</v>
      </c>
      <c r="B461" s="6" t="str">
        <f>IFERROR(__xludf.DUMMYFUNCTION("""COMPUTED_VALUE"""),"gpc_energia_combustible_pib")</f>
        <v>gpc_energia_combustible_pib</v>
      </c>
      <c r="C461" s="6">
        <f>IFERROR(__xludf.DUMMYFUNCTION("""COMPUTED_VALUE"""),0.750956239607822)</f>
        <v>0.7509562396</v>
      </c>
      <c r="D461" s="6">
        <v>1994.0</v>
      </c>
      <c r="E461" s="6" t="s">
        <v>60</v>
      </c>
      <c r="F461" s="6">
        <v>0.750956239607822</v>
      </c>
    </row>
    <row r="462">
      <c r="A462" s="9">
        <f>IFERROR(__xludf.DUMMYFUNCTION("""COMPUTED_VALUE"""),34335.0)</f>
        <v>34335</v>
      </c>
      <c r="B462" s="6" t="str">
        <f>IFERROR(__xludf.DUMMYFUNCTION("""COMPUTED_VALUE"""),"gpc_industria_pib")</f>
        <v>gpc_industria_pib</v>
      </c>
      <c r="C462" s="6">
        <f>IFERROR(__xludf.DUMMYFUNCTION("""COMPUTED_VALUE"""),0.0917204744203493)</f>
        <v>0.09172047442</v>
      </c>
      <c r="D462" s="6">
        <v>1994.0</v>
      </c>
      <c r="E462" s="6" t="s">
        <v>61</v>
      </c>
      <c r="F462" s="6">
        <v>0.0917204744203493</v>
      </c>
    </row>
    <row r="463">
      <c r="A463" s="9">
        <f>IFERROR(__xludf.DUMMYFUNCTION("""COMPUTED_VALUE"""),34335.0)</f>
        <v>34335</v>
      </c>
      <c r="B463" s="6" t="str">
        <f>IFERROR(__xludf.DUMMYFUNCTION("""COMPUTED_VALUE"""),"gpc_transporte_pib")</f>
        <v>gpc_transporte_pib</v>
      </c>
      <c r="C463" s="6">
        <f>IFERROR(__xludf.DUMMYFUNCTION("""COMPUTED_VALUE"""),1.05078450886552)</f>
        <v>1.050784509</v>
      </c>
      <c r="D463" s="6">
        <v>1994.0</v>
      </c>
      <c r="E463" s="6" t="s">
        <v>62</v>
      </c>
      <c r="F463" s="6">
        <v>1.05078450886552</v>
      </c>
    </row>
    <row r="464">
      <c r="A464" s="9">
        <f>IFERROR(__xludf.DUMMYFUNCTION("""COMPUTED_VALUE"""),34335.0)</f>
        <v>34335</v>
      </c>
      <c r="B464" s="6" t="str">
        <f>IFERROR(__xludf.DUMMYFUNCTION("""COMPUTED_VALUE"""),"gpc_comunicaciones_pib")</f>
        <v>gpc_comunicaciones_pib</v>
      </c>
      <c r="C464" s="6">
        <f>IFERROR(__xludf.DUMMYFUNCTION("""COMPUTED_VALUE"""),0.0639137832134333)</f>
        <v>0.06391378321</v>
      </c>
      <c r="D464" s="6">
        <v>1994.0</v>
      </c>
      <c r="E464" s="6" t="s">
        <v>63</v>
      </c>
      <c r="F464" s="6">
        <v>0.0639137832134333</v>
      </c>
    </row>
    <row r="465">
      <c r="A465" s="9">
        <f>IFERROR(__xludf.DUMMYFUNCTION("""COMPUTED_VALUE"""),34335.0)</f>
        <v>34335</v>
      </c>
      <c r="B465" s="6" t="str">
        <f>IFERROR(__xludf.DUMMYFUNCTION("""COMPUTED_VALUE"""),"gpc_otros_servicios_economicos_pib")</f>
        <v>gpc_otros_servicios_economicos_pib</v>
      </c>
      <c r="C465" s="6">
        <f>IFERROR(__xludf.DUMMYFUNCTION("""COMPUTED_VALUE"""),0.444845828571874)</f>
        <v>0.4448458286</v>
      </c>
      <c r="D465" s="6">
        <v>1994.0</v>
      </c>
      <c r="E465" s="6" t="s">
        <v>64</v>
      </c>
      <c r="F465" s="6">
        <v>0.444845828571874</v>
      </c>
    </row>
    <row r="466">
      <c r="A466" s="9">
        <f>IFERROR(__xludf.DUMMYFUNCTION("""COMPUTED_VALUE"""),34335.0)</f>
        <v>34335</v>
      </c>
      <c r="B466" s="6" t="str">
        <f>IFERROR(__xludf.DUMMYFUNCTION("""COMPUTED_VALUE"""),"gpc_servicios_deuda_publica_pib")</f>
        <v>gpc_servicios_deuda_publica_pib</v>
      </c>
      <c r="C466" s="6">
        <f>IFERROR(__xludf.DUMMYFUNCTION("""COMPUTED_VALUE"""),1.75322097259033)</f>
        <v>1.753220973</v>
      </c>
      <c r="D466" s="6">
        <v>1994.0</v>
      </c>
      <c r="E466" s="6" t="s">
        <v>65</v>
      </c>
      <c r="F466" s="6">
        <v>1.75322097259033</v>
      </c>
    </row>
    <row r="467">
      <c r="A467" s="9">
        <f>IFERROR(__xludf.DUMMYFUNCTION("""COMPUTED_VALUE"""),34700.0)</f>
        <v>34700</v>
      </c>
      <c r="B467" s="6" t="str">
        <f>IFERROR(__xludf.DUMMYFUNCTION("""COMPUTED_VALUE"""),"gpc_pib")</f>
        <v>gpc_pib</v>
      </c>
      <c r="C467" s="6">
        <f>IFERROR(__xludf.DUMMYFUNCTION("""COMPUTED_VALUE"""),32.4444885999448)</f>
        <v>32.4444886</v>
      </c>
      <c r="D467" s="6">
        <v>1995.0</v>
      </c>
      <c r="E467" s="6" t="s">
        <v>66</v>
      </c>
      <c r="F467" s="6">
        <v>32.4444885999448</v>
      </c>
    </row>
    <row r="468">
      <c r="A468" s="9">
        <f>IFERROR(__xludf.DUMMYFUNCTION("""COMPUTED_VALUE"""),34700.0)</f>
        <v>34700</v>
      </c>
      <c r="B468" s="6" t="str">
        <f>IFERROR(__xludf.DUMMYFUNCTION("""COMPUTED_VALUE"""),"gpc_funcionamiento_estado_pib")</f>
        <v>gpc_funcionamiento_estado_pib</v>
      </c>
      <c r="C468" s="6">
        <f>IFERROR(__xludf.DUMMYFUNCTION("""COMPUTED_VALUE"""),6.24909121715093)</f>
        <v>6.249091217</v>
      </c>
      <c r="D468" s="6">
        <v>1995.0</v>
      </c>
      <c r="E468" s="6" t="s">
        <v>36</v>
      </c>
      <c r="F468" s="6">
        <v>6.24909121715093</v>
      </c>
    </row>
    <row r="469">
      <c r="A469" s="9">
        <f>IFERROR(__xludf.DUMMYFUNCTION("""COMPUTED_VALUE"""),34700.0)</f>
        <v>34700</v>
      </c>
      <c r="B469" s="6" t="str">
        <f>IFERROR(__xludf.DUMMYFUNCTION("""COMPUTED_VALUE"""),"gpc_administracion_general_pib")</f>
        <v>gpc_administracion_general_pib</v>
      </c>
      <c r="C469" s="6">
        <f>IFERROR(__xludf.DUMMYFUNCTION("""COMPUTED_VALUE"""),3.09773081047685)</f>
        <v>3.09773081</v>
      </c>
      <c r="D469" s="6">
        <v>1995.0</v>
      </c>
      <c r="E469" s="6" t="s">
        <v>37</v>
      </c>
      <c r="F469" s="6">
        <v>3.09773081047685</v>
      </c>
    </row>
    <row r="470">
      <c r="A470" s="9">
        <f>IFERROR(__xludf.DUMMYFUNCTION("""COMPUTED_VALUE"""),34700.0)</f>
        <v>34700</v>
      </c>
      <c r="B470" s="6" t="str">
        <f>IFERROR(__xludf.DUMMYFUNCTION("""COMPUTED_VALUE"""),"gpc_justicia_pib")</f>
        <v>gpc_justicia_pib</v>
      </c>
      <c r="C470" s="6">
        <f>IFERROR(__xludf.DUMMYFUNCTION("""COMPUTED_VALUE"""),0.783142930564557)</f>
        <v>0.7831429306</v>
      </c>
      <c r="D470" s="6">
        <v>1995.0</v>
      </c>
      <c r="E470" s="6" t="s">
        <v>38</v>
      </c>
      <c r="F470" s="6">
        <v>0.783142930564557</v>
      </c>
    </row>
    <row r="471">
      <c r="A471" s="9">
        <f>IFERROR(__xludf.DUMMYFUNCTION("""COMPUTED_VALUE"""),34700.0)</f>
        <v>34700</v>
      </c>
      <c r="B471" s="6" t="str">
        <f>IFERROR(__xludf.DUMMYFUNCTION("""COMPUTED_VALUE"""),"gpc_defensa_seguridad_pib")</f>
        <v>gpc_defensa_seguridad_pib</v>
      </c>
      <c r="C471" s="6">
        <f>IFERROR(__xludf.DUMMYFUNCTION("""COMPUTED_VALUE"""),2.36821747610952)</f>
        <v>2.368217476</v>
      </c>
      <c r="D471" s="6">
        <v>1995.0</v>
      </c>
      <c r="E471" s="6" t="s">
        <v>39</v>
      </c>
      <c r="F471" s="6">
        <v>2.36821747610952</v>
      </c>
    </row>
    <row r="472">
      <c r="A472" s="9">
        <f>IFERROR(__xludf.DUMMYFUNCTION("""COMPUTED_VALUE"""),34700.0)</f>
        <v>34700</v>
      </c>
      <c r="B472" s="6" t="str">
        <f>IFERROR(__xludf.DUMMYFUNCTION("""COMPUTED_VALUE"""),"gpc_servicios_sociales_pib")</f>
        <v>gpc_servicios_sociales_pib</v>
      </c>
      <c r="C472" s="6">
        <f>IFERROR(__xludf.DUMMYFUNCTION("""COMPUTED_VALUE"""),21.1998568683819)</f>
        <v>21.19985687</v>
      </c>
      <c r="D472" s="6">
        <v>1995.0</v>
      </c>
      <c r="E472" s="6" t="s">
        <v>40</v>
      </c>
      <c r="F472" s="6">
        <v>21.1998568683819</v>
      </c>
    </row>
    <row r="473">
      <c r="A473" s="9">
        <f>IFERROR(__xludf.DUMMYFUNCTION("""COMPUTED_VALUE"""),34700.0)</f>
        <v>34700</v>
      </c>
      <c r="B473" s="6" t="str">
        <f>IFERROR(__xludf.DUMMYFUNCTION("""COMPUTED_VALUE"""),"gpc_educacion_basica_pib")</f>
        <v>gpc_educacion_basica_pib</v>
      </c>
      <c r="C473" s="6">
        <f>IFERROR(__xludf.DUMMYFUNCTION("""COMPUTED_VALUE"""),2.79524259298846)</f>
        <v>2.795242593</v>
      </c>
      <c r="D473" s="6">
        <v>1995.0</v>
      </c>
      <c r="E473" s="6" t="s">
        <v>41</v>
      </c>
      <c r="F473" s="6">
        <v>2.79524259298846</v>
      </c>
    </row>
    <row r="474">
      <c r="A474" s="9">
        <f>IFERROR(__xludf.DUMMYFUNCTION("""COMPUTED_VALUE"""),34700.0)</f>
        <v>34700</v>
      </c>
      <c r="B474" s="6" t="str">
        <f>IFERROR(__xludf.DUMMYFUNCTION("""COMPUTED_VALUE"""),"gpc_educacion_universitaria_pib")</f>
        <v>gpc_educacion_universitaria_pib</v>
      </c>
      <c r="C474" s="6">
        <f>IFERROR(__xludf.DUMMYFUNCTION("""COMPUTED_VALUE"""),0.842992727587051)</f>
        <v>0.8429927276</v>
      </c>
      <c r="D474" s="6">
        <v>1995.0</v>
      </c>
      <c r="E474" s="6" t="s">
        <v>42</v>
      </c>
      <c r="F474" s="6">
        <v>0.842992727587051</v>
      </c>
    </row>
    <row r="475">
      <c r="A475" s="9">
        <f>IFERROR(__xludf.DUMMYFUNCTION("""COMPUTED_VALUE"""),34700.0)</f>
        <v>34700</v>
      </c>
      <c r="B475" s="6" t="str">
        <f>IFERROR(__xludf.DUMMYFUNCTION("""COMPUTED_VALUE"""),"gpc_ciencia_tecnica_pib")</f>
        <v>gpc_ciencia_tecnica_pib</v>
      </c>
      <c r="C475" s="6">
        <f>IFERROR(__xludf.DUMMYFUNCTION("""COMPUTED_VALUE"""),0.228699739460934)</f>
        <v>0.2286997395</v>
      </c>
      <c r="D475" s="6">
        <v>1995.0</v>
      </c>
      <c r="E475" s="6" t="s">
        <v>43</v>
      </c>
      <c r="F475" s="6">
        <v>0.228699739460934</v>
      </c>
    </row>
    <row r="476">
      <c r="A476" s="9">
        <f>IFERROR(__xludf.DUMMYFUNCTION("""COMPUTED_VALUE"""),34700.0)</f>
        <v>34700</v>
      </c>
      <c r="B476" s="6" t="str">
        <f>IFERROR(__xludf.DUMMYFUNCTION("""COMPUTED_VALUE"""),"gpc_cultura_pib")</f>
        <v>gpc_cultura_pib</v>
      </c>
      <c r="C476" s="6">
        <f>IFERROR(__xludf.DUMMYFUNCTION("""COMPUTED_VALUE"""),0.118614921705679)</f>
        <v>0.1186149217</v>
      </c>
      <c r="D476" s="6">
        <v>1995.0</v>
      </c>
      <c r="E476" s="6" t="s">
        <v>44</v>
      </c>
      <c r="F476" s="6">
        <v>0.118614921705679</v>
      </c>
    </row>
    <row r="477">
      <c r="A477" s="9">
        <f>IFERROR(__xludf.DUMMYFUNCTION("""COMPUTED_VALUE"""),34700.0)</f>
        <v>34700</v>
      </c>
      <c r="B477" s="6" t="str">
        <f>IFERROR(__xludf.DUMMYFUNCTION("""COMPUTED_VALUE"""),"gpc_educacion_cultura_sin_discriminar_pib")</f>
        <v>gpc_educacion_cultura_sin_discriminar_pib</v>
      </c>
      <c r="C477" s="6">
        <f>IFERROR(__xludf.DUMMYFUNCTION("""COMPUTED_VALUE"""),0.328220390772637)</f>
        <v>0.3282203908</v>
      </c>
      <c r="D477" s="6">
        <v>1995.0</v>
      </c>
      <c r="E477" s="6" t="s">
        <v>45</v>
      </c>
      <c r="F477" s="6">
        <v>0.328220390772637</v>
      </c>
    </row>
    <row r="478">
      <c r="A478" s="9">
        <f>IFERROR(__xludf.DUMMYFUNCTION("""COMPUTED_VALUE"""),34700.0)</f>
        <v>34700</v>
      </c>
      <c r="B478" s="6" t="str">
        <f>IFERROR(__xludf.DUMMYFUNCTION("""COMPUTED_VALUE"""),"gpc_atencion_salud_pib")</f>
        <v>gpc_atencion_salud_pib</v>
      </c>
      <c r="C478" s="6">
        <f>IFERROR(__xludf.DUMMYFUNCTION("""COMPUTED_VALUE"""),1.87417843888791)</f>
        <v>1.874178439</v>
      </c>
      <c r="D478" s="6">
        <v>1995.0</v>
      </c>
      <c r="E478" s="6" t="s">
        <v>46</v>
      </c>
      <c r="F478" s="6">
        <v>1.87417843888791</v>
      </c>
    </row>
    <row r="479">
      <c r="A479" s="9">
        <f>IFERROR(__xludf.DUMMYFUNCTION("""COMPUTED_VALUE"""),34700.0)</f>
        <v>34700</v>
      </c>
      <c r="B479" s="6" t="str">
        <f>IFERROR(__xludf.DUMMYFUNCTION("""COMPUTED_VALUE"""),"gpc_obras_sociales_salud_pib")</f>
        <v>gpc_obras_sociales_salud_pib</v>
      </c>
      <c r="C479" s="6">
        <f>IFERROR(__xludf.DUMMYFUNCTION("""COMPUTED_VALUE"""),2.03905071098254)</f>
        <v>2.039050711</v>
      </c>
      <c r="D479" s="6">
        <v>1995.0</v>
      </c>
      <c r="E479" s="6" t="s">
        <v>47</v>
      </c>
      <c r="F479" s="6">
        <v>2.03905071098254</v>
      </c>
    </row>
    <row r="480">
      <c r="A480" s="9">
        <f>IFERROR(__xludf.DUMMYFUNCTION("""COMPUTED_VALUE"""),34700.0)</f>
        <v>34700</v>
      </c>
      <c r="B480" s="6" t="str">
        <f>IFERROR(__xludf.DUMMYFUNCTION("""COMPUTED_VALUE"""),"gpc_inssjyp_salud_pib")</f>
        <v>gpc_inssjyp_salud_pib</v>
      </c>
      <c r="C480" s="6">
        <f>IFERROR(__xludf.DUMMYFUNCTION("""COMPUTED_VALUE"""),1.01525021903544)</f>
        <v>1.015250219</v>
      </c>
      <c r="D480" s="6">
        <v>1995.0</v>
      </c>
      <c r="E480" s="6" t="s">
        <v>48</v>
      </c>
      <c r="F480" s="6">
        <v>1.01525021903544</v>
      </c>
    </row>
    <row r="481">
      <c r="A481" s="9">
        <f>IFERROR(__xludf.DUMMYFUNCTION("""COMPUTED_VALUE"""),34700.0)</f>
        <v>34700</v>
      </c>
      <c r="B481" s="6" t="str">
        <f>IFERROR(__xludf.DUMMYFUNCTION("""COMPUTED_VALUE"""),"gpc_agua_alcantarillado_pib")</f>
        <v>gpc_agua_alcantarillado_pib</v>
      </c>
      <c r="C481" s="6">
        <f>IFERROR(__xludf.DUMMYFUNCTION("""COMPUTED_VALUE"""),0.241221641919154)</f>
        <v>0.2412216419</v>
      </c>
      <c r="D481" s="6">
        <v>1995.0</v>
      </c>
      <c r="E481" s="6" t="s">
        <v>49</v>
      </c>
      <c r="F481" s="6">
        <v>0.241221641919154</v>
      </c>
    </row>
    <row r="482">
      <c r="A482" s="9">
        <f>IFERROR(__xludf.DUMMYFUNCTION("""COMPUTED_VALUE"""),34700.0)</f>
        <v>34700</v>
      </c>
      <c r="B482" s="6" t="str">
        <f>IFERROR(__xludf.DUMMYFUNCTION("""COMPUTED_VALUE"""),"gpc_vivienda_urbanismo_pib")</f>
        <v>gpc_vivienda_urbanismo_pib</v>
      </c>
      <c r="C482" s="6">
        <f>IFERROR(__xludf.DUMMYFUNCTION("""COMPUTED_VALUE"""),0.540555264751392)</f>
        <v>0.5405552648</v>
      </c>
      <c r="D482" s="6">
        <v>1995.0</v>
      </c>
      <c r="E482" s="6" t="s">
        <v>50</v>
      </c>
      <c r="F482" s="6">
        <v>0.540555264751392</v>
      </c>
    </row>
    <row r="483">
      <c r="A483" s="9">
        <f>IFERROR(__xludf.DUMMYFUNCTION("""COMPUTED_VALUE"""),34700.0)</f>
        <v>34700</v>
      </c>
      <c r="B483" s="6" t="str">
        <f>IFERROR(__xludf.DUMMYFUNCTION("""COMPUTED_VALUE"""),"gpc_promocion_asistencia_social_pib")</f>
        <v>gpc_promocion_asistencia_social_pib</v>
      </c>
      <c r="C483" s="6">
        <f>IFERROR(__xludf.DUMMYFUNCTION("""COMPUTED_VALUE"""),0.635012622981503)</f>
        <v>0.635012623</v>
      </c>
      <c r="D483" s="6">
        <v>1995.0</v>
      </c>
      <c r="E483" s="6" t="s">
        <v>51</v>
      </c>
      <c r="F483" s="6">
        <v>0.635012622981503</v>
      </c>
    </row>
    <row r="484">
      <c r="A484" s="9">
        <f>IFERROR(__xludf.DUMMYFUNCTION("""COMPUTED_VALUE"""),34700.0)</f>
        <v>34700</v>
      </c>
      <c r="B484" s="6" t="str">
        <f>IFERROR(__xludf.DUMMYFUNCTION("""COMPUTED_VALUE"""),"gpc_obras_sociales_prestaciones_pib")</f>
        <v>gpc_obras_sociales_prestaciones_pib</v>
      </c>
      <c r="C484" s="6">
        <f>IFERROR(__xludf.DUMMYFUNCTION("""COMPUTED_VALUE"""),0.144242126316961)</f>
        <v>0.1442421263</v>
      </c>
      <c r="D484" s="6">
        <v>1995.0</v>
      </c>
      <c r="E484" s="6" t="s">
        <v>52</v>
      </c>
      <c r="F484" s="6">
        <v>0.144242126316961</v>
      </c>
    </row>
    <row r="485">
      <c r="A485" s="9">
        <f>IFERROR(__xludf.DUMMYFUNCTION("""COMPUTED_VALUE"""),34700.0)</f>
        <v>34700</v>
      </c>
      <c r="B485" s="6" t="str">
        <f>IFERROR(__xludf.DUMMYFUNCTION("""COMPUTED_VALUE"""),"gpc_inssjyp_prestaciones_pib")</f>
        <v>gpc_inssjyp_prestaciones_pib</v>
      </c>
      <c r="C485" s="6">
        <f>IFERROR(__xludf.DUMMYFUNCTION("""COMPUTED_VALUE"""),0.15817665943302)</f>
        <v>0.1581766594</v>
      </c>
      <c r="D485" s="6">
        <v>1995.0</v>
      </c>
      <c r="E485" s="6" t="s">
        <v>53</v>
      </c>
      <c r="F485" s="6">
        <v>0.15817665943302</v>
      </c>
    </row>
    <row r="486">
      <c r="A486" s="9">
        <f>IFERROR(__xludf.DUMMYFUNCTION("""COMPUTED_VALUE"""),34700.0)</f>
        <v>34700</v>
      </c>
      <c r="B486" s="6" t="str">
        <f>IFERROR(__xludf.DUMMYFUNCTION("""COMPUTED_VALUE"""),"gpc_prevision_social_pib")</f>
        <v>gpc_prevision_social_pib</v>
      </c>
      <c r="C486" s="6">
        <f>IFERROR(__xludf.DUMMYFUNCTION("""COMPUTED_VALUE"""),8.37800646322158)</f>
        <v>8.378006463</v>
      </c>
      <c r="D486" s="6">
        <v>1995.0</v>
      </c>
      <c r="E486" s="6" t="s">
        <v>54</v>
      </c>
      <c r="F486" s="6">
        <v>8.37800646322158</v>
      </c>
    </row>
    <row r="487">
      <c r="A487" s="9">
        <f>IFERROR(__xludf.DUMMYFUNCTION("""COMPUTED_VALUE"""),34700.0)</f>
        <v>34700</v>
      </c>
      <c r="B487" s="6" t="str">
        <f>IFERROR(__xludf.DUMMYFUNCTION("""COMPUTED_VALUE"""),"gpc_programas_empleo_pib")</f>
        <v>gpc_programas_empleo_pib</v>
      </c>
      <c r="C487" s="6">
        <f>IFERROR(__xludf.DUMMYFUNCTION("""COMPUTED_VALUE"""),0.225983079012911)</f>
        <v>0.225983079</v>
      </c>
      <c r="D487" s="6">
        <v>1995.0</v>
      </c>
      <c r="E487" s="6" t="s">
        <v>55</v>
      </c>
      <c r="F487" s="6">
        <v>0.225983079012911</v>
      </c>
    </row>
    <row r="488">
      <c r="A488" s="9">
        <f>IFERROR(__xludf.DUMMYFUNCTION("""COMPUTED_VALUE"""),34700.0)</f>
        <v>34700</v>
      </c>
      <c r="B488" s="6" t="str">
        <f>IFERROR(__xludf.DUMMYFUNCTION("""COMPUTED_VALUE"""),"gpc_asignaciones_familiares_pib")</f>
        <v>gpc_asignaciones_familiares_pib</v>
      </c>
      <c r="C488" s="6">
        <f>IFERROR(__xludf.DUMMYFUNCTION("""COMPUTED_VALUE"""),0.739539621787494)</f>
        <v>0.7395396218</v>
      </c>
      <c r="D488" s="6">
        <v>1995.0</v>
      </c>
      <c r="E488" s="6" t="s">
        <v>56</v>
      </c>
      <c r="F488" s="6">
        <v>0.739539621787494</v>
      </c>
    </row>
    <row r="489">
      <c r="A489" s="9">
        <f>IFERROR(__xludf.DUMMYFUNCTION("""COMPUTED_VALUE"""),34700.0)</f>
        <v>34700</v>
      </c>
      <c r="B489" s="6" t="str">
        <f>IFERROR(__xludf.DUMMYFUNCTION("""COMPUTED_VALUE"""),"gpc_otros_servicios_urbanos_pib")</f>
        <v>gpc_otros_servicios_urbanos_pib</v>
      </c>
      <c r="C489" s="6">
        <f>IFERROR(__xludf.DUMMYFUNCTION("""COMPUTED_VALUE"""),0.894869647537241)</f>
        <v>0.8948696475</v>
      </c>
      <c r="D489" s="6">
        <v>1995.0</v>
      </c>
      <c r="E489" s="6" t="s">
        <v>57</v>
      </c>
      <c r="F489" s="6">
        <v>0.894869647537241</v>
      </c>
    </row>
    <row r="490">
      <c r="A490" s="9">
        <f>IFERROR(__xludf.DUMMYFUNCTION("""COMPUTED_VALUE"""),34700.0)</f>
        <v>34700</v>
      </c>
      <c r="B490" s="6" t="str">
        <f>IFERROR(__xludf.DUMMYFUNCTION("""COMPUTED_VALUE"""),"gpc_servicios_economicos_pib")</f>
        <v>gpc_servicios_economicos_pib</v>
      </c>
      <c r="C490" s="6">
        <f>IFERROR(__xludf.DUMMYFUNCTION("""COMPUTED_VALUE"""),2.75513309726718)</f>
        <v>2.755133097</v>
      </c>
      <c r="D490" s="6">
        <v>1995.0</v>
      </c>
      <c r="E490" s="6" t="s">
        <v>58</v>
      </c>
      <c r="F490" s="6">
        <v>2.75513309726718</v>
      </c>
    </row>
    <row r="491">
      <c r="A491" s="9">
        <f>IFERROR(__xludf.DUMMYFUNCTION("""COMPUTED_VALUE"""),34700.0)</f>
        <v>34700</v>
      </c>
      <c r="B491" s="6" t="str">
        <f>IFERROR(__xludf.DUMMYFUNCTION("""COMPUTED_VALUE"""),"gpc_produccion_primaria_pib")</f>
        <v>gpc_produccion_primaria_pib</v>
      </c>
      <c r="C491" s="6">
        <f>IFERROR(__xludf.DUMMYFUNCTION("""COMPUTED_VALUE"""),0.328081405566926)</f>
        <v>0.3280814056</v>
      </c>
      <c r="D491" s="6">
        <v>1995.0</v>
      </c>
      <c r="E491" s="6" t="s">
        <v>59</v>
      </c>
      <c r="F491" s="6">
        <v>0.328081405566926</v>
      </c>
    </row>
    <row r="492">
      <c r="A492" s="9">
        <f>IFERROR(__xludf.DUMMYFUNCTION("""COMPUTED_VALUE"""),34700.0)</f>
        <v>34700</v>
      </c>
      <c r="B492" s="6" t="str">
        <f>IFERROR(__xludf.DUMMYFUNCTION("""COMPUTED_VALUE"""),"gpc_energia_combustible_pib")</f>
        <v>gpc_energia_combustible_pib</v>
      </c>
      <c r="C492" s="6">
        <f>IFERROR(__xludf.DUMMYFUNCTION("""COMPUTED_VALUE"""),0.570232412038613)</f>
        <v>0.570232412</v>
      </c>
      <c r="D492" s="6">
        <v>1995.0</v>
      </c>
      <c r="E492" s="6" t="s">
        <v>60</v>
      </c>
      <c r="F492" s="6">
        <v>0.570232412038613</v>
      </c>
    </row>
    <row r="493">
      <c r="A493" s="9">
        <f>IFERROR(__xludf.DUMMYFUNCTION("""COMPUTED_VALUE"""),34700.0)</f>
        <v>34700</v>
      </c>
      <c r="B493" s="6" t="str">
        <f>IFERROR(__xludf.DUMMYFUNCTION("""COMPUTED_VALUE"""),"gpc_industria_pib")</f>
        <v>gpc_industria_pib</v>
      </c>
      <c r="C493" s="6">
        <f>IFERROR(__xludf.DUMMYFUNCTION("""COMPUTED_VALUE"""),0.100706154035685)</f>
        <v>0.100706154</v>
      </c>
      <c r="D493" s="6">
        <v>1995.0</v>
      </c>
      <c r="E493" s="6" t="s">
        <v>61</v>
      </c>
      <c r="F493" s="6">
        <v>0.100706154035685</v>
      </c>
    </row>
    <row r="494">
      <c r="A494" s="9">
        <f>IFERROR(__xludf.DUMMYFUNCTION("""COMPUTED_VALUE"""),34700.0)</f>
        <v>34700</v>
      </c>
      <c r="B494" s="6" t="str">
        <f>IFERROR(__xludf.DUMMYFUNCTION("""COMPUTED_VALUE"""),"gpc_transporte_pib")</f>
        <v>gpc_transporte_pib</v>
      </c>
      <c r="C494" s="6">
        <f>IFERROR(__xludf.DUMMYFUNCTION("""COMPUTED_VALUE"""),1.0749575853052)</f>
        <v>1.074957585</v>
      </c>
      <c r="D494" s="6">
        <v>1995.0</v>
      </c>
      <c r="E494" s="6" t="s">
        <v>62</v>
      </c>
      <c r="F494" s="6">
        <v>1.0749575853052</v>
      </c>
    </row>
    <row r="495">
      <c r="A495" s="9">
        <f>IFERROR(__xludf.DUMMYFUNCTION("""COMPUTED_VALUE"""),34700.0)</f>
        <v>34700</v>
      </c>
      <c r="B495" s="6" t="str">
        <f>IFERROR(__xludf.DUMMYFUNCTION("""COMPUTED_VALUE"""),"gpc_comunicaciones_pib")</f>
        <v>gpc_comunicaciones_pib</v>
      </c>
      <c r="C495" s="6">
        <f>IFERROR(__xludf.DUMMYFUNCTION("""COMPUTED_VALUE"""),0.0795793949700429)</f>
        <v>0.07957939497</v>
      </c>
      <c r="D495" s="6">
        <v>1995.0</v>
      </c>
      <c r="E495" s="6" t="s">
        <v>63</v>
      </c>
      <c r="F495" s="6">
        <v>0.0795793949700429</v>
      </c>
    </row>
    <row r="496">
      <c r="A496" s="9">
        <f>IFERROR(__xludf.DUMMYFUNCTION("""COMPUTED_VALUE"""),34700.0)</f>
        <v>34700</v>
      </c>
      <c r="B496" s="6" t="str">
        <f>IFERROR(__xludf.DUMMYFUNCTION("""COMPUTED_VALUE"""),"gpc_otros_servicios_economicos_pib")</f>
        <v>gpc_otros_servicios_economicos_pib</v>
      </c>
      <c r="C496" s="6">
        <f>IFERROR(__xludf.DUMMYFUNCTION("""COMPUTED_VALUE"""),0.601576145350712)</f>
        <v>0.6015761454</v>
      </c>
      <c r="D496" s="6">
        <v>1995.0</v>
      </c>
      <c r="E496" s="6" t="s">
        <v>64</v>
      </c>
      <c r="F496" s="6">
        <v>0.601576145350712</v>
      </c>
    </row>
    <row r="497">
      <c r="A497" s="9">
        <f>IFERROR(__xludf.DUMMYFUNCTION("""COMPUTED_VALUE"""),34700.0)</f>
        <v>34700</v>
      </c>
      <c r="B497" s="6" t="str">
        <f>IFERROR(__xludf.DUMMYFUNCTION("""COMPUTED_VALUE"""),"gpc_servicios_deuda_publica_pib")</f>
        <v>gpc_servicios_deuda_publica_pib</v>
      </c>
      <c r="C497" s="6">
        <f>IFERROR(__xludf.DUMMYFUNCTION("""COMPUTED_VALUE"""),2.24040741714474)</f>
        <v>2.240407417</v>
      </c>
      <c r="D497" s="6">
        <v>1995.0</v>
      </c>
      <c r="E497" s="6" t="s">
        <v>65</v>
      </c>
      <c r="F497" s="6">
        <v>2.24040741714474</v>
      </c>
    </row>
    <row r="498">
      <c r="A498" s="9">
        <f>IFERROR(__xludf.DUMMYFUNCTION("""COMPUTED_VALUE"""),35065.0)</f>
        <v>35065</v>
      </c>
      <c r="B498" s="6" t="str">
        <f>IFERROR(__xludf.DUMMYFUNCTION("""COMPUTED_VALUE"""),"gpc_pib")</f>
        <v>gpc_pib</v>
      </c>
      <c r="C498" s="6">
        <f>IFERROR(__xludf.DUMMYFUNCTION("""COMPUTED_VALUE"""),30.5447998307878)</f>
        <v>30.54479983</v>
      </c>
      <c r="D498" s="6">
        <v>1996.0</v>
      </c>
      <c r="E498" s="6" t="s">
        <v>66</v>
      </c>
      <c r="F498" s="6">
        <v>30.5447998307878</v>
      </c>
    </row>
    <row r="499">
      <c r="A499" s="9">
        <f>IFERROR(__xludf.DUMMYFUNCTION("""COMPUTED_VALUE"""),35065.0)</f>
        <v>35065</v>
      </c>
      <c r="B499" s="6" t="str">
        <f>IFERROR(__xludf.DUMMYFUNCTION("""COMPUTED_VALUE"""),"gpc_funcionamiento_estado_pib")</f>
        <v>gpc_funcionamiento_estado_pib</v>
      </c>
      <c r="C499" s="6">
        <f>IFERROR(__xludf.DUMMYFUNCTION("""COMPUTED_VALUE"""),5.87328853990028)</f>
        <v>5.87328854</v>
      </c>
      <c r="D499" s="6">
        <v>1996.0</v>
      </c>
      <c r="E499" s="6" t="s">
        <v>36</v>
      </c>
      <c r="F499" s="6">
        <v>5.87328853990028</v>
      </c>
    </row>
    <row r="500">
      <c r="A500" s="9">
        <f>IFERROR(__xludf.DUMMYFUNCTION("""COMPUTED_VALUE"""),35065.0)</f>
        <v>35065</v>
      </c>
      <c r="B500" s="6" t="str">
        <f>IFERROR(__xludf.DUMMYFUNCTION("""COMPUTED_VALUE"""),"gpc_administracion_general_pib")</f>
        <v>gpc_administracion_general_pib</v>
      </c>
      <c r="C500" s="6">
        <f>IFERROR(__xludf.DUMMYFUNCTION("""COMPUTED_VALUE"""),2.93903527425896)</f>
        <v>2.939035274</v>
      </c>
      <c r="D500" s="6">
        <v>1996.0</v>
      </c>
      <c r="E500" s="6" t="s">
        <v>37</v>
      </c>
      <c r="F500" s="6">
        <v>2.93903527425896</v>
      </c>
    </row>
    <row r="501">
      <c r="A501" s="9">
        <f>IFERROR(__xludf.DUMMYFUNCTION("""COMPUTED_VALUE"""),35065.0)</f>
        <v>35065</v>
      </c>
      <c r="B501" s="6" t="str">
        <f>IFERROR(__xludf.DUMMYFUNCTION("""COMPUTED_VALUE"""),"gpc_justicia_pib")</f>
        <v>gpc_justicia_pib</v>
      </c>
      <c r="C501" s="6">
        <f>IFERROR(__xludf.DUMMYFUNCTION("""COMPUTED_VALUE"""),0.747418595867468)</f>
        <v>0.7474185959</v>
      </c>
      <c r="D501" s="6">
        <v>1996.0</v>
      </c>
      <c r="E501" s="6" t="s">
        <v>38</v>
      </c>
      <c r="F501" s="6">
        <v>0.747418595867468</v>
      </c>
    </row>
    <row r="502">
      <c r="A502" s="9">
        <f>IFERROR(__xludf.DUMMYFUNCTION("""COMPUTED_VALUE"""),35065.0)</f>
        <v>35065</v>
      </c>
      <c r="B502" s="6" t="str">
        <f>IFERROR(__xludf.DUMMYFUNCTION("""COMPUTED_VALUE"""),"gpc_defensa_seguridad_pib")</f>
        <v>gpc_defensa_seguridad_pib</v>
      </c>
      <c r="C502" s="6">
        <f>IFERROR(__xludf.DUMMYFUNCTION("""COMPUTED_VALUE"""),2.18683466977385)</f>
        <v>2.18683467</v>
      </c>
      <c r="D502" s="6">
        <v>1996.0</v>
      </c>
      <c r="E502" s="6" t="s">
        <v>39</v>
      </c>
      <c r="F502" s="6">
        <v>2.18683466977385</v>
      </c>
    </row>
    <row r="503">
      <c r="A503" s="9">
        <f>IFERROR(__xludf.DUMMYFUNCTION("""COMPUTED_VALUE"""),35065.0)</f>
        <v>35065</v>
      </c>
      <c r="B503" s="6" t="str">
        <f>IFERROR(__xludf.DUMMYFUNCTION("""COMPUTED_VALUE"""),"gpc_servicios_sociales_pib")</f>
        <v>gpc_servicios_sociales_pib</v>
      </c>
      <c r="C503" s="6">
        <f>IFERROR(__xludf.DUMMYFUNCTION("""COMPUTED_VALUE"""),20.1142902620518)</f>
        <v>20.11429026</v>
      </c>
      <c r="D503" s="6">
        <v>1996.0</v>
      </c>
      <c r="E503" s="6" t="s">
        <v>40</v>
      </c>
      <c r="F503" s="6">
        <v>20.1142902620518</v>
      </c>
    </row>
    <row r="504">
      <c r="A504" s="9">
        <f>IFERROR(__xludf.DUMMYFUNCTION("""COMPUTED_VALUE"""),35065.0)</f>
        <v>35065</v>
      </c>
      <c r="B504" s="6" t="str">
        <f>IFERROR(__xludf.DUMMYFUNCTION("""COMPUTED_VALUE"""),"gpc_educacion_basica_pib")</f>
        <v>gpc_educacion_basica_pib</v>
      </c>
      <c r="C504" s="6">
        <f>IFERROR(__xludf.DUMMYFUNCTION("""COMPUTED_VALUE"""),2.67072795570632)</f>
        <v>2.670727956</v>
      </c>
      <c r="D504" s="6">
        <v>1996.0</v>
      </c>
      <c r="E504" s="6" t="s">
        <v>41</v>
      </c>
      <c r="F504" s="6">
        <v>2.67072795570632</v>
      </c>
    </row>
    <row r="505">
      <c r="A505" s="9">
        <f>IFERROR(__xludf.DUMMYFUNCTION("""COMPUTED_VALUE"""),35065.0)</f>
        <v>35065</v>
      </c>
      <c r="B505" s="6" t="str">
        <f>IFERROR(__xludf.DUMMYFUNCTION("""COMPUTED_VALUE"""),"gpc_educacion_universitaria_pib")</f>
        <v>gpc_educacion_universitaria_pib</v>
      </c>
      <c r="C505" s="6">
        <f>IFERROR(__xludf.DUMMYFUNCTION("""COMPUTED_VALUE"""),0.832353214639969)</f>
        <v>0.8323532146</v>
      </c>
      <c r="D505" s="6">
        <v>1996.0</v>
      </c>
      <c r="E505" s="6" t="s">
        <v>42</v>
      </c>
      <c r="F505" s="6">
        <v>0.832353214639969</v>
      </c>
    </row>
    <row r="506">
      <c r="A506" s="9">
        <f>IFERROR(__xludf.DUMMYFUNCTION("""COMPUTED_VALUE"""),35065.0)</f>
        <v>35065</v>
      </c>
      <c r="B506" s="6" t="str">
        <f>IFERROR(__xludf.DUMMYFUNCTION("""COMPUTED_VALUE"""),"gpc_ciencia_tecnica_pib")</f>
        <v>gpc_ciencia_tecnica_pib</v>
      </c>
      <c r="C506" s="6">
        <f>IFERROR(__xludf.DUMMYFUNCTION("""COMPUTED_VALUE"""),0.195548711021082)</f>
        <v>0.195548711</v>
      </c>
      <c r="D506" s="6">
        <v>1996.0</v>
      </c>
      <c r="E506" s="6" t="s">
        <v>43</v>
      </c>
      <c r="F506" s="6">
        <v>0.195548711021082</v>
      </c>
    </row>
    <row r="507">
      <c r="A507" s="9">
        <f>IFERROR(__xludf.DUMMYFUNCTION("""COMPUTED_VALUE"""),35065.0)</f>
        <v>35065</v>
      </c>
      <c r="B507" s="6" t="str">
        <f>IFERROR(__xludf.DUMMYFUNCTION("""COMPUTED_VALUE"""),"gpc_cultura_pib")</f>
        <v>gpc_cultura_pib</v>
      </c>
      <c r="C507" s="6">
        <f>IFERROR(__xludf.DUMMYFUNCTION("""COMPUTED_VALUE"""),0.124231260659833)</f>
        <v>0.1242312607</v>
      </c>
      <c r="D507" s="6">
        <v>1996.0</v>
      </c>
      <c r="E507" s="6" t="s">
        <v>44</v>
      </c>
      <c r="F507" s="6">
        <v>0.124231260659833</v>
      </c>
    </row>
    <row r="508">
      <c r="A508" s="9">
        <f>IFERROR(__xludf.DUMMYFUNCTION("""COMPUTED_VALUE"""),35065.0)</f>
        <v>35065</v>
      </c>
      <c r="B508" s="6" t="str">
        <f>IFERROR(__xludf.DUMMYFUNCTION("""COMPUTED_VALUE"""),"gpc_educacion_cultura_sin_discriminar_pib")</f>
        <v>gpc_educacion_cultura_sin_discriminar_pib</v>
      </c>
      <c r="C508" s="6">
        <f>IFERROR(__xludf.DUMMYFUNCTION("""COMPUTED_VALUE"""),0.313730528474772)</f>
        <v>0.3137305285</v>
      </c>
      <c r="D508" s="6">
        <v>1996.0</v>
      </c>
      <c r="E508" s="6" t="s">
        <v>45</v>
      </c>
      <c r="F508" s="6">
        <v>0.313730528474772</v>
      </c>
    </row>
    <row r="509">
      <c r="A509" s="9">
        <f>IFERROR(__xludf.DUMMYFUNCTION("""COMPUTED_VALUE"""),35065.0)</f>
        <v>35065</v>
      </c>
      <c r="B509" s="6" t="str">
        <f>IFERROR(__xludf.DUMMYFUNCTION("""COMPUTED_VALUE"""),"gpc_atencion_salud_pib")</f>
        <v>gpc_atencion_salud_pib</v>
      </c>
      <c r="C509" s="6">
        <f>IFERROR(__xludf.DUMMYFUNCTION("""COMPUTED_VALUE"""),1.77634680551874)</f>
        <v>1.776346806</v>
      </c>
      <c r="D509" s="6">
        <v>1996.0</v>
      </c>
      <c r="E509" s="6" t="s">
        <v>46</v>
      </c>
      <c r="F509" s="6">
        <v>1.77634680551874</v>
      </c>
    </row>
    <row r="510">
      <c r="A510" s="9">
        <f>IFERROR(__xludf.DUMMYFUNCTION("""COMPUTED_VALUE"""),35065.0)</f>
        <v>35065</v>
      </c>
      <c r="B510" s="6" t="str">
        <f>IFERROR(__xludf.DUMMYFUNCTION("""COMPUTED_VALUE"""),"gpc_obras_sociales_salud_pib")</f>
        <v>gpc_obras_sociales_salud_pib</v>
      </c>
      <c r="C510" s="6">
        <f>IFERROR(__xludf.DUMMYFUNCTION("""COMPUTED_VALUE"""),1.95249260059647)</f>
        <v>1.952492601</v>
      </c>
      <c r="D510" s="6">
        <v>1996.0</v>
      </c>
      <c r="E510" s="6" t="s">
        <v>47</v>
      </c>
      <c r="F510" s="6">
        <v>1.95249260059647</v>
      </c>
    </row>
    <row r="511">
      <c r="A511" s="9">
        <f>IFERROR(__xludf.DUMMYFUNCTION("""COMPUTED_VALUE"""),35065.0)</f>
        <v>35065</v>
      </c>
      <c r="B511" s="6" t="str">
        <f>IFERROR(__xludf.DUMMYFUNCTION("""COMPUTED_VALUE"""),"gpc_inssjyp_salud_pib")</f>
        <v>gpc_inssjyp_salud_pib</v>
      </c>
      <c r="C511" s="6">
        <f>IFERROR(__xludf.DUMMYFUNCTION("""COMPUTED_VALUE"""),0.88158821922231)</f>
        <v>0.8815882192</v>
      </c>
      <c r="D511" s="6">
        <v>1996.0</v>
      </c>
      <c r="E511" s="6" t="s">
        <v>48</v>
      </c>
      <c r="F511" s="6">
        <v>0.88158821922231</v>
      </c>
    </row>
    <row r="512">
      <c r="A512" s="9">
        <f>IFERROR(__xludf.DUMMYFUNCTION("""COMPUTED_VALUE"""),35065.0)</f>
        <v>35065</v>
      </c>
      <c r="B512" s="6" t="str">
        <f>IFERROR(__xludf.DUMMYFUNCTION("""COMPUTED_VALUE"""),"gpc_agua_alcantarillado_pib")</f>
        <v>gpc_agua_alcantarillado_pib</v>
      </c>
      <c r="C512" s="6">
        <f>IFERROR(__xludf.DUMMYFUNCTION("""COMPUTED_VALUE"""),0.239706028849185)</f>
        <v>0.2397060288</v>
      </c>
      <c r="D512" s="6">
        <v>1996.0</v>
      </c>
      <c r="E512" s="6" t="s">
        <v>49</v>
      </c>
      <c r="F512" s="6">
        <v>0.239706028849185</v>
      </c>
    </row>
    <row r="513">
      <c r="A513" s="9">
        <f>IFERROR(__xludf.DUMMYFUNCTION("""COMPUTED_VALUE"""),35065.0)</f>
        <v>35065</v>
      </c>
      <c r="B513" s="6" t="str">
        <f>IFERROR(__xludf.DUMMYFUNCTION("""COMPUTED_VALUE"""),"gpc_vivienda_urbanismo_pib")</f>
        <v>gpc_vivienda_urbanismo_pib</v>
      </c>
      <c r="C513" s="6">
        <f>IFERROR(__xludf.DUMMYFUNCTION("""COMPUTED_VALUE"""),0.507466889832437)</f>
        <v>0.5074668898</v>
      </c>
      <c r="D513" s="6">
        <v>1996.0</v>
      </c>
      <c r="E513" s="6" t="s">
        <v>50</v>
      </c>
      <c r="F513" s="6">
        <v>0.507466889832437</v>
      </c>
    </row>
    <row r="514">
      <c r="A514" s="9">
        <f>IFERROR(__xludf.DUMMYFUNCTION("""COMPUTED_VALUE"""),35065.0)</f>
        <v>35065</v>
      </c>
      <c r="B514" s="6" t="str">
        <f>IFERROR(__xludf.DUMMYFUNCTION("""COMPUTED_VALUE"""),"gpc_promocion_asistencia_social_pib")</f>
        <v>gpc_promocion_asistencia_social_pib</v>
      </c>
      <c r="C514" s="6">
        <f>IFERROR(__xludf.DUMMYFUNCTION("""COMPUTED_VALUE"""),0.655766722681533)</f>
        <v>0.6557667227</v>
      </c>
      <c r="D514" s="6">
        <v>1996.0</v>
      </c>
      <c r="E514" s="6" t="s">
        <v>51</v>
      </c>
      <c r="F514" s="6">
        <v>0.655766722681533</v>
      </c>
    </row>
    <row r="515">
      <c r="A515" s="9">
        <f>IFERROR(__xludf.DUMMYFUNCTION("""COMPUTED_VALUE"""),35065.0)</f>
        <v>35065</v>
      </c>
      <c r="B515" s="6" t="str">
        <f>IFERROR(__xludf.DUMMYFUNCTION("""COMPUTED_VALUE"""),"gpc_obras_sociales_prestaciones_pib")</f>
        <v>gpc_obras_sociales_prestaciones_pib</v>
      </c>
      <c r="C515" s="6">
        <f>IFERROR(__xludf.DUMMYFUNCTION("""COMPUTED_VALUE"""),0.129580293588731)</f>
        <v>0.1295802936</v>
      </c>
      <c r="D515" s="6">
        <v>1996.0</v>
      </c>
      <c r="E515" s="6" t="s">
        <v>52</v>
      </c>
      <c r="F515" s="6">
        <v>0.129580293588731</v>
      </c>
    </row>
    <row r="516">
      <c r="A516" s="9">
        <f>IFERROR(__xludf.DUMMYFUNCTION("""COMPUTED_VALUE"""),35065.0)</f>
        <v>35065</v>
      </c>
      <c r="B516" s="6" t="str">
        <f>IFERROR(__xludf.DUMMYFUNCTION("""COMPUTED_VALUE"""),"gpc_inssjyp_prestaciones_pib")</f>
        <v>gpc_inssjyp_prestaciones_pib</v>
      </c>
      <c r="C516" s="6">
        <f>IFERROR(__xludf.DUMMYFUNCTION("""COMPUTED_VALUE"""),0.11525173750511)</f>
        <v>0.1152517375</v>
      </c>
      <c r="D516" s="6">
        <v>1996.0</v>
      </c>
      <c r="E516" s="6" t="s">
        <v>53</v>
      </c>
      <c r="F516" s="6">
        <v>0.11525173750511</v>
      </c>
    </row>
    <row r="517">
      <c r="A517" s="9">
        <f>IFERROR(__xludf.DUMMYFUNCTION("""COMPUTED_VALUE"""),35065.0)</f>
        <v>35065</v>
      </c>
      <c r="B517" s="6" t="str">
        <f>IFERROR(__xludf.DUMMYFUNCTION("""COMPUTED_VALUE"""),"gpc_prevision_social_pib")</f>
        <v>gpc_prevision_social_pib</v>
      </c>
      <c r="C517" s="6">
        <f>IFERROR(__xludf.DUMMYFUNCTION("""COMPUTED_VALUE"""),8.0038037992448)</f>
        <v>8.003803799</v>
      </c>
      <c r="D517" s="6">
        <v>1996.0</v>
      </c>
      <c r="E517" s="6" t="s">
        <v>54</v>
      </c>
      <c r="F517" s="6">
        <v>8.0038037992448</v>
      </c>
    </row>
    <row r="518">
      <c r="A518" s="9">
        <f>IFERROR(__xludf.DUMMYFUNCTION("""COMPUTED_VALUE"""),35065.0)</f>
        <v>35065</v>
      </c>
      <c r="B518" s="6" t="str">
        <f>IFERROR(__xludf.DUMMYFUNCTION("""COMPUTED_VALUE"""),"gpc_programas_empleo_pib")</f>
        <v>gpc_programas_empleo_pib</v>
      </c>
      <c r="C518" s="6">
        <f>IFERROR(__xludf.DUMMYFUNCTION("""COMPUTED_VALUE"""),0.264464537027145)</f>
        <v>0.264464537</v>
      </c>
      <c r="D518" s="6">
        <v>1996.0</v>
      </c>
      <c r="E518" s="6" t="s">
        <v>55</v>
      </c>
      <c r="F518" s="6">
        <v>0.264464537027145</v>
      </c>
    </row>
    <row r="519">
      <c r="A519" s="9">
        <f>IFERROR(__xludf.DUMMYFUNCTION("""COMPUTED_VALUE"""),35065.0)</f>
        <v>35065</v>
      </c>
      <c r="B519" s="6" t="str">
        <f>IFERROR(__xludf.DUMMYFUNCTION("""COMPUTED_VALUE"""),"gpc_asignaciones_familiares_pib")</f>
        <v>gpc_asignaciones_familiares_pib</v>
      </c>
      <c r="C519" s="6">
        <f>IFERROR(__xludf.DUMMYFUNCTION("""COMPUTED_VALUE"""),0.645259978778878)</f>
        <v>0.6452599788</v>
      </c>
      <c r="D519" s="6">
        <v>1996.0</v>
      </c>
      <c r="E519" s="6" t="s">
        <v>56</v>
      </c>
      <c r="F519" s="6">
        <v>0.645259978778878</v>
      </c>
    </row>
    <row r="520">
      <c r="A520" s="9">
        <f>IFERROR(__xludf.DUMMYFUNCTION("""COMPUTED_VALUE"""),35065.0)</f>
        <v>35065</v>
      </c>
      <c r="B520" s="6" t="str">
        <f>IFERROR(__xludf.DUMMYFUNCTION("""COMPUTED_VALUE"""),"gpc_otros_servicios_urbanos_pib")</f>
        <v>gpc_otros_servicios_urbanos_pib</v>
      </c>
      <c r="C520" s="6">
        <f>IFERROR(__xludf.DUMMYFUNCTION("""COMPUTED_VALUE"""),0.805970978704528)</f>
        <v>0.8059709787</v>
      </c>
      <c r="D520" s="6">
        <v>1996.0</v>
      </c>
      <c r="E520" s="6" t="s">
        <v>57</v>
      </c>
      <c r="F520" s="6">
        <v>0.805970978704528</v>
      </c>
    </row>
    <row r="521">
      <c r="A521" s="9">
        <f>IFERROR(__xludf.DUMMYFUNCTION("""COMPUTED_VALUE"""),35065.0)</f>
        <v>35065</v>
      </c>
      <c r="B521" s="6" t="str">
        <f>IFERROR(__xludf.DUMMYFUNCTION("""COMPUTED_VALUE"""),"gpc_servicios_economicos_pib")</f>
        <v>gpc_servicios_economicos_pib</v>
      </c>
      <c r="C521" s="6">
        <f>IFERROR(__xludf.DUMMYFUNCTION("""COMPUTED_VALUE"""),2.34829520768146)</f>
        <v>2.348295208</v>
      </c>
      <c r="D521" s="6">
        <v>1996.0</v>
      </c>
      <c r="E521" s="6" t="s">
        <v>58</v>
      </c>
      <c r="F521" s="6">
        <v>2.34829520768146</v>
      </c>
    </row>
    <row r="522">
      <c r="A522" s="9">
        <f>IFERROR(__xludf.DUMMYFUNCTION("""COMPUTED_VALUE"""),35065.0)</f>
        <v>35065</v>
      </c>
      <c r="B522" s="6" t="str">
        <f>IFERROR(__xludf.DUMMYFUNCTION("""COMPUTED_VALUE"""),"gpc_produccion_primaria_pib")</f>
        <v>gpc_produccion_primaria_pib</v>
      </c>
      <c r="C522" s="6">
        <f>IFERROR(__xludf.DUMMYFUNCTION("""COMPUTED_VALUE"""),0.309079027213115)</f>
        <v>0.3090790272</v>
      </c>
      <c r="D522" s="6">
        <v>1996.0</v>
      </c>
      <c r="E522" s="6" t="s">
        <v>59</v>
      </c>
      <c r="F522" s="6">
        <v>0.309079027213115</v>
      </c>
    </row>
    <row r="523">
      <c r="A523" s="9">
        <f>IFERROR(__xludf.DUMMYFUNCTION("""COMPUTED_VALUE"""),35065.0)</f>
        <v>35065</v>
      </c>
      <c r="B523" s="6" t="str">
        <f>IFERROR(__xludf.DUMMYFUNCTION("""COMPUTED_VALUE"""),"gpc_energia_combustible_pib")</f>
        <v>gpc_energia_combustible_pib</v>
      </c>
      <c r="C523" s="6">
        <f>IFERROR(__xludf.DUMMYFUNCTION("""COMPUTED_VALUE"""),0.378566490850541)</f>
        <v>0.3785664909</v>
      </c>
      <c r="D523" s="6">
        <v>1996.0</v>
      </c>
      <c r="E523" s="6" t="s">
        <v>60</v>
      </c>
      <c r="F523" s="6">
        <v>0.378566490850541</v>
      </c>
    </row>
    <row r="524">
      <c r="A524" s="9">
        <f>IFERROR(__xludf.DUMMYFUNCTION("""COMPUTED_VALUE"""),35065.0)</f>
        <v>35065</v>
      </c>
      <c r="B524" s="6" t="str">
        <f>IFERROR(__xludf.DUMMYFUNCTION("""COMPUTED_VALUE"""),"gpc_industria_pib")</f>
        <v>gpc_industria_pib</v>
      </c>
      <c r="C524" s="6">
        <f>IFERROR(__xludf.DUMMYFUNCTION("""COMPUTED_VALUE"""),0.073356219170182)</f>
        <v>0.07335621917</v>
      </c>
      <c r="D524" s="6">
        <v>1996.0</v>
      </c>
      <c r="E524" s="6" t="s">
        <v>61</v>
      </c>
      <c r="F524" s="6">
        <v>0.073356219170182</v>
      </c>
    </row>
    <row r="525">
      <c r="A525" s="9">
        <f>IFERROR(__xludf.DUMMYFUNCTION("""COMPUTED_VALUE"""),35065.0)</f>
        <v>35065</v>
      </c>
      <c r="B525" s="6" t="str">
        <f>IFERROR(__xludf.DUMMYFUNCTION("""COMPUTED_VALUE"""),"gpc_transporte_pib")</f>
        <v>gpc_transporte_pib</v>
      </c>
      <c r="C525" s="6">
        <f>IFERROR(__xludf.DUMMYFUNCTION("""COMPUTED_VALUE"""),0.912004506648916)</f>
        <v>0.9120045066</v>
      </c>
      <c r="D525" s="6">
        <v>1996.0</v>
      </c>
      <c r="E525" s="6" t="s">
        <v>62</v>
      </c>
      <c r="F525" s="6">
        <v>0.912004506648916</v>
      </c>
    </row>
    <row r="526">
      <c r="A526" s="9">
        <f>IFERROR(__xludf.DUMMYFUNCTION("""COMPUTED_VALUE"""),35065.0)</f>
        <v>35065</v>
      </c>
      <c r="B526" s="6" t="str">
        <f>IFERROR(__xludf.DUMMYFUNCTION("""COMPUTED_VALUE"""),"gpc_comunicaciones_pib")</f>
        <v>gpc_comunicaciones_pib</v>
      </c>
      <c r="C526" s="6">
        <f>IFERROR(__xludf.DUMMYFUNCTION("""COMPUTED_VALUE"""),0.0595519704441964)</f>
        <v>0.05955197044</v>
      </c>
      <c r="D526" s="6">
        <v>1996.0</v>
      </c>
      <c r="E526" s="6" t="s">
        <v>63</v>
      </c>
      <c r="F526" s="6">
        <v>0.0595519704441964</v>
      </c>
    </row>
    <row r="527">
      <c r="A527" s="9">
        <f>IFERROR(__xludf.DUMMYFUNCTION("""COMPUTED_VALUE"""),35065.0)</f>
        <v>35065</v>
      </c>
      <c r="B527" s="6" t="str">
        <f>IFERROR(__xludf.DUMMYFUNCTION("""COMPUTED_VALUE"""),"gpc_otros_servicios_economicos_pib")</f>
        <v>gpc_otros_servicios_economicos_pib</v>
      </c>
      <c r="C527" s="6">
        <f>IFERROR(__xludf.DUMMYFUNCTION("""COMPUTED_VALUE"""),0.615736993354515)</f>
        <v>0.6157369934</v>
      </c>
      <c r="D527" s="6">
        <v>1996.0</v>
      </c>
      <c r="E527" s="6" t="s">
        <v>64</v>
      </c>
      <c r="F527" s="6">
        <v>0.615736993354515</v>
      </c>
    </row>
    <row r="528">
      <c r="A528" s="9">
        <f>IFERROR(__xludf.DUMMYFUNCTION("""COMPUTED_VALUE"""),35065.0)</f>
        <v>35065</v>
      </c>
      <c r="B528" s="6" t="str">
        <f>IFERROR(__xludf.DUMMYFUNCTION("""COMPUTED_VALUE"""),"gpc_servicios_deuda_publica_pib")</f>
        <v>gpc_servicios_deuda_publica_pib</v>
      </c>
      <c r="C528" s="6">
        <f>IFERROR(__xludf.DUMMYFUNCTION("""COMPUTED_VALUE"""),2.2089258211542)</f>
        <v>2.208925821</v>
      </c>
      <c r="D528" s="6">
        <v>1996.0</v>
      </c>
      <c r="E528" s="6" t="s">
        <v>65</v>
      </c>
      <c r="F528" s="6">
        <v>2.2089258211542</v>
      </c>
    </row>
    <row r="529">
      <c r="A529" s="9">
        <f>IFERROR(__xludf.DUMMYFUNCTION("""COMPUTED_VALUE"""),35431.0)</f>
        <v>35431</v>
      </c>
      <c r="B529" s="6" t="str">
        <f>IFERROR(__xludf.DUMMYFUNCTION("""COMPUTED_VALUE"""),"gpc_pib")</f>
        <v>gpc_pib</v>
      </c>
      <c r="C529" s="6">
        <f>IFERROR(__xludf.DUMMYFUNCTION("""COMPUTED_VALUE"""),30.3567455599236)</f>
        <v>30.35674556</v>
      </c>
      <c r="D529" s="6">
        <v>1997.0</v>
      </c>
      <c r="E529" s="6" t="s">
        <v>66</v>
      </c>
      <c r="F529" s="6">
        <v>30.3567455599236</v>
      </c>
    </row>
    <row r="530">
      <c r="A530" s="9">
        <f>IFERROR(__xludf.DUMMYFUNCTION("""COMPUTED_VALUE"""),35431.0)</f>
        <v>35431</v>
      </c>
      <c r="B530" s="6" t="str">
        <f>IFERROR(__xludf.DUMMYFUNCTION("""COMPUTED_VALUE"""),"gpc_funcionamiento_estado_pib")</f>
        <v>gpc_funcionamiento_estado_pib</v>
      </c>
      <c r="C530" s="6">
        <f>IFERROR(__xludf.DUMMYFUNCTION("""COMPUTED_VALUE"""),5.65858227739606)</f>
        <v>5.658582277</v>
      </c>
      <c r="D530" s="6">
        <v>1997.0</v>
      </c>
      <c r="E530" s="6" t="s">
        <v>36</v>
      </c>
      <c r="F530" s="6">
        <v>5.65858227739606</v>
      </c>
    </row>
    <row r="531">
      <c r="A531" s="9">
        <f>IFERROR(__xludf.DUMMYFUNCTION("""COMPUTED_VALUE"""),35431.0)</f>
        <v>35431</v>
      </c>
      <c r="B531" s="6" t="str">
        <f>IFERROR(__xludf.DUMMYFUNCTION("""COMPUTED_VALUE"""),"gpc_administracion_general_pib")</f>
        <v>gpc_administracion_general_pib</v>
      </c>
      <c r="C531" s="6">
        <f>IFERROR(__xludf.DUMMYFUNCTION("""COMPUTED_VALUE"""),2.78113446506157)</f>
        <v>2.781134465</v>
      </c>
      <c r="D531" s="6">
        <v>1997.0</v>
      </c>
      <c r="E531" s="6" t="s">
        <v>37</v>
      </c>
      <c r="F531" s="6">
        <v>2.78113446506157</v>
      </c>
    </row>
    <row r="532">
      <c r="A532" s="9">
        <f>IFERROR(__xludf.DUMMYFUNCTION("""COMPUTED_VALUE"""),35431.0)</f>
        <v>35431</v>
      </c>
      <c r="B532" s="6" t="str">
        <f>IFERROR(__xludf.DUMMYFUNCTION("""COMPUTED_VALUE"""),"gpc_justicia_pib")</f>
        <v>gpc_justicia_pib</v>
      </c>
      <c r="C532" s="6">
        <f>IFERROR(__xludf.DUMMYFUNCTION("""COMPUTED_VALUE"""),0.754356183576106)</f>
        <v>0.7543561836</v>
      </c>
      <c r="D532" s="6">
        <v>1997.0</v>
      </c>
      <c r="E532" s="6" t="s">
        <v>38</v>
      </c>
      <c r="F532" s="6">
        <v>0.754356183576106</v>
      </c>
    </row>
    <row r="533">
      <c r="A533" s="9">
        <f>IFERROR(__xludf.DUMMYFUNCTION("""COMPUTED_VALUE"""),35431.0)</f>
        <v>35431</v>
      </c>
      <c r="B533" s="6" t="str">
        <f>IFERROR(__xludf.DUMMYFUNCTION("""COMPUTED_VALUE"""),"gpc_defensa_seguridad_pib")</f>
        <v>gpc_defensa_seguridad_pib</v>
      </c>
      <c r="C533" s="6">
        <f>IFERROR(__xludf.DUMMYFUNCTION("""COMPUTED_VALUE"""),2.12309162875838)</f>
        <v>2.123091629</v>
      </c>
      <c r="D533" s="6">
        <v>1997.0</v>
      </c>
      <c r="E533" s="6" t="s">
        <v>39</v>
      </c>
      <c r="F533" s="6">
        <v>2.12309162875838</v>
      </c>
    </row>
    <row r="534">
      <c r="A534" s="9">
        <f>IFERROR(__xludf.DUMMYFUNCTION("""COMPUTED_VALUE"""),35431.0)</f>
        <v>35431</v>
      </c>
      <c r="B534" s="6" t="str">
        <f>IFERROR(__xludf.DUMMYFUNCTION("""COMPUTED_VALUE"""),"gpc_servicios_sociales_pib")</f>
        <v>gpc_servicios_sociales_pib</v>
      </c>
      <c r="C534" s="6">
        <f>IFERROR(__xludf.DUMMYFUNCTION("""COMPUTED_VALUE"""),19.8247572105816)</f>
        <v>19.82475721</v>
      </c>
      <c r="D534" s="6">
        <v>1997.0</v>
      </c>
      <c r="E534" s="6" t="s">
        <v>40</v>
      </c>
      <c r="F534" s="6">
        <v>19.8247572105816</v>
      </c>
    </row>
    <row r="535">
      <c r="A535" s="9">
        <f>IFERROR(__xludf.DUMMYFUNCTION("""COMPUTED_VALUE"""),35431.0)</f>
        <v>35431</v>
      </c>
      <c r="B535" s="6" t="str">
        <f>IFERROR(__xludf.DUMMYFUNCTION("""COMPUTED_VALUE"""),"gpc_educacion_basica_pib")</f>
        <v>gpc_educacion_basica_pib</v>
      </c>
      <c r="C535" s="6">
        <f>IFERROR(__xludf.DUMMYFUNCTION("""COMPUTED_VALUE"""),2.84150035959537)</f>
        <v>2.84150036</v>
      </c>
      <c r="D535" s="6">
        <v>1997.0</v>
      </c>
      <c r="E535" s="6" t="s">
        <v>41</v>
      </c>
      <c r="F535" s="6">
        <v>2.84150035959537</v>
      </c>
    </row>
    <row r="536">
      <c r="A536" s="9">
        <f>IFERROR(__xludf.DUMMYFUNCTION("""COMPUTED_VALUE"""),35431.0)</f>
        <v>35431</v>
      </c>
      <c r="B536" s="6" t="str">
        <f>IFERROR(__xludf.DUMMYFUNCTION("""COMPUTED_VALUE"""),"gpc_educacion_universitaria_pib")</f>
        <v>gpc_educacion_universitaria_pib</v>
      </c>
      <c r="C536" s="6">
        <f>IFERROR(__xludf.DUMMYFUNCTION("""COMPUTED_VALUE"""),0.807516147356856)</f>
        <v>0.8075161474</v>
      </c>
      <c r="D536" s="6">
        <v>1997.0</v>
      </c>
      <c r="E536" s="6" t="s">
        <v>42</v>
      </c>
      <c r="F536" s="6">
        <v>0.807516147356856</v>
      </c>
    </row>
    <row r="537">
      <c r="A537" s="9">
        <f>IFERROR(__xludf.DUMMYFUNCTION("""COMPUTED_VALUE"""),35431.0)</f>
        <v>35431</v>
      </c>
      <c r="B537" s="6" t="str">
        <f>IFERROR(__xludf.DUMMYFUNCTION("""COMPUTED_VALUE"""),"gpc_ciencia_tecnica_pib")</f>
        <v>gpc_ciencia_tecnica_pib</v>
      </c>
      <c r="C537" s="6">
        <f>IFERROR(__xludf.DUMMYFUNCTION("""COMPUTED_VALUE"""),0.217694301264435)</f>
        <v>0.2176943013</v>
      </c>
      <c r="D537" s="6">
        <v>1997.0</v>
      </c>
      <c r="E537" s="6" t="s">
        <v>43</v>
      </c>
      <c r="F537" s="6">
        <v>0.217694301264435</v>
      </c>
    </row>
    <row r="538">
      <c r="A538" s="9">
        <f>IFERROR(__xludf.DUMMYFUNCTION("""COMPUTED_VALUE"""),35431.0)</f>
        <v>35431</v>
      </c>
      <c r="B538" s="6" t="str">
        <f>IFERROR(__xludf.DUMMYFUNCTION("""COMPUTED_VALUE"""),"gpc_cultura_pib")</f>
        <v>gpc_cultura_pib</v>
      </c>
      <c r="C538" s="6">
        <f>IFERROR(__xludf.DUMMYFUNCTION("""COMPUTED_VALUE"""),0.120708548160231)</f>
        <v>0.1207085482</v>
      </c>
      <c r="D538" s="6">
        <v>1997.0</v>
      </c>
      <c r="E538" s="6" t="s">
        <v>44</v>
      </c>
      <c r="F538" s="6">
        <v>0.120708548160231</v>
      </c>
    </row>
    <row r="539">
      <c r="A539" s="9">
        <f>IFERROR(__xludf.DUMMYFUNCTION("""COMPUTED_VALUE"""),35431.0)</f>
        <v>35431</v>
      </c>
      <c r="B539" s="6" t="str">
        <f>IFERROR(__xludf.DUMMYFUNCTION("""COMPUTED_VALUE"""),"gpc_educacion_cultura_sin_discriminar_pib")</f>
        <v>gpc_educacion_cultura_sin_discriminar_pib</v>
      </c>
      <c r="C539" s="6">
        <f>IFERROR(__xludf.DUMMYFUNCTION("""COMPUTED_VALUE"""),0.327149911627445)</f>
        <v>0.3271499116</v>
      </c>
      <c r="D539" s="6">
        <v>1997.0</v>
      </c>
      <c r="E539" s="6" t="s">
        <v>45</v>
      </c>
      <c r="F539" s="6">
        <v>0.327149911627445</v>
      </c>
    </row>
    <row r="540">
      <c r="A540" s="9">
        <f>IFERROR(__xludf.DUMMYFUNCTION("""COMPUTED_VALUE"""),35431.0)</f>
        <v>35431</v>
      </c>
      <c r="B540" s="6" t="str">
        <f>IFERROR(__xludf.DUMMYFUNCTION("""COMPUTED_VALUE"""),"gpc_atencion_salud_pib")</f>
        <v>gpc_atencion_salud_pib</v>
      </c>
      <c r="C540" s="6">
        <f>IFERROR(__xludf.DUMMYFUNCTION("""COMPUTED_VALUE"""),1.7689563234278)</f>
        <v>1.768956323</v>
      </c>
      <c r="D540" s="6">
        <v>1997.0</v>
      </c>
      <c r="E540" s="6" t="s">
        <v>46</v>
      </c>
      <c r="F540" s="6">
        <v>1.7689563234278</v>
      </c>
    </row>
    <row r="541">
      <c r="A541" s="9">
        <f>IFERROR(__xludf.DUMMYFUNCTION("""COMPUTED_VALUE"""),35431.0)</f>
        <v>35431</v>
      </c>
      <c r="B541" s="6" t="str">
        <f>IFERROR(__xludf.DUMMYFUNCTION("""COMPUTED_VALUE"""),"gpc_obras_sociales_salud_pib")</f>
        <v>gpc_obras_sociales_salud_pib</v>
      </c>
      <c r="C541" s="6">
        <f>IFERROR(__xludf.DUMMYFUNCTION("""COMPUTED_VALUE"""),1.93280721491547)</f>
        <v>1.932807215</v>
      </c>
      <c r="D541" s="6">
        <v>1997.0</v>
      </c>
      <c r="E541" s="6" t="s">
        <v>47</v>
      </c>
      <c r="F541" s="6">
        <v>1.93280721491547</v>
      </c>
    </row>
    <row r="542">
      <c r="A542" s="9">
        <f>IFERROR(__xludf.DUMMYFUNCTION("""COMPUTED_VALUE"""),35431.0)</f>
        <v>35431</v>
      </c>
      <c r="B542" s="6" t="str">
        <f>IFERROR(__xludf.DUMMYFUNCTION("""COMPUTED_VALUE"""),"gpc_inssjyp_salud_pib")</f>
        <v>gpc_inssjyp_salud_pib</v>
      </c>
      <c r="C542" s="6">
        <f>IFERROR(__xludf.DUMMYFUNCTION("""COMPUTED_VALUE"""),0.823126523562937)</f>
        <v>0.8231265236</v>
      </c>
      <c r="D542" s="6">
        <v>1997.0</v>
      </c>
      <c r="E542" s="6" t="s">
        <v>48</v>
      </c>
      <c r="F542" s="6">
        <v>0.823126523562937</v>
      </c>
    </row>
    <row r="543">
      <c r="A543" s="9">
        <f>IFERROR(__xludf.DUMMYFUNCTION("""COMPUTED_VALUE"""),35431.0)</f>
        <v>35431</v>
      </c>
      <c r="B543" s="6" t="str">
        <f>IFERROR(__xludf.DUMMYFUNCTION("""COMPUTED_VALUE"""),"gpc_agua_alcantarillado_pib")</f>
        <v>gpc_agua_alcantarillado_pib</v>
      </c>
      <c r="C543" s="6">
        <f>IFERROR(__xludf.DUMMYFUNCTION("""COMPUTED_VALUE"""),0.256295957508114)</f>
        <v>0.2562959575</v>
      </c>
      <c r="D543" s="6">
        <v>1997.0</v>
      </c>
      <c r="E543" s="6" t="s">
        <v>49</v>
      </c>
      <c r="F543" s="6">
        <v>0.256295957508114</v>
      </c>
    </row>
    <row r="544">
      <c r="A544" s="9">
        <f>IFERROR(__xludf.DUMMYFUNCTION("""COMPUTED_VALUE"""),35431.0)</f>
        <v>35431</v>
      </c>
      <c r="B544" s="6" t="str">
        <f>IFERROR(__xludf.DUMMYFUNCTION("""COMPUTED_VALUE"""),"gpc_vivienda_urbanismo_pib")</f>
        <v>gpc_vivienda_urbanismo_pib</v>
      </c>
      <c r="C544" s="6">
        <f>IFERROR(__xludf.DUMMYFUNCTION("""COMPUTED_VALUE"""),0.562512889176909)</f>
        <v>0.5625128892</v>
      </c>
      <c r="D544" s="6">
        <v>1997.0</v>
      </c>
      <c r="E544" s="6" t="s">
        <v>50</v>
      </c>
      <c r="F544" s="6">
        <v>0.562512889176909</v>
      </c>
    </row>
    <row r="545">
      <c r="A545" s="9">
        <f>IFERROR(__xludf.DUMMYFUNCTION("""COMPUTED_VALUE"""),35431.0)</f>
        <v>35431</v>
      </c>
      <c r="B545" s="6" t="str">
        <f>IFERROR(__xludf.DUMMYFUNCTION("""COMPUTED_VALUE"""),"gpc_promocion_asistencia_social_pib")</f>
        <v>gpc_promocion_asistencia_social_pib</v>
      </c>
      <c r="C545" s="6">
        <f>IFERROR(__xludf.DUMMYFUNCTION("""COMPUTED_VALUE"""),0.793227832441716)</f>
        <v>0.7932278324</v>
      </c>
      <c r="D545" s="6">
        <v>1997.0</v>
      </c>
      <c r="E545" s="6" t="s">
        <v>51</v>
      </c>
      <c r="F545" s="6">
        <v>0.793227832441716</v>
      </c>
    </row>
    <row r="546">
      <c r="A546" s="9">
        <f>IFERROR(__xludf.DUMMYFUNCTION("""COMPUTED_VALUE"""),35431.0)</f>
        <v>35431</v>
      </c>
      <c r="B546" s="6" t="str">
        <f>IFERROR(__xludf.DUMMYFUNCTION("""COMPUTED_VALUE"""),"gpc_obras_sociales_prestaciones_pib")</f>
        <v>gpc_obras_sociales_prestaciones_pib</v>
      </c>
      <c r="C546" s="6">
        <f>IFERROR(__xludf.DUMMYFUNCTION("""COMPUTED_VALUE"""),0.121805642887301)</f>
        <v>0.1218056429</v>
      </c>
      <c r="D546" s="6">
        <v>1997.0</v>
      </c>
      <c r="E546" s="6" t="s">
        <v>52</v>
      </c>
      <c r="F546" s="6">
        <v>0.121805642887301</v>
      </c>
    </row>
    <row r="547">
      <c r="A547" s="9">
        <f>IFERROR(__xludf.DUMMYFUNCTION("""COMPUTED_VALUE"""),35431.0)</f>
        <v>35431</v>
      </c>
      <c r="B547" s="6" t="str">
        <f>IFERROR(__xludf.DUMMYFUNCTION("""COMPUTED_VALUE"""),"gpc_inssjyp_prestaciones_pib")</f>
        <v>gpc_inssjyp_prestaciones_pib</v>
      </c>
      <c r="C547" s="6">
        <f>IFERROR(__xludf.DUMMYFUNCTION("""COMPUTED_VALUE"""),0.121581716910437)</f>
        <v>0.1215817169</v>
      </c>
      <c r="D547" s="6">
        <v>1997.0</v>
      </c>
      <c r="E547" s="6" t="s">
        <v>53</v>
      </c>
      <c r="F547" s="6">
        <v>0.121581716910437</v>
      </c>
    </row>
    <row r="548">
      <c r="A548" s="9">
        <f>IFERROR(__xludf.DUMMYFUNCTION("""COMPUTED_VALUE"""),35431.0)</f>
        <v>35431</v>
      </c>
      <c r="B548" s="6" t="str">
        <f>IFERROR(__xludf.DUMMYFUNCTION("""COMPUTED_VALUE"""),"gpc_prevision_social_pib")</f>
        <v>gpc_prevision_social_pib</v>
      </c>
      <c r="C548" s="6">
        <f>IFERROR(__xludf.DUMMYFUNCTION("""COMPUTED_VALUE"""),7.50334502343186)</f>
        <v>7.503345023</v>
      </c>
      <c r="D548" s="6">
        <v>1997.0</v>
      </c>
      <c r="E548" s="6" t="s">
        <v>54</v>
      </c>
      <c r="F548" s="6">
        <v>7.50334502343186</v>
      </c>
    </row>
    <row r="549">
      <c r="A549" s="9">
        <f>IFERROR(__xludf.DUMMYFUNCTION("""COMPUTED_VALUE"""),35431.0)</f>
        <v>35431</v>
      </c>
      <c r="B549" s="6" t="str">
        <f>IFERROR(__xludf.DUMMYFUNCTION("""COMPUTED_VALUE"""),"gpc_programas_empleo_pib")</f>
        <v>gpc_programas_empleo_pib</v>
      </c>
      <c r="C549" s="6">
        <f>IFERROR(__xludf.DUMMYFUNCTION("""COMPUTED_VALUE"""),0.274759928380136)</f>
        <v>0.2747599284</v>
      </c>
      <c r="D549" s="6">
        <v>1997.0</v>
      </c>
      <c r="E549" s="6" t="s">
        <v>55</v>
      </c>
      <c r="F549" s="6">
        <v>0.274759928380136</v>
      </c>
    </row>
    <row r="550">
      <c r="A550" s="9">
        <f>IFERROR(__xludf.DUMMYFUNCTION("""COMPUTED_VALUE"""),35431.0)</f>
        <v>35431</v>
      </c>
      <c r="B550" s="6" t="str">
        <f>IFERROR(__xludf.DUMMYFUNCTION("""COMPUTED_VALUE"""),"gpc_asignaciones_familiares_pib")</f>
        <v>gpc_asignaciones_familiares_pib</v>
      </c>
      <c r="C550" s="6">
        <f>IFERROR(__xludf.DUMMYFUNCTION("""COMPUTED_VALUE"""),0.586862968097555)</f>
        <v>0.5868629681</v>
      </c>
      <c r="D550" s="6">
        <v>1997.0</v>
      </c>
      <c r="E550" s="6" t="s">
        <v>56</v>
      </c>
      <c r="F550" s="6">
        <v>0.586862968097555</v>
      </c>
    </row>
    <row r="551">
      <c r="A551" s="9">
        <f>IFERROR(__xludf.DUMMYFUNCTION("""COMPUTED_VALUE"""),35431.0)</f>
        <v>35431</v>
      </c>
      <c r="B551" s="6" t="str">
        <f>IFERROR(__xludf.DUMMYFUNCTION("""COMPUTED_VALUE"""),"gpc_otros_servicios_urbanos_pib")</f>
        <v>gpc_otros_servicios_urbanos_pib</v>
      </c>
      <c r="C551" s="6">
        <f>IFERROR(__xludf.DUMMYFUNCTION("""COMPUTED_VALUE"""),0.764905921837046)</f>
        <v>0.7649059218</v>
      </c>
      <c r="D551" s="6">
        <v>1997.0</v>
      </c>
      <c r="E551" s="6" t="s">
        <v>57</v>
      </c>
      <c r="F551" s="6">
        <v>0.764905921837046</v>
      </c>
    </row>
    <row r="552">
      <c r="A552" s="9">
        <f>IFERROR(__xludf.DUMMYFUNCTION("""COMPUTED_VALUE"""),35431.0)</f>
        <v>35431</v>
      </c>
      <c r="B552" s="6" t="str">
        <f>IFERROR(__xludf.DUMMYFUNCTION("""COMPUTED_VALUE"""),"gpc_servicios_economicos_pib")</f>
        <v>gpc_servicios_economicos_pib</v>
      </c>
      <c r="C552" s="6">
        <f>IFERROR(__xludf.DUMMYFUNCTION("""COMPUTED_VALUE"""),2.20044067126459)</f>
        <v>2.200440671</v>
      </c>
      <c r="D552" s="6">
        <v>1997.0</v>
      </c>
      <c r="E552" s="6" t="s">
        <v>58</v>
      </c>
      <c r="F552" s="6">
        <v>2.20044067126459</v>
      </c>
    </row>
    <row r="553">
      <c r="A553" s="9">
        <f>IFERROR(__xludf.DUMMYFUNCTION("""COMPUTED_VALUE"""),35431.0)</f>
        <v>35431</v>
      </c>
      <c r="B553" s="6" t="str">
        <f>IFERROR(__xludf.DUMMYFUNCTION("""COMPUTED_VALUE"""),"gpc_produccion_primaria_pib")</f>
        <v>gpc_produccion_primaria_pib</v>
      </c>
      <c r="C553" s="6">
        <f>IFERROR(__xludf.DUMMYFUNCTION("""COMPUTED_VALUE"""),0.30356232743696)</f>
        <v>0.3035623274</v>
      </c>
      <c r="D553" s="6">
        <v>1997.0</v>
      </c>
      <c r="E553" s="6" t="s">
        <v>59</v>
      </c>
      <c r="F553" s="6">
        <v>0.30356232743696</v>
      </c>
    </row>
    <row r="554">
      <c r="A554" s="9">
        <f>IFERROR(__xludf.DUMMYFUNCTION("""COMPUTED_VALUE"""),35431.0)</f>
        <v>35431</v>
      </c>
      <c r="B554" s="6" t="str">
        <f>IFERROR(__xludf.DUMMYFUNCTION("""COMPUTED_VALUE"""),"gpc_energia_combustible_pib")</f>
        <v>gpc_energia_combustible_pib</v>
      </c>
      <c r="C554" s="6">
        <f>IFERROR(__xludf.DUMMYFUNCTION("""COMPUTED_VALUE"""),0.323512100286619)</f>
        <v>0.3235121003</v>
      </c>
      <c r="D554" s="6">
        <v>1997.0</v>
      </c>
      <c r="E554" s="6" t="s">
        <v>60</v>
      </c>
      <c r="F554" s="6">
        <v>0.323512100286619</v>
      </c>
    </row>
    <row r="555">
      <c r="A555" s="9">
        <f>IFERROR(__xludf.DUMMYFUNCTION("""COMPUTED_VALUE"""),35431.0)</f>
        <v>35431</v>
      </c>
      <c r="B555" s="6" t="str">
        <f>IFERROR(__xludf.DUMMYFUNCTION("""COMPUTED_VALUE"""),"gpc_industria_pib")</f>
        <v>gpc_industria_pib</v>
      </c>
      <c r="C555" s="6">
        <f>IFERROR(__xludf.DUMMYFUNCTION("""COMPUTED_VALUE"""),0.0725810296430151)</f>
        <v>0.07258102964</v>
      </c>
      <c r="D555" s="6">
        <v>1997.0</v>
      </c>
      <c r="E555" s="6" t="s">
        <v>61</v>
      </c>
      <c r="F555" s="6">
        <v>0.0725810296430151</v>
      </c>
    </row>
    <row r="556">
      <c r="A556" s="9">
        <f>IFERROR(__xludf.DUMMYFUNCTION("""COMPUTED_VALUE"""),35431.0)</f>
        <v>35431</v>
      </c>
      <c r="B556" s="6" t="str">
        <f>IFERROR(__xludf.DUMMYFUNCTION("""COMPUTED_VALUE"""),"gpc_transporte_pib")</f>
        <v>gpc_transporte_pib</v>
      </c>
      <c r="C556" s="6">
        <f>IFERROR(__xludf.DUMMYFUNCTION("""COMPUTED_VALUE"""),1.06865182187969)</f>
        <v>1.068651822</v>
      </c>
      <c r="D556" s="6">
        <v>1997.0</v>
      </c>
      <c r="E556" s="6" t="s">
        <v>62</v>
      </c>
      <c r="F556" s="6">
        <v>1.06865182187969</v>
      </c>
    </row>
    <row r="557">
      <c r="A557" s="9">
        <f>IFERROR(__xludf.DUMMYFUNCTION("""COMPUTED_VALUE"""),35431.0)</f>
        <v>35431</v>
      </c>
      <c r="B557" s="6" t="str">
        <f>IFERROR(__xludf.DUMMYFUNCTION("""COMPUTED_VALUE"""),"gpc_comunicaciones_pib")</f>
        <v>gpc_comunicaciones_pib</v>
      </c>
      <c r="C557" s="6">
        <f>IFERROR(__xludf.DUMMYFUNCTION("""COMPUTED_VALUE"""),0.0953916899035385)</f>
        <v>0.0953916899</v>
      </c>
      <c r="D557" s="6">
        <v>1997.0</v>
      </c>
      <c r="E557" s="6" t="s">
        <v>63</v>
      </c>
      <c r="F557" s="6">
        <v>0.0953916899035385</v>
      </c>
    </row>
    <row r="558">
      <c r="A558" s="9">
        <f>IFERROR(__xludf.DUMMYFUNCTION("""COMPUTED_VALUE"""),35431.0)</f>
        <v>35431</v>
      </c>
      <c r="B558" s="6" t="str">
        <f>IFERROR(__xludf.DUMMYFUNCTION("""COMPUTED_VALUE"""),"gpc_otros_servicios_economicos_pib")</f>
        <v>gpc_otros_servicios_economicos_pib</v>
      </c>
      <c r="C558" s="6">
        <f>IFERROR(__xludf.DUMMYFUNCTION("""COMPUTED_VALUE"""),0.336741702114758)</f>
        <v>0.3367417021</v>
      </c>
      <c r="D558" s="6">
        <v>1997.0</v>
      </c>
      <c r="E558" s="6" t="s">
        <v>64</v>
      </c>
      <c r="F558" s="6">
        <v>0.336741702114758</v>
      </c>
    </row>
    <row r="559">
      <c r="A559" s="9">
        <f>IFERROR(__xludf.DUMMYFUNCTION("""COMPUTED_VALUE"""),35431.0)</f>
        <v>35431</v>
      </c>
      <c r="B559" s="6" t="str">
        <f>IFERROR(__xludf.DUMMYFUNCTION("""COMPUTED_VALUE"""),"gpc_servicios_deuda_publica_pib")</f>
        <v>gpc_servicios_deuda_publica_pib</v>
      </c>
      <c r="C559" s="6">
        <f>IFERROR(__xludf.DUMMYFUNCTION("""COMPUTED_VALUE"""),2.67296540068131)</f>
        <v>2.672965401</v>
      </c>
      <c r="D559" s="6">
        <v>1997.0</v>
      </c>
      <c r="E559" s="6" t="s">
        <v>65</v>
      </c>
      <c r="F559" s="6">
        <v>2.67296540068131</v>
      </c>
    </row>
    <row r="560">
      <c r="A560" s="9">
        <f>IFERROR(__xludf.DUMMYFUNCTION("""COMPUTED_VALUE"""),35796.0)</f>
        <v>35796</v>
      </c>
      <c r="B560" s="6" t="str">
        <f>IFERROR(__xludf.DUMMYFUNCTION("""COMPUTED_VALUE"""),"gpc_pib")</f>
        <v>gpc_pib</v>
      </c>
      <c r="C560" s="6">
        <f>IFERROR(__xludf.DUMMYFUNCTION("""COMPUTED_VALUE"""),30.9599549376472)</f>
        <v>30.95995494</v>
      </c>
      <c r="D560" s="6">
        <v>1998.0</v>
      </c>
      <c r="E560" s="6" t="s">
        <v>66</v>
      </c>
      <c r="F560" s="6">
        <v>30.9599549376472</v>
      </c>
    </row>
    <row r="561">
      <c r="A561" s="9">
        <f>IFERROR(__xludf.DUMMYFUNCTION("""COMPUTED_VALUE"""),35796.0)</f>
        <v>35796</v>
      </c>
      <c r="B561" s="6" t="str">
        <f>IFERROR(__xludf.DUMMYFUNCTION("""COMPUTED_VALUE"""),"gpc_funcionamiento_estado_pib")</f>
        <v>gpc_funcionamiento_estado_pib</v>
      </c>
      <c r="C561" s="6">
        <f>IFERROR(__xludf.DUMMYFUNCTION("""COMPUTED_VALUE"""),5.89920205341433)</f>
        <v>5.899202053</v>
      </c>
      <c r="D561" s="6">
        <v>1998.0</v>
      </c>
      <c r="E561" s="6" t="s">
        <v>36</v>
      </c>
      <c r="F561" s="6">
        <v>5.89920205341433</v>
      </c>
    </row>
    <row r="562">
      <c r="A562" s="9">
        <f>IFERROR(__xludf.DUMMYFUNCTION("""COMPUTED_VALUE"""),35796.0)</f>
        <v>35796</v>
      </c>
      <c r="B562" s="6" t="str">
        <f>IFERROR(__xludf.DUMMYFUNCTION("""COMPUTED_VALUE"""),"gpc_administracion_general_pib")</f>
        <v>gpc_administracion_general_pib</v>
      </c>
      <c r="C562" s="6">
        <f>IFERROR(__xludf.DUMMYFUNCTION("""COMPUTED_VALUE"""),2.92184875982747)</f>
        <v>2.92184876</v>
      </c>
      <c r="D562" s="6">
        <v>1998.0</v>
      </c>
      <c r="E562" s="6" t="s">
        <v>37</v>
      </c>
      <c r="F562" s="6">
        <v>2.92184875982747</v>
      </c>
    </row>
    <row r="563">
      <c r="A563" s="9">
        <f>IFERROR(__xludf.DUMMYFUNCTION("""COMPUTED_VALUE"""),35796.0)</f>
        <v>35796</v>
      </c>
      <c r="B563" s="6" t="str">
        <f>IFERROR(__xludf.DUMMYFUNCTION("""COMPUTED_VALUE"""),"gpc_justicia_pib")</f>
        <v>gpc_justicia_pib</v>
      </c>
      <c r="C563" s="6">
        <f>IFERROR(__xludf.DUMMYFUNCTION("""COMPUTED_VALUE"""),0.782794704836674)</f>
        <v>0.7827947048</v>
      </c>
      <c r="D563" s="6">
        <v>1998.0</v>
      </c>
      <c r="E563" s="6" t="s">
        <v>38</v>
      </c>
      <c r="F563" s="6">
        <v>0.782794704836674</v>
      </c>
    </row>
    <row r="564">
      <c r="A564" s="9">
        <f>IFERROR(__xludf.DUMMYFUNCTION("""COMPUTED_VALUE"""),35796.0)</f>
        <v>35796</v>
      </c>
      <c r="B564" s="6" t="str">
        <f>IFERROR(__xludf.DUMMYFUNCTION("""COMPUTED_VALUE"""),"gpc_defensa_seguridad_pib")</f>
        <v>gpc_defensa_seguridad_pib</v>
      </c>
      <c r="C564" s="6">
        <f>IFERROR(__xludf.DUMMYFUNCTION("""COMPUTED_VALUE"""),2.19455858875018)</f>
        <v>2.194558589</v>
      </c>
      <c r="D564" s="6">
        <v>1998.0</v>
      </c>
      <c r="E564" s="6" t="s">
        <v>39</v>
      </c>
      <c r="F564" s="6">
        <v>2.19455858875018</v>
      </c>
    </row>
    <row r="565">
      <c r="A565" s="9">
        <f>IFERROR(__xludf.DUMMYFUNCTION("""COMPUTED_VALUE"""),35796.0)</f>
        <v>35796</v>
      </c>
      <c r="B565" s="6" t="str">
        <f>IFERROR(__xludf.DUMMYFUNCTION("""COMPUTED_VALUE"""),"gpc_servicios_sociales_pib")</f>
        <v>gpc_servicios_sociales_pib</v>
      </c>
      <c r="C565" s="6">
        <f>IFERROR(__xludf.DUMMYFUNCTION("""COMPUTED_VALUE"""),20.129554203663)</f>
        <v>20.1295542</v>
      </c>
      <c r="D565" s="6">
        <v>1998.0</v>
      </c>
      <c r="E565" s="6" t="s">
        <v>40</v>
      </c>
      <c r="F565" s="6">
        <v>20.129554203663</v>
      </c>
    </row>
    <row r="566">
      <c r="A566" s="9">
        <f>IFERROR(__xludf.DUMMYFUNCTION("""COMPUTED_VALUE"""),35796.0)</f>
        <v>35796</v>
      </c>
      <c r="B566" s="6" t="str">
        <f>IFERROR(__xludf.DUMMYFUNCTION("""COMPUTED_VALUE"""),"gpc_educacion_basica_pib")</f>
        <v>gpc_educacion_basica_pib</v>
      </c>
      <c r="C566" s="6">
        <f>IFERROR(__xludf.DUMMYFUNCTION("""COMPUTED_VALUE"""),2.84455633157499)</f>
        <v>2.844556332</v>
      </c>
      <c r="D566" s="6">
        <v>1998.0</v>
      </c>
      <c r="E566" s="6" t="s">
        <v>41</v>
      </c>
      <c r="F566" s="6">
        <v>2.84455633157499</v>
      </c>
    </row>
    <row r="567">
      <c r="A567" s="9">
        <f>IFERROR(__xludf.DUMMYFUNCTION("""COMPUTED_VALUE"""),35796.0)</f>
        <v>35796</v>
      </c>
      <c r="B567" s="6" t="str">
        <f>IFERROR(__xludf.DUMMYFUNCTION("""COMPUTED_VALUE"""),"gpc_educacion_universitaria_pib")</f>
        <v>gpc_educacion_universitaria_pib</v>
      </c>
      <c r="C567" s="6">
        <f>IFERROR(__xludf.DUMMYFUNCTION("""COMPUTED_VALUE"""),0.845364376467524)</f>
        <v>0.8453643765</v>
      </c>
      <c r="D567" s="6">
        <v>1998.0</v>
      </c>
      <c r="E567" s="6" t="s">
        <v>42</v>
      </c>
      <c r="F567" s="6">
        <v>0.845364376467524</v>
      </c>
    </row>
    <row r="568">
      <c r="A568" s="9">
        <f>IFERROR(__xludf.DUMMYFUNCTION("""COMPUTED_VALUE"""),35796.0)</f>
        <v>35796</v>
      </c>
      <c r="B568" s="6" t="str">
        <f>IFERROR(__xludf.DUMMYFUNCTION("""COMPUTED_VALUE"""),"gpc_ciencia_tecnica_pib")</f>
        <v>gpc_ciencia_tecnica_pib</v>
      </c>
      <c r="C568" s="6">
        <f>IFERROR(__xludf.DUMMYFUNCTION("""COMPUTED_VALUE"""),0.228857782203423)</f>
        <v>0.2288577822</v>
      </c>
      <c r="D568" s="6">
        <v>1998.0</v>
      </c>
      <c r="E568" s="6" t="s">
        <v>43</v>
      </c>
      <c r="F568" s="6">
        <v>0.228857782203423</v>
      </c>
    </row>
    <row r="569">
      <c r="A569" s="9">
        <f>IFERROR(__xludf.DUMMYFUNCTION("""COMPUTED_VALUE"""),35796.0)</f>
        <v>35796</v>
      </c>
      <c r="B569" s="6" t="str">
        <f>IFERROR(__xludf.DUMMYFUNCTION("""COMPUTED_VALUE"""),"gpc_cultura_pib")</f>
        <v>gpc_cultura_pib</v>
      </c>
      <c r="C569" s="6">
        <f>IFERROR(__xludf.DUMMYFUNCTION("""COMPUTED_VALUE"""),0.162568919364366)</f>
        <v>0.1625689194</v>
      </c>
      <c r="D569" s="6">
        <v>1998.0</v>
      </c>
      <c r="E569" s="6" t="s">
        <v>44</v>
      </c>
      <c r="F569" s="6">
        <v>0.162568919364366</v>
      </c>
    </row>
    <row r="570">
      <c r="A570" s="9">
        <f>IFERROR(__xludf.DUMMYFUNCTION("""COMPUTED_VALUE"""),35796.0)</f>
        <v>35796</v>
      </c>
      <c r="B570" s="6" t="str">
        <f>IFERROR(__xludf.DUMMYFUNCTION("""COMPUTED_VALUE"""),"gpc_educacion_cultura_sin_discriminar_pib")</f>
        <v>gpc_educacion_cultura_sin_discriminar_pib</v>
      </c>
      <c r="C570" s="6">
        <f>IFERROR(__xludf.DUMMYFUNCTION("""COMPUTED_VALUE"""),0.317090972029677)</f>
        <v>0.317090972</v>
      </c>
      <c r="D570" s="6">
        <v>1998.0</v>
      </c>
      <c r="E570" s="6" t="s">
        <v>45</v>
      </c>
      <c r="F570" s="6">
        <v>0.317090972029677</v>
      </c>
    </row>
    <row r="571">
      <c r="A571" s="9">
        <f>IFERROR(__xludf.DUMMYFUNCTION("""COMPUTED_VALUE"""),35796.0)</f>
        <v>35796</v>
      </c>
      <c r="B571" s="6" t="str">
        <f>IFERROR(__xludf.DUMMYFUNCTION("""COMPUTED_VALUE"""),"gpc_atencion_salud_pib")</f>
        <v>gpc_atencion_salud_pib</v>
      </c>
      <c r="C571" s="6">
        <f>IFERROR(__xludf.DUMMYFUNCTION("""COMPUTED_VALUE"""),1.86688879906471)</f>
        <v>1.866888799</v>
      </c>
      <c r="D571" s="6">
        <v>1998.0</v>
      </c>
      <c r="E571" s="6" t="s">
        <v>46</v>
      </c>
      <c r="F571" s="6">
        <v>1.86688879906471</v>
      </c>
    </row>
    <row r="572">
      <c r="A572" s="9">
        <f>IFERROR(__xludf.DUMMYFUNCTION("""COMPUTED_VALUE"""),35796.0)</f>
        <v>35796</v>
      </c>
      <c r="B572" s="6" t="str">
        <f>IFERROR(__xludf.DUMMYFUNCTION("""COMPUTED_VALUE"""),"gpc_obras_sociales_salud_pib")</f>
        <v>gpc_obras_sociales_salud_pib</v>
      </c>
      <c r="C572" s="6">
        <f>IFERROR(__xludf.DUMMYFUNCTION("""COMPUTED_VALUE"""),1.95627672654288)</f>
        <v>1.956276727</v>
      </c>
      <c r="D572" s="6">
        <v>1998.0</v>
      </c>
      <c r="E572" s="6" t="s">
        <v>47</v>
      </c>
      <c r="F572" s="6">
        <v>1.95627672654288</v>
      </c>
    </row>
    <row r="573">
      <c r="A573" s="9">
        <f>IFERROR(__xludf.DUMMYFUNCTION("""COMPUTED_VALUE"""),35796.0)</f>
        <v>35796</v>
      </c>
      <c r="B573" s="6" t="str">
        <f>IFERROR(__xludf.DUMMYFUNCTION("""COMPUTED_VALUE"""),"gpc_inssjyp_salud_pib")</f>
        <v>gpc_inssjyp_salud_pib</v>
      </c>
      <c r="C573" s="6">
        <f>IFERROR(__xludf.DUMMYFUNCTION("""COMPUTED_VALUE"""),0.77031101519332)</f>
        <v>0.7703110152</v>
      </c>
      <c r="D573" s="6">
        <v>1998.0</v>
      </c>
      <c r="E573" s="6" t="s">
        <v>48</v>
      </c>
      <c r="F573" s="6">
        <v>0.77031101519332</v>
      </c>
    </row>
    <row r="574">
      <c r="A574" s="9">
        <f>IFERROR(__xludf.DUMMYFUNCTION("""COMPUTED_VALUE"""),35796.0)</f>
        <v>35796</v>
      </c>
      <c r="B574" s="6" t="str">
        <f>IFERROR(__xludf.DUMMYFUNCTION("""COMPUTED_VALUE"""),"gpc_agua_alcantarillado_pib")</f>
        <v>gpc_agua_alcantarillado_pib</v>
      </c>
      <c r="C574" s="6">
        <f>IFERROR(__xludf.DUMMYFUNCTION("""COMPUTED_VALUE"""),0.239286873114265)</f>
        <v>0.2392868731</v>
      </c>
      <c r="D574" s="6">
        <v>1998.0</v>
      </c>
      <c r="E574" s="6" t="s">
        <v>49</v>
      </c>
      <c r="F574" s="6">
        <v>0.239286873114265</v>
      </c>
    </row>
    <row r="575">
      <c r="A575" s="9">
        <f>IFERROR(__xludf.DUMMYFUNCTION("""COMPUTED_VALUE"""),35796.0)</f>
        <v>35796</v>
      </c>
      <c r="B575" s="6" t="str">
        <f>IFERROR(__xludf.DUMMYFUNCTION("""COMPUTED_VALUE"""),"gpc_vivienda_urbanismo_pib")</f>
        <v>gpc_vivienda_urbanismo_pib</v>
      </c>
      <c r="C575" s="6">
        <f>IFERROR(__xludf.DUMMYFUNCTION("""COMPUTED_VALUE"""),0.600827539286437)</f>
        <v>0.6008275393</v>
      </c>
      <c r="D575" s="6">
        <v>1998.0</v>
      </c>
      <c r="E575" s="6" t="s">
        <v>50</v>
      </c>
      <c r="F575" s="6">
        <v>0.600827539286437</v>
      </c>
    </row>
    <row r="576">
      <c r="A576" s="9">
        <f>IFERROR(__xludf.DUMMYFUNCTION("""COMPUTED_VALUE"""),35796.0)</f>
        <v>35796</v>
      </c>
      <c r="B576" s="6" t="str">
        <f>IFERROR(__xludf.DUMMYFUNCTION("""COMPUTED_VALUE"""),"gpc_promocion_asistencia_social_pib")</f>
        <v>gpc_promocion_asistencia_social_pib</v>
      </c>
      <c r="C576" s="6">
        <f>IFERROR(__xludf.DUMMYFUNCTION("""COMPUTED_VALUE"""),0.883912945495253)</f>
        <v>0.8839129455</v>
      </c>
      <c r="D576" s="6">
        <v>1998.0</v>
      </c>
      <c r="E576" s="6" t="s">
        <v>51</v>
      </c>
      <c r="F576" s="6">
        <v>0.883912945495253</v>
      </c>
    </row>
    <row r="577">
      <c r="A577" s="9">
        <f>IFERROR(__xludf.DUMMYFUNCTION("""COMPUTED_VALUE"""),35796.0)</f>
        <v>35796</v>
      </c>
      <c r="B577" s="6" t="str">
        <f>IFERROR(__xludf.DUMMYFUNCTION("""COMPUTED_VALUE"""),"gpc_obras_sociales_prestaciones_pib")</f>
        <v>gpc_obras_sociales_prestaciones_pib</v>
      </c>
      <c r="C577" s="6">
        <f>IFERROR(__xludf.DUMMYFUNCTION("""COMPUTED_VALUE"""),0.114424892435931)</f>
        <v>0.1144248924</v>
      </c>
      <c r="D577" s="6">
        <v>1998.0</v>
      </c>
      <c r="E577" s="6" t="s">
        <v>52</v>
      </c>
      <c r="F577" s="6">
        <v>0.114424892435931</v>
      </c>
    </row>
    <row r="578">
      <c r="A578" s="9">
        <f>IFERROR(__xludf.DUMMYFUNCTION("""COMPUTED_VALUE"""),35796.0)</f>
        <v>35796</v>
      </c>
      <c r="B578" s="6" t="str">
        <f>IFERROR(__xludf.DUMMYFUNCTION("""COMPUTED_VALUE"""),"gpc_inssjyp_prestaciones_pib")</f>
        <v>gpc_inssjyp_prestaciones_pib</v>
      </c>
      <c r="C578" s="6">
        <f>IFERROR(__xludf.DUMMYFUNCTION("""COMPUTED_VALUE"""),0.119832970343052)</f>
        <v>0.1198329703</v>
      </c>
      <c r="D578" s="6">
        <v>1998.0</v>
      </c>
      <c r="E578" s="6" t="s">
        <v>53</v>
      </c>
      <c r="F578" s="6">
        <v>0.119832970343052</v>
      </c>
    </row>
    <row r="579">
      <c r="A579" s="9">
        <f>IFERROR(__xludf.DUMMYFUNCTION("""COMPUTED_VALUE"""),35796.0)</f>
        <v>35796</v>
      </c>
      <c r="B579" s="6" t="str">
        <f>IFERROR(__xludf.DUMMYFUNCTION("""COMPUTED_VALUE"""),"gpc_prevision_social_pib")</f>
        <v>gpc_prevision_social_pib</v>
      </c>
      <c r="C579" s="6">
        <f>IFERROR(__xludf.DUMMYFUNCTION("""COMPUTED_VALUE"""),7.45287674018884)</f>
        <v>7.45287674</v>
      </c>
      <c r="D579" s="6">
        <v>1998.0</v>
      </c>
      <c r="E579" s="6" t="s">
        <v>54</v>
      </c>
      <c r="F579" s="6">
        <v>7.45287674018884</v>
      </c>
    </row>
    <row r="580">
      <c r="A580" s="9">
        <f>IFERROR(__xludf.DUMMYFUNCTION("""COMPUTED_VALUE"""),35796.0)</f>
        <v>35796</v>
      </c>
      <c r="B580" s="6" t="str">
        <f>IFERROR(__xludf.DUMMYFUNCTION("""COMPUTED_VALUE"""),"gpc_programas_empleo_pib")</f>
        <v>gpc_programas_empleo_pib</v>
      </c>
      <c r="C580" s="6">
        <f>IFERROR(__xludf.DUMMYFUNCTION("""COMPUTED_VALUE"""),0.289838784022886)</f>
        <v>0.289838784</v>
      </c>
      <c r="D580" s="6">
        <v>1998.0</v>
      </c>
      <c r="E580" s="6" t="s">
        <v>55</v>
      </c>
      <c r="F580" s="6">
        <v>0.289838784022886</v>
      </c>
    </row>
    <row r="581">
      <c r="A581" s="9">
        <f>IFERROR(__xludf.DUMMYFUNCTION("""COMPUTED_VALUE"""),35796.0)</f>
        <v>35796</v>
      </c>
      <c r="B581" s="6" t="str">
        <f>IFERROR(__xludf.DUMMYFUNCTION("""COMPUTED_VALUE"""),"gpc_asignaciones_familiares_pib")</f>
        <v>gpc_asignaciones_familiares_pib</v>
      </c>
      <c r="C581" s="6">
        <f>IFERROR(__xludf.DUMMYFUNCTION("""COMPUTED_VALUE"""),0.574266012706237)</f>
        <v>0.5742660127</v>
      </c>
      <c r="D581" s="6">
        <v>1998.0</v>
      </c>
      <c r="E581" s="6" t="s">
        <v>56</v>
      </c>
      <c r="F581" s="6">
        <v>0.574266012706237</v>
      </c>
    </row>
    <row r="582">
      <c r="A582" s="9">
        <f>IFERROR(__xludf.DUMMYFUNCTION("""COMPUTED_VALUE"""),35796.0)</f>
        <v>35796</v>
      </c>
      <c r="B582" s="6" t="str">
        <f>IFERROR(__xludf.DUMMYFUNCTION("""COMPUTED_VALUE"""),"gpc_otros_servicios_urbanos_pib")</f>
        <v>gpc_otros_servicios_urbanos_pib</v>
      </c>
      <c r="C582" s="6">
        <f>IFERROR(__xludf.DUMMYFUNCTION("""COMPUTED_VALUE"""),0.862372523629253)</f>
        <v>0.8623725236</v>
      </c>
      <c r="D582" s="6">
        <v>1998.0</v>
      </c>
      <c r="E582" s="6" t="s">
        <v>57</v>
      </c>
      <c r="F582" s="6">
        <v>0.862372523629253</v>
      </c>
    </row>
    <row r="583">
      <c r="A583" s="9">
        <f>IFERROR(__xludf.DUMMYFUNCTION("""COMPUTED_VALUE"""),35796.0)</f>
        <v>35796</v>
      </c>
      <c r="B583" s="6" t="str">
        <f>IFERROR(__xludf.DUMMYFUNCTION("""COMPUTED_VALUE"""),"gpc_servicios_economicos_pib")</f>
        <v>gpc_servicios_economicos_pib</v>
      </c>
      <c r="C583" s="6">
        <f>IFERROR(__xludf.DUMMYFUNCTION("""COMPUTED_VALUE"""),2.23891858547082)</f>
        <v>2.238918585</v>
      </c>
      <c r="D583" s="6">
        <v>1998.0</v>
      </c>
      <c r="E583" s="6" t="s">
        <v>58</v>
      </c>
      <c r="F583" s="6">
        <v>2.23891858547082</v>
      </c>
    </row>
    <row r="584">
      <c r="A584" s="9">
        <f>IFERROR(__xludf.DUMMYFUNCTION("""COMPUTED_VALUE"""),35796.0)</f>
        <v>35796</v>
      </c>
      <c r="B584" s="6" t="str">
        <f>IFERROR(__xludf.DUMMYFUNCTION("""COMPUTED_VALUE"""),"gpc_produccion_primaria_pib")</f>
        <v>gpc_produccion_primaria_pib</v>
      </c>
      <c r="C584" s="6">
        <f>IFERROR(__xludf.DUMMYFUNCTION("""COMPUTED_VALUE"""),0.336296205596558)</f>
        <v>0.3362962056</v>
      </c>
      <c r="D584" s="6">
        <v>1998.0</v>
      </c>
      <c r="E584" s="6" t="s">
        <v>59</v>
      </c>
      <c r="F584" s="6">
        <v>0.336296205596558</v>
      </c>
    </row>
    <row r="585">
      <c r="A585" s="9">
        <f>IFERROR(__xludf.DUMMYFUNCTION("""COMPUTED_VALUE"""),35796.0)</f>
        <v>35796</v>
      </c>
      <c r="B585" s="6" t="str">
        <f>IFERROR(__xludf.DUMMYFUNCTION("""COMPUTED_VALUE"""),"gpc_energia_combustible_pib")</f>
        <v>gpc_energia_combustible_pib</v>
      </c>
      <c r="C585" s="6">
        <f>IFERROR(__xludf.DUMMYFUNCTION("""COMPUTED_VALUE"""),0.305593350656601)</f>
        <v>0.3055933507</v>
      </c>
      <c r="D585" s="6">
        <v>1998.0</v>
      </c>
      <c r="E585" s="6" t="s">
        <v>60</v>
      </c>
      <c r="F585" s="6">
        <v>0.305593350656601</v>
      </c>
    </row>
    <row r="586">
      <c r="A586" s="9">
        <f>IFERROR(__xludf.DUMMYFUNCTION("""COMPUTED_VALUE"""),35796.0)</f>
        <v>35796</v>
      </c>
      <c r="B586" s="6" t="str">
        <f>IFERROR(__xludf.DUMMYFUNCTION("""COMPUTED_VALUE"""),"gpc_industria_pib")</f>
        <v>gpc_industria_pib</v>
      </c>
      <c r="C586" s="6">
        <f>IFERROR(__xludf.DUMMYFUNCTION("""COMPUTED_VALUE"""),0.0747444485378058)</f>
        <v>0.07474444854</v>
      </c>
      <c r="D586" s="6">
        <v>1998.0</v>
      </c>
      <c r="E586" s="6" t="s">
        <v>61</v>
      </c>
      <c r="F586" s="6">
        <v>0.0747444485378058</v>
      </c>
    </row>
    <row r="587">
      <c r="A587" s="9">
        <f>IFERROR(__xludf.DUMMYFUNCTION("""COMPUTED_VALUE"""),35796.0)</f>
        <v>35796</v>
      </c>
      <c r="B587" s="6" t="str">
        <f>IFERROR(__xludf.DUMMYFUNCTION("""COMPUTED_VALUE"""),"gpc_transporte_pib")</f>
        <v>gpc_transporte_pib</v>
      </c>
      <c r="C587" s="6">
        <f>IFERROR(__xludf.DUMMYFUNCTION("""COMPUTED_VALUE"""),1.11395344139552)</f>
        <v>1.113953441</v>
      </c>
      <c r="D587" s="6">
        <v>1998.0</v>
      </c>
      <c r="E587" s="6" t="s">
        <v>62</v>
      </c>
      <c r="F587" s="6">
        <v>1.11395344139552</v>
      </c>
    </row>
    <row r="588">
      <c r="A588" s="9">
        <f>IFERROR(__xludf.DUMMYFUNCTION("""COMPUTED_VALUE"""),35796.0)</f>
        <v>35796</v>
      </c>
      <c r="B588" s="6" t="str">
        <f>IFERROR(__xludf.DUMMYFUNCTION("""COMPUTED_VALUE"""),"gpc_comunicaciones_pib")</f>
        <v>gpc_comunicaciones_pib</v>
      </c>
      <c r="C588" s="6">
        <f>IFERROR(__xludf.DUMMYFUNCTION("""COMPUTED_VALUE"""),0.0715880786969944)</f>
        <v>0.0715880787</v>
      </c>
      <c r="D588" s="6">
        <v>1998.0</v>
      </c>
      <c r="E588" s="6" t="s">
        <v>63</v>
      </c>
      <c r="F588" s="6">
        <v>0.0715880786969944</v>
      </c>
    </row>
    <row r="589">
      <c r="A589" s="9">
        <f>IFERROR(__xludf.DUMMYFUNCTION("""COMPUTED_VALUE"""),35796.0)</f>
        <v>35796</v>
      </c>
      <c r="B589" s="6" t="str">
        <f>IFERROR(__xludf.DUMMYFUNCTION("""COMPUTED_VALUE"""),"gpc_otros_servicios_economicos_pib")</f>
        <v>gpc_otros_servicios_economicos_pib</v>
      </c>
      <c r="C589" s="6">
        <f>IFERROR(__xludf.DUMMYFUNCTION("""COMPUTED_VALUE"""),0.336743060587335)</f>
        <v>0.3367430606</v>
      </c>
      <c r="D589" s="6">
        <v>1998.0</v>
      </c>
      <c r="E589" s="6" t="s">
        <v>64</v>
      </c>
      <c r="F589" s="6">
        <v>0.336743060587335</v>
      </c>
    </row>
    <row r="590">
      <c r="A590" s="9">
        <f>IFERROR(__xludf.DUMMYFUNCTION("""COMPUTED_VALUE"""),35796.0)</f>
        <v>35796</v>
      </c>
      <c r="B590" s="6" t="str">
        <f>IFERROR(__xludf.DUMMYFUNCTION("""COMPUTED_VALUE"""),"gpc_servicios_deuda_publica_pib")</f>
        <v>gpc_servicios_deuda_publica_pib</v>
      </c>
      <c r="C590" s="6">
        <f>IFERROR(__xludf.DUMMYFUNCTION("""COMPUTED_VALUE"""),2.69228009509898)</f>
        <v>2.692280095</v>
      </c>
      <c r="D590" s="6">
        <v>1998.0</v>
      </c>
      <c r="E590" s="6" t="s">
        <v>65</v>
      </c>
      <c r="F590" s="6">
        <v>2.69228009509898</v>
      </c>
    </row>
    <row r="591">
      <c r="A591" s="9">
        <f>IFERROR(__xludf.DUMMYFUNCTION("""COMPUTED_VALUE"""),36161.0)</f>
        <v>36161</v>
      </c>
      <c r="B591" s="6" t="str">
        <f>IFERROR(__xludf.DUMMYFUNCTION("""COMPUTED_VALUE"""),"gpc_pib")</f>
        <v>gpc_pib</v>
      </c>
      <c r="C591" s="6">
        <f>IFERROR(__xludf.DUMMYFUNCTION("""COMPUTED_VALUE"""),34.2326895648178)</f>
        <v>34.23268956</v>
      </c>
      <c r="D591" s="6">
        <v>1999.0</v>
      </c>
      <c r="E591" s="6" t="s">
        <v>66</v>
      </c>
      <c r="F591" s="6">
        <v>34.2326895648178</v>
      </c>
    </row>
    <row r="592">
      <c r="A592" s="9">
        <f>IFERROR(__xludf.DUMMYFUNCTION("""COMPUTED_VALUE"""),36161.0)</f>
        <v>36161</v>
      </c>
      <c r="B592" s="6" t="str">
        <f>IFERROR(__xludf.DUMMYFUNCTION("""COMPUTED_VALUE"""),"gpc_funcionamiento_estado_pib")</f>
        <v>gpc_funcionamiento_estado_pib</v>
      </c>
      <c r="C592" s="6">
        <f>IFERROR(__xludf.DUMMYFUNCTION("""COMPUTED_VALUE"""),6.7559349390509)</f>
        <v>6.755934939</v>
      </c>
      <c r="D592" s="6">
        <v>1999.0</v>
      </c>
      <c r="E592" s="6" t="s">
        <v>36</v>
      </c>
      <c r="F592" s="6">
        <v>6.7559349390509</v>
      </c>
    </row>
    <row r="593">
      <c r="A593" s="9">
        <f>IFERROR(__xludf.DUMMYFUNCTION("""COMPUTED_VALUE"""),36161.0)</f>
        <v>36161</v>
      </c>
      <c r="B593" s="6" t="str">
        <f>IFERROR(__xludf.DUMMYFUNCTION("""COMPUTED_VALUE"""),"gpc_administracion_general_pib")</f>
        <v>gpc_administracion_general_pib</v>
      </c>
      <c r="C593" s="6">
        <f>IFERROR(__xludf.DUMMYFUNCTION("""COMPUTED_VALUE"""),3.46232922435443)</f>
        <v>3.462329224</v>
      </c>
      <c r="D593" s="6">
        <v>1999.0</v>
      </c>
      <c r="E593" s="6" t="s">
        <v>37</v>
      </c>
      <c r="F593" s="6">
        <v>3.46232922435443</v>
      </c>
    </row>
    <row r="594">
      <c r="A594" s="9">
        <f>IFERROR(__xludf.DUMMYFUNCTION("""COMPUTED_VALUE"""),36161.0)</f>
        <v>36161</v>
      </c>
      <c r="B594" s="6" t="str">
        <f>IFERROR(__xludf.DUMMYFUNCTION("""COMPUTED_VALUE"""),"gpc_justicia_pib")</f>
        <v>gpc_justicia_pib</v>
      </c>
      <c r="C594" s="6">
        <f>IFERROR(__xludf.DUMMYFUNCTION("""COMPUTED_VALUE"""),0.887803978760407)</f>
        <v>0.8878039788</v>
      </c>
      <c r="D594" s="6">
        <v>1999.0</v>
      </c>
      <c r="E594" s="6" t="s">
        <v>38</v>
      </c>
      <c r="F594" s="6">
        <v>0.887803978760407</v>
      </c>
    </row>
    <row r="595">
      <c r="A595" s="9">
        <f>IFERROR(__xludf.DUMMYFUNCTION("""COMPUTED_VALUE"""),36161.0)</f>
        <v>36161</v>
      </c>
      <c r="B595" s="6" t="str">
        <f>IFERROR(__xludf.DUMMYFUNCTION("""COMPUTED_VALUE"""),"gpc_defensa_seguridad_pib")</f>
        <v>gpc_defensa_seguridad_pib</v>
      </c>
      <c r="C595" s="6">
        <f>IFERROR(__xludf.DUMMYFUNCTION("""COMPUTED_VALUE"""),2.40580173593606)</f>
        <v>2.405801736</v>
      </c>
      <c r="D595" s="6">
        <v>1999.0</v>
      </c>
      <c r="E595" s="6" t="s">
        <v>39</v>
      </c>
      <c r="F595" s="6">
        <v>2.40580173593606</v>
      </c>
    </row>
    <row r="596">
      <c r="A596" s="9">
        <f>IFERROR(__xludf.DUMMYFUNCTION("""COMPUTED_VALUE"""),36161.0)</f>
        <v>36161</v>
      </c>
      <c r="B596" s="6" t="str">
        <f>IFERROR(__xludf.DUMMYFUNCTION("""COMPUTED_VALUE"""),"gpc_servicios_sociales_pib")</f>
        <v>gpc_servicios_sociales_pib</v>
      </c>
      <c r="C596" s="6">
        <f>IFERROR(__xludf.DUMMYFUNCTION("""COMPUTED_VALUE"""),21.8252654889323)</f>
        <v>21.82526549</v>
      </c>
      <c r="D596" s="6">
        <v>1999.0</v>
      </c>
      <c r="E596" s="6" t="s">
        <v>40</v>
      </c>
      <c r="F596" s="6">
        <v>21.8252654889323</v>
      </c>
    </row>
    <row r="597">
      <c r="A597" s="9">
        <f>IFERROR(__xludf.DUMMYFUNCTION("""COMPUTED_VALUE"""),36161.0)</f>
        <v>36161</v>
      </c>
      <c r="B597" s="6" t="str">
        <f>IFERROR(__xludf.DUMMYFUNCTION("""COMPUTED_VALUE"""),"gpc_educacion_basica_pib")</f>
        <v>gpc_educacion_basica_pib</v>
      </c>
      <c r="C597" s="6">
        <f>IFERROR(__xludf.DUMMYFUNCTION("""COMPUTED_VALUE"""),3.21962048720463)</f>
        <v>3.219620487</v>
      </c>
      <c r="D597" s="6">
        <v>1999.0</v>
      </c>
      <c r="E597" s="6" t="s">
        <v>41</v>
      </c>
      <c r="F597" s="6">
        <v>3.21962048720463</v>
      </c>
    </row>
    <row r="598">
      <c r="A598" s="9">
        <f>IFERROR(__xludf.DUMMYFUNCTION("""COMPUTED_VALUE"""),36161.0)</f>
        <v>36161</v>
      </c>
      <c r="B598" s="6" t="str">
        <f>IFERROR(__xludf.DUMMYFUNCTION("""COMPUTED_VALUE"""),"gpc_educacion_universitaria_pib")</f>
        <v>gpc_educacion_universitaria_pib</v>
      </c>
      <c r="C598" s="6">
        <f>IFERROR(__xludf.DUMMYFUNCTION("""COMPUTED_VALUE"""),0.917519776266689)</f>
        <v>0.9175197763</v>
      </c>
      <c r="D598" s="6">
        <v>1999.0</v>
      </c>
      <c r="E598" s="6" t="s">
        <v>42</v>
      </c>
      <c r="F598" s="6">
        <v>0.917519776266689</v>
      </c>
    </row>
    <row r="599">
      <c r="A599" s="9">
        <f>IFERROR(__xludf.DUMMYFUNCTION("""COMPUTED_VALUE"""),36161.0)</f>
        <v>36161</v>
      </c>
      <c r="B599" s="6" t="str">
        <f>IFERROR(__xludf.DUMMYFUNCTION("""COMPUTED_VALUE"""),"gpc_ciencia_tecnica_pib")</f>
        <v>gpc_ciencia_tecnica_pib</v>
      </c>
      <c r="C599" s="6">
        <f>IFERROR(__xludf.DUMMYFUNCTION("""COMPUTED_VALUE"""),0.223492326923442)</f>
        <v>0.2234923269</v>
      </c>
      <c r="D599" s="6">
        <v>1999.0</v>
      </c>
      <c r="E599" s="6" t="s">
        <v>43</v>
      </c>
      <c r="F599" s="6">
        <v>0.223492326923442</v>
      </c>
    </row>
    <row r="600">
      <c r="A600" s="9">
        <f>IFERROR(__xludf.DUMMYFUNCTION("""COMPUTED_VALUE"""),36161.0)</f>
        <v>36161</v>
      </c>
      <c r="B600" s="6" t="str">
        <f>IFERROR(__xludf.DUMMYFUNCTION("""COMPUTED_VALUE"""),"gpc_cultura_pib")</f>
        <v>gpc_cultura_pib</v>
      </c>
      <c r="C600" s="6">
        <f>IFERROR(__xludf.DUMMYFUNCTION("""COMPUTED_VALUE"""),0.183443425836344)</f>
        <v>0.1834434258</v>
      </c>
      <c r="D600" s="6">
        <v>1999.0</v>
      </c>
      <c r="E600" s="6" t="s">
        <v>44</v>
      </c>
      <c r="F600" s="6">
        <v>0.183443425836344</v>
      </c>
    </row>
    <row r="601">
      <c r="A601" s="9">
        <f>IFERROR(__xludf.DUMMYFUNCTION("""COMPUTED_VALUE"""),36161.0)</f>
        <v>36161</v>
      </c>
      <c r="B601" s="6" t="str">
        <f>IFERROR(__xludf.DUMMYFUNCTION("""COMPUTED_VALUE"""),"gpc_educacion_cultura_sin_discriminar_pib")</f>
        <v>gpc_educacion_cultura_sin_discriminar_pib</v>
      </c>
      <c r="C601" s="6">
        <f>IFERROR(__xludf.DUMMYFUNCTION("""COMPUTED_VALUE"""),0.393487063953444)</f>
        <v>0.393487064</v>
      </c>
      <c r="D601" s="6">
        <v>1999.0</v>
      </c>
      <c r="E601" s="6" t="s">
        <v>45</v>
      </c>
      <c r="F601" s="6">
        <v>0.393487063953444</v>
      </c>
    </row>
    <row r="602">
      <c r="A602" s="9">
        <f>IFERROR(__xludf.DUMMYFUNCTION("""COMPUTED_VALUE"""),36161.0)</f>
        <v>36161</v>
      </c>
      <c r="B602" s="6" t="str">
        <f>IFERROR(__xludf.DUMMYFUNCTION("""COMPUTED_VALUE"""),"gpc_atencion_salud_pib")</f>
        <v>gpc_atencion_salud_pib</v>
      </c>
      <c r="C602" s="6">
        <f>IFERROR(__xludf.DUMMYFUNCTION("""COMPUTED_VALUE"""),2.11515621841522)</f>
        <v>2.115156218</v>
      </c>
      <c r="D602" s="6">
        <v>1999.0</v>
      </c>
      <c r="E602" s="6" t="s">
        <v>46</v>
      </c>
      <c r="F602" s="6">
        <v>2.11515621841522</v>
      </c>
    </row>
    <row r="603">
      <c r="A603" s="9">
        <f>IFERROR(__xludf.DUMMYFUNCTION("""COMPUTED_VALUE"""),36161.0)</f>
        <v>36161</v>
      </c>
      <c r="B603" s="6" t="str">
        <f>IFERROR(__xludf.DUMMYFUNCTION("""COMPUTED_VALUE"""),"gpc_obras_sociales_salud_pib")</f>
        <v>gpc_obras_sociales_salud_pib</v>
      </c>
      <c r="C603" s="6">
        <f>IFERROR(__xludf.DUMMYFUNCTION("""COMPUTED_VALUE"""),2.14733136427789)</f>
        <v>2.147331364</v>
      </c>
      <c r="D603" s="6">
        <v>1999.0</v>
      </c>
      <c r="E603" s="6" t="s">
        <v>47</v>
      </c>
      <c r="F603" s="6">
        <v>2.14733136427789</v>
      </c>
    </row>
    <row r="604">
      <c r="A604" s="9">
        <f>IFERROR(__xludf.DUMMYFUNCTION("""COMPUTED_VALUE"""),36161.0)</f>
        <v>36161</v>
      </c>
      <c r="B604" s="6" t="str">
        <f>IFERROR(__xludf.DUMMYFUNCTION("""COMPUTED_VALUE"""),"gpc_inssjyp_salud_pib")</f>
        <v>gpc_inssjyp_salud_pib</v>
      </c>
      <c r="C604" s="6">
        <f>IFERROR(__xludf.DUMMYFUNCTION("""COMPUTED_VALUE"""),0.857904397413497)</f>
        <v>0.8579043974</v>
      </c>
      <c r="D604" s="6">
        <v>1999.0</v>
      </c>
      <c r="E604" s="6" t="s">
        <v>48</v>
      </c>
      <c r="F604" s="6">
        <v>0.857904397413497</v>
      </c>
    </row>
    <row r="605">
      <c r="A605" s="9">
        <f>IFERROR(__xludf.DUMMYFUNCTION("""COMPUTED_VALUE"""),36161.0)</f>
        <v>36161</v>
      </c>
      <c r="B605" s="6" t="str">
        <f>IFERROR(__xludf.DUMMYFUNCTION("""COMPUTED_VALUE"""),"gpc_agua_alcantarillado_pib")</f>
        <v>gpc_agua_alcantarillado_pib</v>
      </c>
      <c r="C605" s="6">
        <f>IFERROR(__xludf.DUMMYFUNCTION("""COMPUTED_VALUE"""),0.244780101479379)</f>
        <v>0.2447801015</v>
      </c>
      <c r="D605" s="6">
        <v>1999.0</v>
      </c>
      <c r="E605" s="6" t="s">
        <v>49</v>
      </c>
      <c r="F605" s="6">
        <v>0.244780101479379</v>
      </c>
    </row>
    <row r="606">
      <c r="A606" s="9">
        <f>IFERROR(__xludf.DUMMYFUNCTION("""COMPUTED_VALUE"""),36161.0)</f>
        <v>36161</v>
      </c>
      <c r="B606" s="6" t="str">
        <f>IFERROR(__xludf.DUMMYFUNCTION("""COMPUTED_VALUE"""),"gpc_vivienda_urbanismo_pib")</f>
        <v>gpc_vivienda_urbanismo_pib</v>
      </c>
      <c r="C606" s="6">
        <f>IFERROR(__xludf.DUMMYFUNCTION("""COMPUTED_VALUE"""),0.564178882096993)</f>
        <v>0.5641788821</v>
      </c>
      <c r="D606" s="6">
        <v>1999.0</v>
      </c>
      <c r="E606" s="6" t="s">
        <v>50</v>
      </c>
      <c r="F606" s="6">
        <v>0.564178882096993</v>
      </c>
    </row>
    <row r="607">
      <c r="A607" s="9">
        <f>IFERROR(__xludf.DUMMYFUNCTION("""COMPUTED_VALUE"""),36161.0)</f>
        <v>36161</v>
      </c>
      <c r="B607" s="6" t="str">
        <f>IFERROR(__xludf.DUMMYFUNCTION("""COMPUTED_VALUE"""),"gpc_promocion_asistencia_social_pib")</f>
        <v>gpc_promocion_asistencia_social_pib</v>
      </c>
      <c r="C607" s="6">
        <f>IFERROR(__xludf.DUMMYFUNCTION("""COMPUTED_VALUE"""),0.937899288562832)</f>
        <v>0.9378992886</v>
      </c>
      <c r="D607" s="6">
        <v>1999.0</v>
      </c>
      <c r="E607" s="6" t="s">
        <v>51</v>
      </c>
      <c r="F607" s="6">
        <v>0.937899288562832</v>
      </c>
    </row>
    <row r="608">
      <c r="A608" s="9">
        <f>IFERROR(__xludf.DUMMYFUNCTION("""COMPUTED_VALUE"""),36161.0)</f>
        <v>36161</v>
      </c>
      <c r="B608" s="6" t="str">
        <f>IFERROR(__xludf.DUMMYFUNCTION("""COMPUTED_VALUE"""),"gpc_obras_sociales_prestaciones_pib")</f>
        <v>gpc_obras_sociales_prestaciones_pib</v>
      </c>
      <c r="C608" s="6">
        <f>IFERROR(__xludf.DUMMYFUNCTION("""COMPUTED_VALUE"""),0.113572987160652)</f>
        <v>0.1135729872</v>
      </c>
      <c r="D608" s="6">
        <v>1999.0</v>
      </c>
      <c r="E608" s="6" t="s">
        <v>52</v>
      </c>
      <c r="F608" s="6">
        <v>0.113572987160652</v>
      </c>
    </row>
    <row r="609">
      <c r="A609" s="9">
        <f>IFERROR(__xludf.DUMMYFUNCTION("""COMPUTED_VALUE"""),36161.0)</f>
        <v>36161</v>
      </c>
      <c r="B609" s="6" t="str">
        <f>IFERROR(__xludf.DUMMYFUNCTION("""COMPUTED_VALUE"""),"gpc_inssjyp_prestaciones_pib")</f>
        <v>gpc_inssjyp_prestaciones_pib</v>
      </c>
      <c r="C609" s="6">
        <f>IFERROR(__xludf.DUMMYFUNCTION("""COMPUTED_VALUE"""),0.122913362056909)</f>
        <v>0.1229133621</v>
      </c>
      <c r="D609" s="6">
        <v>1999.0</v>
      </c>
      <c r="E609" s="6" t="s">
        <v>53</v>
      </c>
      <c r="F609" s="6">
        <v>0.122913362056909</v>
      </c>
    </row>
    <row r="610">
      <c r="A610" s="9">
        <f>IFERROR(__xludf.DUMMYFUNCTION("""COMPUTED_VALUE"""),36161.0)</f>
        <v>36161</v>
      </c>
      <c r="B610" s="6" t="str">
        <f>IFERROR(__xludf.DUMMYFUNCTION("""COMPUTED_VALUE"""),"gpc_prevision_social_pib")</f>
        <v>gpc_prevision_social_pib</v>
      </c>
      <c r="C610" s="6">
        <f>IFERROR(__xludf.DUMMYFUNCTION("""COMPUTED_VALUE"""),7.89575508986267)</f>
        <v>7.89575509</v>
      </c>
      <c r="D610" s="6">
        <v>1999.0</v>
      </c>
      <c r="E610" s="6" t="s">
        <v>54</v>
      </c>
      <c r="F610" s="6">
        <v>7.89575508986267</v>
      </c>
    </row>
    <row r="611">
      <c r="A611" s="9">
        <f>IFERROR(__xludf.DUMMYFUNCTION("""COMPUTED_VALUE"""),36161.0)</f>
        <v>36161</v>
      </c>
      <c r="B611" s="6" t="str">
        <f>IFERROR(__xludf.DUMMYFUNCTION("""COMPUTED_VALUE"""),"gpc_programas_empleo_pib")</f>
        <v>gpc_programas_empleo_pib</v>
      </c>
      <c r="C611" s="6">
        <f>IFERROR(__xludf.DUMMYFUNCTION("""COMPUTED_VALUE"""),0.300993611721668)</f>
        <v>0.3009936117</v>
      </c>
      <c r="D611" s="6">
        <v>1999.0</v>
      </c>
      <c r="E611" s="6" t="s">
        <v>55</v>
      </c>
      <c r="F611" s="6">
        <v>0.300993611721668</v>
      </c>
    </row>
    <row r="612">
      <c r="A612" s="9">
        <f>IFERROR(__xludf.DUMMYFUNCTION("""COMPUTED_VALUE"""),36161.0)</f>
        <v>36161</v>
      </c>
      <c r="B612" s="6" t="str">
        <f>IFERROR(__xludf.DUMMYFUNCTION("""COMPUTED_VALUE"""),"gpc_asignaciones_familiares_pib")</f>
        <v>gpc_asignaciones_familiares_pib</v>
      </c>
      <c r="C612" s="6">
        <f>IFERROR(__xludf.DUMMYFUNCTION("""COMPUTED_VALUE"""),0.670490102112332)</f>
        <v>0.6704901021</v>
      </c>
      <c r="D612" s="6">
        <v>1999.0</v>
      </c>
      <c r="E612" s="6" t="s">
        <v>56</v>
      </c>
      <c r="F612" s="6">
        <v>0.670490102112332</v>
      </c>
    </row>
    <row r="613">
      <c r="A613" s="9">
        <f>IFERROR(__xludf.DUMMYFUNCTION("""COMPUTED_VALUE"""),36161.0)</f>
        <v>36161</v>
      </c>
      <c r="B613" s="6" t="str">
        <f>IFERROR(__xludf.DUMMYFUNCTION("""COMPUTED_VALUE"""),"gpc_otros_servicios_urbanos_pib")</f>
        <v>gpc_otros_servicios_urbanos_pib</v>
      </c>
      <c r="C613" s="6">
        <f>IFERROR(__xludf.DUMMYFUNCTION("""COMPUTED_VALUE"""),0.9167270035877)</f>
        <v>0.9167270036</v>
      </c>
      <c r="D613" s="6">
        <v>1999.0</v>
      </c>
      <c r="E613" s="6" t="s">
        <v>57</v>
      </c>
      <c r="F613" s="6">
        <v>0.9167270035877</v>
      </c>
    </row>
    <row r="614">
      <c r="A614" s="9">
        <f>IFERROR(__xludf.DUMMYFUNCTION("""COMPUTED_VALUE"""),36161.0)</f>
        <v>36161</v>
      </c>
      <c r="B614" s="6" t="str">
        <f>IFERROR(__xludf.DUMMYFUNCTION("""COMPUTED_VALUE"""),"gpc_servicios_economicos_pib")</f>
        <v>gpc_servicios_economicos_pib</v>
      </c>
      <c r="C614" s="6">
        <f>IFERROR(__xludf.DUMMYFUNCTION("""COMPUTED_VALUE"""),2.08696284497176)</f>
        <v>2.086962845</v>
      </c>
      <c r="D614" s="6">
        <v>1999.0</v>
      </c>
      <c r="E614" s="6" t="s">
        <v>58</v>
      </c>
      <c r="F614" s="6">
        <v>2.08696284497176</v>
      </c>
    </row>
    <row r="615">
      <c r="A615" s="9">
        <f>IFERROR(__xludf.DUMMYFUNCTION("""COMPUTED_VALUE"""),36161.0)</f>
        <v>36161</v>
      </c>
      <c r="B615" s="6" t="str">
        <f>IFERROR(__xludf.DUMMYFUNCTION("""COMPUTED_VALUE"""),"gpc_produccion_primaria_pib")</f>
        <v>gpc_produccion_primaria_pib</v>
      </c>
      <c r="C615" s="6">
        <f>IFERROR(__xludf.DUMMYFUNCTION("""COMPUTED_VALUE"""),0.406291937927364)</f>
        <v>0.4062919379</v>
      </c>
      <c r="D615" s="6">
        <v>1999.0</v>
      </c>
      <c r="E615" s="6" t="s">
        <v>59</v>
      </c>
      <c r="F615" s="6">
        <v>0.406291937927364</v>
      </c>
    </row>
    <row r="616">
      <c r="A616" s="9">
        <f>IFERROR(__xludf.DUMMYFUNCTION("""COMPUTED_VALUE"""),36161.0)</f>
        <v>36161</v>
      </c>
      <c r="B616" s="6" t="str">
        <f>IFERROR(__xludf.DUMMYFUNCTION("""COMPUTED_VALUE"""),"gpc_energia_combustible_pib")</f>
        <v>gpc_energia_combustible_pib</v>
      </c>
      <c r="C616" s="6">
        <f>IFERROR(__xludf.DUMMYFUNCTION("""COMPUTED_VALUE"""),0.248451841295451)</f>
        <v>0.2484518413</v>
      </c>
      <c r="D616" s="6">
        <v>1999.0</v>
      </c>
      <c r="E616" s="6" t="s">
        <v>60</v>
      </c>
      <c r="F616" s="6">
        <v>0.248451841295451</v>
      </c>
    </row>
    <row r="617">
      <c r="A617" s="9">
        <f>IFERROR(__xludf.DUMMYFUNCTION("""COMPUTED_VALUE"""),36161.0)</f>
        <v>36161</v>
      </c>
      <c r="B617" s="6" t="str">
        <f>IFERROR(__xludf.DUMMYFUNCTION("""COMPUTED_VALUE"""),"gpc_industria_pib")</f>
        <v>gpc_industria_pib</v>
      </c>
      <c r="C617" s="6">
        <f>IFERROR(__xludf.DUMMYFUNCTION("""COMPUTED_VALUE"""),0.0712405673245192)</f>
        <v>0.07124056732</v>
      </c>
      <c r="D617" s="6">
        <v>1999.0</v>
      </c>
      <c r="E617" s="6" t="s">
        <v>61</v>
      </c>
      <c r="F617" s="6">
        <v>0.0712405673245192</v>
      </c>
    </row>
    <row r="618">
      <c r="A618" s="9">
        <f>IFERROR(__xludf.DUMMYFUNCTION("""COMPUTED_VALUE"""),36161.0)</f>
        <v>36161</v>
      </c>
      <c r="B618" s="6" t="str">
        <f>IFERROR(__xludf.DUMMYFUNCTION("""COMPUTED_VALUE"""),"gpc_transporte_pib")</f>
        <v>gpc_transporte_pib</v>
      </c>
      <c r="C618" s="6">
        <f>IFERROR(__xludf.DUMMYFUNCTION("""COMPUTED_VALUE"""),1.06164620696785)</f>
        <v>1.061646207</v>
      </c>
      <c r="D618" s="6">
        <v>1999.0</v>
      </c>
      <c r="E618" s="6" t="s">
        <v>62</v>
      </c>
      <c r="F618" s="6">
        <v>1.06164620696785</v>
      </c>
    </row>
    <row r="619">
      <c r="A619" s="9">
        <f>IFERROR(__xludf.DUMMYFUNCTION("""COMPUTED_VALUE"""),36161.0)</f>
        <v>36161</v>
      </c>
      <c r="B619" s="6" t="str">
        <f>IFERROR(__xludf.DUMMYFUNCTION("""COMPUTED_VALUE"""),"gpc_comunicaciones_pib")</f>
        <v>gpc_comunicaciones_pib</v>
      </c>
      <c r="C619" s="6">
        <f>IFERROR(__xludf.DUMMYFUNCTION("""COMPUTED_VALUE"""),0.0693510948451243)</f>
        <v>0.06935109485</v>
      </c>
      <c r="D619" s="6">
        <v>1999.0</v>
      </c>
      <c r="E619" s="6" t="s">
        <v>63</v>
      </c>
      <c r="F619" s="6">
        <v>0.0693510948451243</v>
      </c>
    </row>
    <row r="620">
      <c r="A620" s="9">
        <f>IFERROR(__xludf.DUMMYFUNCTION("""COMPUTED_VALUE"""),36161.0)</f>
        <v>36161</v>
      </c>
      <c r="B620" s="6" t="str">
        <f>IFERROR(__xludf.DUMMYFUNCTION("""COMPUTED_VALUE"""),"gpc_otros_servicios_economicos_pib")</f>
        <v>gpc_otros_servicios_economicos_pib</v>
      </c>
      <c r="C620" s="6">
        <f>IFERROR(__xludf.DUMMYFUNCTION("""COMPUTED_VALUE"""),0.229981196611447)</f>
        <v>0.2299811966</v>
      </c>
      <c r="D620" s="6">
        <v>1999.0</v>
      </c>
      <c r="E620" s="6" t="s">
        <v>64</v>
      </c>
      <c r="F620" s="6">
        <v>0.229981196611447</v>
      </c>
    </row>
    <row r="621">
      <c r="A621" s="9">
        <f>IFERROR(__xludf.DUMMYFUNCTION("""COMPUTED_VALUE"""),36161.0)</f>
        <v>36161</v>
      </c>
      <c r="B621" s="6" t="str">
        <f>IFERROR(__xludf.DUMMYFUNCTION("""COMPUTED_VALUE"""),"gpc_servicios_deuda_publica_pib")</f>
        <v>gpc_servicios_deuda_publica_pib</v>
      </c>
      <c r="C621" s="6">
        <f>IFERROR(__xludf.DUMMYFUNCTION("""COMPUTED_VALUE"""),3.56452629186287)</f>
        <v>3.564526292</v>
      </c>
      <c r="D621" s="6">
        <v>1999.0</v>
      </c>
      <c r="E621" s="6" t="s">
        <v>65</v>
      </c>
      <c r="F621" s="6">
        <v>3.56452629186287</v>
      </c>
    </row>
    <row r="622">
      <c r="A622" s="9">
        <f>IFERROR(__xludf.DUMMYFUNCTION("""COMPUTED_VALUE"""),36526.0)</f>
        <v>36526</v>
      </c>
      <c r="B622" s="6" t="str">
        <f>IFERROR(__xludf.DUMMYFUNCTION("""COMPUTED_VALUE"""),"gpc_pib")</f>
        <v>gpc_pib</v>
      </c>
      <c r="C622" s="6">
        <f>IFERROR(__xludf.DUMMYFUNCTION("""COMPUTED_VALUE"""),33.8291236479034)</f>
        <v>33.82912365</v>
      </c>
      <c r="D622" s="6">
        <v>2000.0</v>
      </c>
      <c r="E622" s="6" t="s">
        <v>66</v>
      </c>
      <c r="F622" s="6">
        <v>33.8291236479034</v>
      </c>
    </row>
    <row r="623">
      <c r="A623" s="9">
        <f>IFERROR(__xludf.DUMMYFUNCTION("""COMPUTED_VALUE"""),36526.0)</f>
        <v>36526</v>
      </c>
      <c r="B623" s="6" t="str">
        <f>IFERROR(__xludf.DUMMYFUNCTION("""COMPUTED_VALUE"""),"gpc_funcionamiento_estado_pib")</f>
        <v>gpc_funcionamiento_estado_pib</v>
      </c>
      <c r="C623" s="6">
        <f>IFERROR(__xludf.DUMMYFUNCTION("""COMPUTED_VALUE"""),6.08127448750743)</f>
        <v>6.081274488</v>
      </c>
      <c r="D623" s="6">
        <v>2000.0</v>
      </c>
      <c r="E623" s="6" t="s">
        <v>36</v>
      </c>
      <c r="F623" s="6">
        <v>6.08127448750743</v>
      </c>
    </row>
    <row r="624">
      <c r="A624" s="9">
        <f>IFERROR(__xludf.DUMMYFUNCTION("""COMPUTED_VALUE"""),36526.0)</f>
        <v>36526</v>
      </c>
      <c r="B624" s="6" t="str">
        <f>IFERROR(__xludf.DUMMYFUNCTION("""COMPUTED_VALUE"""),"gpc_administracion_general_pib")</f>
        <v>gpc_administracion_general_pib</v>
      </c>
      <c r="C624" s="6">
        <f>IFERROR(__xludf.DUMMYFUNCTION("""COMPUTED_VALUE"""),2.80405565942438)</f>
        <v>2.804055659</v>
      </c>
      <c r="D624" s="6">
        <v>2000.0</v>
      </c>
      <c r="E624" s="6" t="s">
        <v>37</v>
      </c>
      <c r="F624" s="6">
        <v>2.80405565942438</v>
      </c>
    </row>
    <row r="625">
      <c r="A625" s="9">
        <f>IFERROR(__xludf.DUMMYFUNCTION("""COMPUTED_VALUE"""),36526.0)</f>
        <v>36526</v>
      </c>
      <c r="B625" s="6" t="str">
        <f>IFERROR(__xludf.DUMMYFUNCTION("""COMPUTED_VALUE"""),"gpc_justicia_pib")</f>
        <v>gpc_justicia_pib</v>
      </c>
      <c r="C625" s="6">
        <f>IFERROR(__xludf.DUMMYFUNCTION("""COMPUTED_VALUE"""),0.913555846498597)</f>
        <v>0.9135558465</v>
      </c>
      <c r="D625" s="6">
        <v>2000.0</v>
      </c>
      <c r="E625" s="6" t="s">
        <v>38</v>
      </c>
      <c r="F625" s="6">
        <v>0.913555846498597</v>
      </c>
    </row>
    <row r="626">
      <c r="A626" s="9">
        <f>IFERROR(__xludf.DUMMYFUNCTION("""COMPUTED_VALUE"""),36526.0)</f>
        <v>36526</v>
      </c>
      <c r="B626" s="6" t="str">
        <f>IFERROR(__xludf.DUMMYFUNCTION("""COMPUTED_VALUE"""),"gpc_defensa_seguridad_pib")</f>
        <v>gpc_defensa_seguridad_pib</v>
      </c>
      <c r="C626" s="6">
        <f>IFERROR(__xludf.DUMMYFUNCTION("""COMPUTED_VALUE"""),2.36366298158445)</f>
        <v>2.363662982</v>
      </c>
      <c r="D626" s="6">
        <v>2000.0</v>
      </c>
      <c r="E626" s="6" t="s">
        <v>39</v>
      </c>
      <c r="F626" s="6">
        <v>2.36366298158445</v>
      </c>
    </row>
    <row r="627">
      <c r="A627" s="9">
        <f>IFERROR(__xludf.DUMMYFUNCTION("""COMPUTED_VALUE"""),36526.0)</f>
        <v>36526</v>
      </c>
      <c r="B627" s="6" t="str">
        <f>IFERROR(__xludf.DUMMYFUNCTION("""COMPUTED_VALUE"""),"gpc_servicios_sociales_pib")</f>
        <v>gpc_servicios_sociales_pib</v>
      </c>
      <c r="C627" s="6">
        <f>IFERROR(__xludf.DUMMYFUNCTION("""COMPUTED_VALUE"""),21.7509208985982)</f>
        <v>21.7509209</v>
      </c>
      <c r="D627" s="6">
        <v>2000.0</v>
      </c>
      <c r="E627" s="6" t="s">
        <v>40</v>
      </c>
      <c r="F627" s="6">
        <v>21.7509208985982</v>
      </c>
    </row>
    <row r="628">
      <c r="A628" s="9">
        <f>IFERROR(__xludf.DUMMYFUNCTION("""COMPUTED_VALUE"""),36526.0)</f>
        <v>36526</v>
      </c>
      <c r="B628" s="6" t="str">
        <f>IFERROR(__xludf.DUMMYFUNCTION("""COMPUTED_VALUE"""),"gpc_educacion_basica_pib")</f>
        <v>gpc_educacion_basica_pib</v>
      </c>
      <c r="C628" s="6">
        <f>IFERROR(__xludf.DUMMYFUNCTION("""COMPUTED_VALUE"""),3.30969737574951)</f>
        <v>3.309697376</v>
      </c>
      <c r="D628" s="6">
        <v>2000.0</v>
      </c>
      <c r="E628" s="6" t="s">
        <v>41</v>
      </c>
      <c r="F628" s="6">
        <v>3.30969737574951</v>
      </c>
    </row>
    <row r="629">
      <c r="A629" s="9">
        <f>IFERROR(__xludf.DUMMYFUNCTION("""COMPUTED_VALUE"""),36526.0)</f>
        <v>36526</v>
      </c>
      <c r="B629" s="6" t="str">
        <f>IFERROR(__xludf.DUMMYFUNCTION("""COMPUTED_VALUE"""),"gpc_educacion_universitaria_pib")</f>
        <v>gpc_educacion_universitaria_pib</v>
      </c>
      <c r="C629" s="6">
        <f>IFERROR(__xludf.DUMMYFUNCTION("""COMPUTED_VALUE"""),0.924082889798268)</f>
        <v>0.9240828898</v>
      </c>
      <c r="D629" s="6">
        <v>2000.0</v>
      </c>
      <c r="E629" s="6" t="s">
        <v>42</v>
      </c>
      <c r="F629" s="6">
        <v>0.924082889798268</v>
      </c>
    </row>
    <row r="630">
      <c r="A630" s="9">
        <f>IFERROR(__xludf.DUMMYFUNCTION("""COMPUTED_VALUE"""),36526.0)</f>
        <v>36526</v>
      </c>
      <c r="B630" s="6" t="str">
        <f>IFERROR(__xludf.DUMMYFUNCTION("""COMPUTED_VALUE"""),"gpc_ciencia_tecnica_pib")</f>
        <v>gpc_ciencia_tecnica_pib</v>
      </c>
      <c r="C630" s="6">
        <f>IFERROR(__xludf.DUMMYFUNCTION("""COMPUTED_VALUE"""),0.204782772906078)</f>
        <v>0.2047827729</v>
      </c>
      <c r="D630" s="6">
        <v>2000.0</v>
      </c>
      <c r="E630" s="6" t="s">
        <v>43</v>
      </c>
      <c r="F630" s="6">
        <v>0.204782772906078</v>
      </c>
    </row>
    <row r="631">
      <c r="A631" s="9">
        <f>IFERROR(__xludf.DUMMYFUNCTION("""COMPUTED_VALUE"""),36526.0)</f>
        <v>36526</v>
      </c>
      <c r="B631" s="6" t="str">
        <f>IFERROR(__xludf.DUMMYFUNCTION("""COMPUTED_VALUE"""),"gpc_cultura_pib")</f>
        <v>gpc_cultura_pib</v>
      </c>
      <c r="C631" s="6">
        <f>IFERROR(__xludf.DUMMYFUNCTION("""COMPUTED_VALUE"""),0.202387318213592)</f>
        <v>0.2023873182</v>
      </c>
      <c r="D631" s="6">
        <v>2000.0</v>
      </c>
      <c r="E631" s="6" t="s">
        <v>44</v>
      </c>
      <c r="F631" s="6">
        <v>0.202387318213592</v>
      </c>
    </row>
    <row r="632">
      <c r="A632" s="9">
        <f>IFERROR(__xludf.DUMMYFUNCTION("""COMPUTED_VALUE"""),36526.0)</f>
        <v>36526</v>
      </c>
      <c r="B632" s="6" t="str">
        <f>IFERROR(__xludf.DUMMYFUNCTION("""COMPUTED_VALUE"""),"gpc_educacion_cultura_sin_discriminar_pib")</f>
        <v>gpc_educacion_cultura_sin_discriminar_pib</v>
      </c>
      <c r="C632" s="6">
        <f>IFERROR(__xludf.DUMMYFUNCTION("""COMPUTED_VALUE"""),0.380420010591321)</f>
        <v>0.3804200106</v>
      </c>
      <c r="D632" s="6">
        <v>2000.0</v>
      </c>
      <c r="E632" s="6" t="s">
        <v>45</v>
      </c>
      <c r="F632" s="6">
        <v>0.380420010591321</v>
      </c>
    </row>
    <row r="633">
      <c r="A633" s="9">
        <f>IFERROR(__xludf.DUMMYFUNCTION("""COMPUTED_VALUE"""),36526.0)</f>
        <v>36526</v>
      </c>
      <c r="B633" s="6" t="str">
        <f>IFERROR(__xludf.DUMMYFUNCTION("""COMPUTED_VALUE"""),"gpc_atencion_salud_pib")</f>
        <v>gpc_atencion_salud_pib</v>
      </c>
      <c r="C633" s="6">
        <f>IFERROR(__xludf.DUMMYFUNCTION("""COMPUTED_VALUE"""),2.16194045812263)</f>
        <v>2.161940458</v>
      </c>
      <c r="D633" s="6">
        <v>2000.0</v>
      </c>
      <c r="E633" s="6" t="s">
        <v>46</v>
      </c>
      <c r="F633" s="6">
        <v>2.16194045812263</v>
      </c>
    </row>
    <row r="634">
      <c r="A634" s="9">
        <f>IFERROR(__xludf.DUMMYFUNCTION("""COMPUTED_VALUE"""),36526.0)</f>
        <v>36526</v>
      </c>
      <c r="B634" s="6" t="str">
        <f>IFERROR(__xludf.DUMMYFUNCTION("""COMPUTED_VALUE"""),"gpc_obras_sociales_salud_pib")</f>
        <v>gpc_obras_sociales_salud_pib</v>
      </c>
      <c r="C634" s="6">
        <f>IFERROR(__xludf.DUMMYFUNCTION("""COMPUTED_VALUE"""),2.14153274662115)</f>
        <v>2.141532747</v>
      </c>
      <c r="D634" s="6">
        <v>2000.0</v>
      </c>
      <c r="E634" s="6" t="s">
        <v>47</v>
      </c>
      <c r="F634" s="6">
        <v>2.14153274662115</v>
      </c>
    </row>
    <row r="635">
      <c r="A635" s="9">
        <f>IFERROR(__xludf.DUMMYFUNCTION("""COMPUTED_VALUE"""),36526.0)</f>
        <v>36526</v>
      </c>
      <c r="B635" s="6" t="str">
        <f>IFERROR(__xludf.DUMMYFUNCTION("""COMPUTED_VALUE"""),"gpc_inssjyp_salud_pib")</f>
        <v>gpc_inssjyp_salud_pib</v>
      </c>
      <c r="C635" s="6">
        <f>IFERROR(__xludf.DUMMYFUNCTION("""COMPUTED_VALUE"""),0.785447987525279)</f>
        <v>0.7854479875</v>
      </c>
      <c r="D635" s="6">
        <v>2000.0</v>
      </c>
      <c r="E635" s="6" t="s">
        <v>48</v>
      </c>
      <c r="F635" s="6">
        <v>0.785447987525279</v>
      </c>
    </row>
    <row r="636">
      <c r="A636" s="9">
        <f>IFERROR(__xludf.DUMMYFUNCTION("""COMPUTED_VALUE"""),36526.0)</f>
        <v>36526</v>
      </c>
      <c r="B636" s="6" t="str">
        <f>IFERROR(__xludf.DUMMYFUNCTION("""COMPUTED_VALUE"""),"gpc_agua_alcantarillado_pib")</f>
        <v>gpc_agua_alcantarillado_pib</v>
      </c>
      <c r="C636" s="6">
        <f>IFERROR(__xludf.DUMMYFUNCTION("""COMPUTED_VALUE"""),0.209695060183779)</f>
        <v>0.2096950602</v>
      </c>
      <c r="D636" s="6">
        <v>2000.0</v>
      </c>
      <c r="E636" s="6" t="s">
        <v>49</v>
      </c>
      <c r="F636" s="6">
        <v>0.209695060183779</v>
      </c>
    </row>
    <row r="637">
      <c r="A637" s="9">
        <f>IFERROR(__xludf.DUMMYFUNCTION("""COMPUTED_VALUE"""),36526.0)</f>
        <v>36526</v>
      </c>
      <c r="B637" s="6" t="str">
        <f>IFERROR(__xludf.DUMMYFUNCTION("""COMPUTED_VALUE"""),"gpc_vivienda_urbanismo_pib")</f>
        <v>gpc_vivienda_urbanismo_pib</v>
      </c>
      <c r="C637" s="6">
        <f>IFERROR(__xludf.DUMMYFUNCTION("""COMPUTED_VALUE"""),0.601709933506054)</f>
        <v>0.6017099335</v>
      </c>
      <c r="D637" s="6">
        <v>2000.0</v>
      </c>
      <c r="E637" s="6" t="s">
        <v>50</v>
      </c>
      <c r="F637" s="6">
        <v>0.601709933506054</v>
      </c>
    </row>
    <row r="638">
      <c r="A638" s="9">
        <f>IFERROR(__xludf.DUMMYFUNCTION("""COMPUTED_VALUE"""),36526.0)</f>
        <v>36526</v>
      </c>
      <c r="B638" s="6" t="str">
        <f>IFERROR(__xludf.DUMMYFUNCTION("""COMPUTED_VALUE"""),"gpc_promocion_asistencia_social_pib")</f>
        <v>gpc_promocion_asistencia_social_pib</v>
      </c>
      <c r="C638" s="6">
        <f>IFERROR(__xludf.DUMMYFUNCTION("""COMPUTED_VALUE"""),0.890167838342959)</f>
        <v>0.8901678383</v>
      </c>
      <c r="D638" s="6">
        <v>2000.0</v>
      </c>
      <c r="E638" s="6" t="s">
        <v>51</v>
      </c>
      <c r="F638" s="6">
        <v>0.890167838342959</v>
      </c>
    </row>
    <row r="639">
      <c r="A639" s="9">
        <f>IFERROR(__xludf.DUMMYFUNCTION("""COMPUTED_VALUE"""),36526.0)</f>
        <v>36526</v>
      </c>
      <c r="B639" s="6" t="str">
        <f>IFERROR(__xludf.DUMMYFUNCTION("""COMPUTED_VALUE"""),"gpc_obras_sociales_prestaciones_pib")</f>
        <v>gpc_obras_sociales_prestaciones_pib</v>
      </c>
      <c r="C639" s="6">
        <f>IFERROR(__xludf.DUMMYFUNCTION("""COMPUTED_VALUE"""),0.111232830904875)</f>
        <v>0.1112328309</v>
      </c>
      <c r="D639" s="6">
        <v>2000.0</v>
      </c>
      <c r="E639" s="6" t="s">
        <v>52</v>
      </c>
      <c r="F639" s="6">
        <v>0.111232830904875</v>
      </c>
    </row>
    <row r="640">
      <c r="A640" s="9">
        <f>IFERROR(__xludf.DUMMYFUNCTION("""COMPUTED_VALUE"""),36526.0)</f>
        <v>36526</v>
      </c>
      <c r="B640" s="6" t="str">
        <f>IFERROR(__xludf.DUMMYFUNCTION("""COMPUTED_VALUE"""),"gpc_inssjyp_prestaciones_pib")</f>
        <v>gpc_inssjyp_prestaciones_pib</v>
      </c>
      <c r="C640" s="6">
        <f>IFERROR(__xludf.DUMMYFUNCTION("""COMPUTED_VALUE"""),0.11664781395248)</f>
        <v>0.116647814</v>
      </c>
      <c r="D640" s="6">
        <v>2000.0</v>
      </c>
      <c r="E640" s="6" t="s">
        <v>53</v>
      </c>
      <c r="F640" s="6">
        <v>0.11664781395248</v>
      </c>
    </row>
    <row r="641">
      <c r="A641" s="9">
        <f>IFERROR(__xludf.DUMMYFUNCTION("""COMPUTED_VALUE"""),36526.0)</f>
        <v>36526</v>
      </c>
      <c r="B641" s="6" t="str">
        <f>IFERROR(__xludf.DUMMYFUNCTION("""COMPUTED_VALUE"""),"gpc_prevision_social_pib")</f>
        <v>gpc_prevision_social_pib</v>
      </c>
      <c r="C641" s="6">
        <f>IFERROR(__xludf.DUMMYFUNCTION("""COMPUTED_VALUE"""),7.94913233213157)</f>
        <v>7.949132332</v>
      </c>
      <c r="D641" s="6">
        <v>2000.0</v>
      </c>
      <c r="E641" s="6" t="s">
        <v>54</v>
      </c>
      <c r="F641" s="6">
        <v>7.94913233213157</v>
      </c>
    </row>
    <row r="642">
      <c r="A642" s="9">
        <f>IFERROR(__xludf.DUMMYFUNCTION("""COMPUTED_VALUE"""),36526.0)</f>
        <v>36526</v>
      </c>
      <c r="B642" s="6" t="str">
        <f>IFERROR(__xludf.DUMMYFUNCTION("""COMPUTED_VALUE"""),"gpc_programas_empleo_pib")</f>
        <v>gpc_programas_empleo_pib</v>
      </c>
      <c r="C642" s="6">
        <f>IFERROR(__xludf.DUMMYFUNCTION("""COMPUTED_VALUE"""),0.298483793867464)</f>
        <v>0.2984837939</v>
      </c>
      <c r="D642" s="6">
        <v>2000.0</v>
      </c>
      <c r="E642" s="6" t="s">
        <v>55</v>
      </c>
      <c r="F642" s="6">
        <v>0.298483793867464</v>
      </c>
    </row>
    <row r="643">
      <c r="A643" s="9">
        <f>IFERROR(__xludf.DUMMYFUNCTION("""COMPUTED_VALUE"""),36526.0)</f>
        <v>36526</v>
      </c>
      <c r="B643" s="6" t="str">
        <f>IFERROR(__xludf.DUMMYFUNCTION("""COMPUTED_VALUE"""),"gpc_asignaciones_familiares_pib")</f>
        <v>gpc_asignaciones_familiares_pib</v>
      </c>
      <c r="C643" s="6">
        <f>IFERROR(__xludf.DUMMYFUNCTION("""COMPUTED_VALUE"""),0.659226469851448)</f>
        <v>0.6592264699</v>
      </c>
      <c r="D643" s="6">
        <v>2000.0</v>
      </c>
      <c r="E643" s="6" t="s">
        <v>56</v>
      </c>
      <c r="F643" s="6">
        <v>0.659226469851448</v>
      </c>
    </row>
    <row r="644">
      <c r="A644" s="9">
        <f>IFERROR(__xludf.DUMMYFUNCTION("""COMPUTED_VALUE"""),36526.0)</f>
        <v>36526</v>
      </c>
      <c r="B644" s="6" t="str">
        <f>IFERROR(__xludf.DUMMYFUNCTION("""COMPUTED_VALUE"""),"gpc_otros_servicios_urbanos_pib")</f>
        <v>gpc_otros_servicios_urbanos_pib</v>
      </c>
      <c r="C644" s="6">
        <f>IFERROR(__xludf.DUMMYFUNCTION("""COMPUTED_VALUE"""),0.804333266329761)</f>
        <v>0.8043332663</v>
      </c>
      <c r="D644" s="6">
        <v>2000.0</v>
      </c>
      <c r="E644" s="6" t="s">
        <v>57</v>
      </c>
      <c r="F644" s="6">
        <v>0.804333266329761</v>
      </c>
    </row>
    <row r="645">
      <c r="A645" s="9">
        <f>IFERROR(__xludf.DUMMYFUNCTION("""COMPUTED_VALUE"""),36526.0)</f>
        <v>36526</v>
      </c>
      <c r="B645" s="6" t="str">
        <f>IFERROR(__xludf.DUMMYFUNCTION("""COMPUTED_VALUE"""),"gpc_servicios_economicos_pib")</f>
        <v>gpc_servicios_economicos_pib</v>
      </c>
      <c r="C645" s="6">
        <f>IFERROR(__xludf.DUMMYFUNCTION("""COMPUTED_VALUE"""),1.73158065019561)</f>
        <v>1.73158065</v>
      </c>
      <c r="D645" s="6">
        <v>2000.0</v>
      </c>
      <c r="E645" s="6" t="s">
        <v>58</v>
      </c>
      <c r="F645" s="6">
        <v>1.73158065019561</v>
      </c>
    </row>
    <row r="646">
      <c r="A646" s="9">
        <f>IFERROR(__xludf.DUMMYFUNCTION("""COMPUTED_VALUE"""),36526.0)</f>
        <v>36526</v>
      </c>
      <c r="B646" s="6" t="str">
        <f>IFERROR(__xludf.DUMMYFUNCTION("""COMPUTED_VALUE"""),"gpc_produccion_primaria_pib")</f>
        <v>gpc_produccion_primaria_pib</v>
      </c>
      <c r="C646" s="6">
        <f>IFERROR(__xludf.DUMMYFUNCTION("""COMPUTED_VALUE"""),0.363078385030749)</f>
        <v>0.363078385</v>
      </c>
      <c r="D646" s="6">
        <v>2000.0</v>
      </c>
      <c r="E646" s="6" t="s">
        <v>59</v>
      </c>
      <c r="F646" s="6">
        <v>0.363078385030749</v>
      </c>
    </row>
    <row r="647">
      <c r="A647" s="9">
        <f>IFERROR(__xludf.DUMMYFUNCTION("""COMPUTED_VALUE"""),36526.0)</f>
        <v>36526</v>
      </c>
      <c r="B647" s="6" t="str">
        <f>IFERROR(__xludf.DUMMYFUNCTION("""COMPUTED_VALUE"""),"gpc_energia_combustible_pib")</f>
        <v>gpc_energia_combustible_pib</v>
      </c>
      <c r="C647" s="6">
        <f>IFERROR(__xludf.DUMMYFUNCTION("""COMPUTED_VALUE"""),0.262242765398608)</f>
        <v>0.2622427654</v>
      </c>
      <c r="D647" s="6">
        <v>2000.0</v>
      </c>
      <c r="E647" s="6" t="s">
        <v>60</v>
      </c>
      <c r="F647" s="6">
        <v>0.262242765398608</v>
      </c>
    </row>
    <row r="648">
      <c r="A648" s="9">
        <f>IFERROR(__xludf.DUMMYFUNCTION("""COMPUTED_VALUE"""),36526.0)</f>
        <v>36526</v>
      </c>
      <c r="B648" s="6" t="str">
        <f>IFERROR(__xludf.DUMMYFUNCTION("""COMPUTED_VALUE"""),"gpc_industria_pib")</f>
        <v>gpc_industria_pib</v>
      </c>
      <c r="C648" s="6">
        <f>IFERROR(__xludf.DUMMYFUNCTION("""COMPUTED_VALUE"""),0.0630347329702806)</f>
        <v>0.06303473297</v>
      </c>
      <c r="D648" s="6">
        <v>2000.0</v>
      </c>
      <c r="E648" s="6" t="s">
        <v>61</v>
      </c>
      <c r="F648" s="6">
        <v>0.0630347329702806</v>
      </c>
    </row>
    <row r="649">
      <c r="A649" s="9">
        <f>IFERROR(__xludf.DUMMYFUNCTION("""COMPUTED_VALUE"""),36526.0)</f>
        <v>36526</v>
      </c>
      <c r="B649" s="6" t="str">
        <f>IFERROR(__xludf.DUMMYFUNCTION("""COMPUTED_VALUE"""),"gpc_transporte_pib")</f>
        <v>gpc_transporte_pib</v>
      </c>
      <c r="C649" s="6">
        <f>IFERROR(__xludf.DUMMYFUNCTION("""COMPUTED_VALUE"""),0.805497025566246)</f>
        <v>0.8054970256</v>
      </c>
      <c r="D649" s="6">
        <v>2000.0</v>
      </c>
      <c r="E649" s="6" t="s">
        <v>62</v>
      </c>
      <c r="F649" s="6">
        <v>0.805497025566246</v>
      </c>
    </row>
    <row r="650">
      <c r="A650" s="9">
        <f>IFERROR(__xludf.DUMMYFUNCTION("""COMPUTED_VALUE"""),36526.0)</f>
        <v>36526</v>
      </c>
      <c r="B650" s="6" t="str">
        <f>IFERROR(__xludf.DUMMYFUNCTION("""COMPUTED_VALUE"""),"gpc_comunicaciones_pib")</f>
        <v>gpc_comunicaciones_pib</v>
      </c>
      <c r="C650" s="6">
        <f>IFERROR(__xludf.DUMMYFUNCTION("""COMPUTED_VALUE"""),0.0477047155812722)</f>
        <v>0.04770471558</v>
      </c>
      <c r="D650" s="6">
        <v>2000.0</v>
      </c>
      <c r="E650" s="6" t="s">
        <v>63</v>
      </c>
      <c r="F650" s="6">
        <v>0.0477047155812722</v>
      </c>
    </row>
    <row r="651">
      <c r="A651" s="9">
        <f>IFERROR(__xludf.DUMMYFUNCTION("""COMPUTED_VALUE"""),36526.0)</f>
        <v>36526</v>
      </c>
      <c r="B651" s="6" t="str">
        <f>IFERROR(__xludf.DUMMYFUNCTION("""COMPUTED_VALUE"""),"gpc_otros_servicios_economicos_pib")</f>
        <v>gpc_otros_servicios_economicos_pib</v>
      </c>
      <c r="C651" s="6">
        <f>IFERROR(__xludf.DUMMYFUNCTION("""COMPUTED_VALUE"""),0.190023025648454)</f>
        <v>0.1900230256</v>
      </c>
      <c r="D651" s="6">
        <v>2000.0</v>
      </c>
      <c r="E651" s="6" t="s">
        <v>64</v>
      </c>
      <c r="F651" s="6">
        <v>0.190023025648454</v>
      </c>
    </row>
    <row r="652">
      <c r="A652" s="9">
        <f>IFERROR(__xludf.DUMMYFUNCTION("""COMPUTED_VALUE"""),36526.0)</f>
        <v>36526</v>
      </c>
      <c r="B652" s="6" t="str">
        <f>IFERROR(__xludf.DUMMYFUNCTION("""COMPUTED_VALUE"""),"gpc_servicios_deuda_publica_pib")</f>
        <v>gpc_servicios_deuda_publica_pib</v>
      </c>
      <c r="C652" s="6">
        <f>IFERROR(__xludf.DUMMYFUNCTION("""COMPUTED_VALUE"""),4.26534761160213)</f>
        <v>4.265347612</v>
      </c>
      <c r="D652" s="6">
        <v>2000.0</v>
      </c>
      <c r="E652" s="6" t="s">
        <v>65</v>
      </c>
      <c r="F652" s="6">
        <v>4.26534761160213</v>
      </c>
    </row>
    <row r="653">
      <c r="A653" s="9">
        <f>IFERROR(__xludf.DUMMYFUNCTION("""COMPUTED_VALUE"""),36892.0)</f>
        <v>36892</v>
      </c>
      <c r="B653" s="6" t="str">
        <f>IFERROR(__xludf.DUMMYFUNCTION("""COMPUTED_VALUE"""),"gpc_pib")</f>
        <v>gpc_pib</v>
      </c>
      <c r="C653" s="6">
        <f>IFERROR(__xludf.DUMMYFUNCTION("""COMPUTED_VALUE"""),35.5976619716601)</f>
        <v>35.59766197</v>
      </c>
      <c r="D653" s="6">
        <v>2001.0</v>
      </c>
      <c r="E653" s="6" t="s">
        <v>66</v>
      </c>
      <c r="F653" s="6">
        <v>35.5976619716601</v>
      </c>
    </row>
    <row r="654">
      <c r="A654" s="9">
        <f>IFERROR(__xludf.DUMMYFUNCTION("""COMPUTED_VALUE"""),36892.0)</f>
        <v>36892</v>
      </c>
      <c r="B654" s="6" t="str">
        <f>IFERROR(__xludf.DUMMYFUNCTION("""COMPUTED_VALUE"""),"gpc_funcionamiento_estado_pib")</f>
        <v>gpc_funcionamiento_estado_pib</v>
      </c>
      <c r="C654" s="6">
        <f>IFERROR(__xludf.DUMMYFUNCTION("""COMPUTED_VALUE"""),6.16495728085366)</f>
        <v>6.164957281</v>
      </c>
      <c r="D654" s="6">
        <v>2001.0</v>
      </c>
      <c r="E654" s="6" t="s">
        <v>36</v>
      </c>
      <c r="F654" s="6">
        <v>6.16495728085366</v>
      </c>
    </row>
    <row r="655">
      <c r="A655" s="9">
        <f>IFERROR(__xludf.DUMMYFUNCTION("""COMPUTED_VALUE"""),36892.0)</f>
        <v>36892</v>
      </c>
      <c r="B655" s="6" t="str">
        <f>IFERROR(__xludf.DUMMYFUNCTION("""COMPUTED_VALUE"""),"gpc_administracion_general_pib")</f>
        <v>gpc_administracion_general_pib</v>
      </c>
      <c r="C655" s="6">
        <f>IFERROR(__xludf.DUMMYFUNCTION("""COMPUTED_VALUE"""),2.74178709319381)</f>
        <v>2.741787093</v>
      </c>
      <c r="D655" s="6">
        <v>2001.0</v>
      </c>
      <c r="E655" s="6" t="s">
        <v>37</v>
      </c>
      <c r="F655" s="6">
        <v>2.74178709319381</v>
      </c>
    </row>
    <row r="656">
      <c r="A656" s="9">
        <f>IFERROR(__xludf.DUMMYFUNCTION("""COMPUTED_VALUE"""),36892.0)</f>
        <v>36892</v>
      </c>
      <c r="B656" s="6" t="str">
        <f>IFERROR(__xludf.DUMMYFUNCTION("""COMPUTED_VALUE"""),"gpc_justicia_pib")</f>
        <v>gpc_justicia_pib</v>
      </c>
      <c r="C656" s="6">
        <f>IFERROR(__xludf.DUMMYFUNCTION("""COMPUTED_VALUE"""),0.975524532972941)</f>
        <v>0.975524533</v>
      </c>
      <c r="D656" s="6">
        <v>2001.0</v>
      </c>
      <c r="E656" s="6" t="s">
        <v>38</v>
      </c>
      <c r="F656" s="6">
        <v>0.975524532972941</v>
      </c>
    </row>
    <row r="657">
      <c r="A657" s="9">
        <f>IFERROR(__xludf.DUMMYFUNCTION("""COMPUTED_VALUE"""),36892.0)</f>
        <v>36892</v>
      </c>
      <c r="B657" s="6" t="str">
        <f>IFERROR(__xludf.DUMMYFUNCTION("""COMPUTED_VALUE"""),"gpc_defensa_seguridad_pib")</f>
        <v>gpc_defensa_seguridad_pib</v>
      </c>
      <c r="C657" s="6">
        <f>IFERROR(__xludf.DUMMYFUNCTION("""COMPUTED_VALUE"""),2.4476456546869)</f>
        <v>2.447645655</v>
      </c>
      <c r="D657" s="6">
        <v>2001.0</v>
      </c>
      <c r="E657" s="6" t="s">
        <v>39</v>
      </c>
      <c r="F657" s="6">
        <v>2.4476456546869</v>
      </c>
    </row>
    <row r="658">
      <c r="A658" s="9">
        <f>IFERROR(__xludf.DUMMYFUNCTION("""COMPUTED_VALUE"""),36892.0)</f>
        <v>36892</v>
      </c>
      <c r="B658" s="6" t="str">
        <f>IFERROR(__xludf.DUMMYFUNCTION("""COMPUTED_VALUE"""),"gpc_servicios_sociales_pib")</f>
        <v>gpc_servicios_sociales_pib</v>
      </c>
      <c r="C658" s="6">
        <f>IFERROR(__xludf.DUMMYFUNCTION("""COMPUTED_VALUE"""),22.3921442883675)</f>
        <v>22.39214429</v>
      </c>
      <c r="D658" s="6">
        <v>2001.0</v>
      </c>
      <c r="E658" s="6" t="s">
        <v>40</v>
      </c>
      <c r="F658" s="6">
        <v>22.3921442883675</v>
      </c>
    </row>
    <row r="659">
      <c r="A659" s="9">
        <f>IFERROR(__xludf.DUMMYFUNCTION("""COMPUTED_VALUE"""),36892.0)</f>
        <v>36892</v>
      </c>
      <c r="B659" s="6" t="str">
        <f>IFERROR(__xludf.DUMMYFUNCTION("""COMPUTED_VALUE"""),"gpc_educacion_basica_pib")</f>
        <v>gpc_educacion_basica_pib</v>
      </c>
      <c r="C659" s="6">
        <f>IFERROR(__xludf.DUMMYFUNCTION("""COMPUTED_VALUE"""),3.48685260816441)</f>
        <v>3.486852608</v>
      </c>
      <c r="D659" s="6">
        <v>2001.0</v>
      </c>
      <c r="E659" s="6" t="s">
        <v>41</v>
      </c>
      <c r="F659" s="6">
        <v>3.48685260816441</v>
      </c>
    </row>
    <row r="660">
      <c r="A660" s="9">
        <f>IFERROR(__xludf.DUMMYFUNCTION("""COMPUTED_VALUE"""),36892.0)</f>
        <v>36892</v>
      </c>
      <c r="B660" s="6" t="str">
        <f>IFERROR(__xludf.DUMMYFUNCTION("""COMPUTED_VALUE"""),"gpc_educacion_universitaria_pib")</f>
        <v>gpc_educacion_universitaria_pib</v>
      </c>
      <c r="C660" s="6">
        <f>IFERROR(__xludf.DUMMYFUNCTION("""COMPUTED_VALUE"""),0.95553218101721)</f>
        <v>0.955532181</v>
      </c>
      <c r="D660" s="6">
        <v>2001.0</v>
      </c>
      <c r="E660" s="6" t="s">
        <v>42</v>
      </c>
      <c r="F660" s="6">
        <v>0.95553218101721</v>
      </c>
    </row>
    <row r="661">
      <c r="A661" s="9">
        <f>IFERROR(__xludf.DUMMYFUNCTION("""COMPUTED_VALUE"""),36892.0)</f>
        <v>36892</v>
      </c>
      <c r="B661" s="6" t="str">
        <f>IFERROR(__xludf.DUMMYFUNCTION("""COMPUTED_VALUE"""),"gpc_ciencia_tecnica_pib")</f>
        <v>gpc_ciencia_tecnica_pib</v>
      </c>
      <c r="C661" s="6">
        <f>IFERROR(__xludf.DUMMYFUNCTION("""COMPUTED_VALUE"""),0.190361071670332)</f>
        <v>0.1903610717</v>
      </c>
      <c r="D661" s="6">
        <v>2001.0</v>
      </c>
      <c r="E661" s="6" t="s">
        <v>43</v>
      </c>
      <c r="F661" s="6">
        <v>0.190361071670332</v>
      </c>
    </row>
    <row r="662">
      <c r="A662" s="9">
        <f>IFERROR(__xludf.DUMMYFUNCTION("""COMPUTED_VALUE"""),36892.0)</f>
        <v>36892</v>
      </c>
      <c r="B662" s="6" t="str">
        <f>IFERROR(__xludf.DUMMYFUNCTION("""COMPUTED_VALUE"""),"gpc_cultura_pib")</f>
        <v>gpc_cultura_pib</v>
      </c>
      <c r="C662" s="6">
        <f>IFERROR(__xludf.DUMMYFUNCTION("""COMPUTED_VALUE"""),0.190788108788626)</f>
        <v>0.1907881088</v>
      </c>
      <c r="D662" s="6">
        <v>2001.0</v>
      </c>
      <c r="E662" s="6" t="s">
        <v>44</v>
      </c>
      <c r="F662" s="6">
        <v>0.190788108788626</v>
      </c>
    </row>
    <row r="663">
      <c r="A663" s="9">
        <f>IFERROR(__xludf.DUMMYFUNCTION("""COMPUTED_VALUE"""),36892.0)</f>
        <v>36892</v>
      </c>
      <c r="B663" s="6" t="str">
        <f>IFERROR(__xludf.DUMMYFUNCTION("""COMPUTED_VALUE"""),"gpc_educacion_cultura_sin_discriminar_pib")</f>
        <v>gpc_educacion_cultura_sin_discriminar_pib</v>
      </c>
      <c r="C663" s="6">
        <f>IFERROR(__xludf.DUMMYFUNCTION("""COMPUTED_VALUE"""),0.374174113702173)</f>
        <v>0.3741741137</v>
      </c>
      <c r="D663" s="6">
        <v>2001.0</v>
      </c>
      <c r="E663" s="6" t="s">
        <v>45</v>
      </c>
      <c r="F663" s="6">
        <v>0.374174113702173</v>
      </c>
    </row>
    <row r="664">
      <c r="A664" s="9">
        <f>IFERROR(__xludf.DUMMYFUNCTION("""COMPUTED_VALUE"""),36892.0)</f>
        <v>36892</v>
      </c>
      <c r="B664" s="6" t="str">
        <f>IFERROR(__xludf.DUMMYFUNCTION("""COMPUTED_VALUE"""),"gpc_atencion_salud_pib")</f>
        <v>gpc_atencion_salud_pib</v>
      </c>
      <c r="C664" s="6">
        <f>IFERROR(__xludf.DUMMYFUNCTION("""COMPUTED_VALUE"""),2.13769259116602)</f>
        <v>2.137692591</v>
      </c>
      <c r="D664" s="6">
        <v>2001.0</v>
      </c>
      <c r="E664" s="6" t="s">
        <v>46</v>
      </c>
      <c r="F664" s="6">
        <v>2.13769259116602</v>
      </c>
    </row>
    <row r="665">
      <c r="A665" s="9">
        <f>IFERROR(__xludf.DUMMYFUNCTION("""COMPUTED_VALUE"""),36892.0)</f>
        <v>36892</v>
      </c>
      <c r="B665" s="6" t="str">
        <f>IFERROR(__xludf.DUMMYFUNCTION("""COMPUTED_VALUE"""),"gpc_obras_sociales_salud_pib")</f>
        <v>gpc_obras_sociales_salud_pib</v>
      </c>
      <c r="C665" s="6">
        <f>IFERROR(__xludf.DUMMYFUNCTION("""COMPUTED_VALUE"""),2.1260913931352)</f>
        <v>2.126091393</v>
      </c>
      <c r="D665" s="6">
        <v>2001.0</v>
      </c>
      <c r="E665" s="6" t="s">
        <v>47</v>
      </c>
      <c r="F665" s="6">
        <v>2.1260913931352</v>
      </c>
    </row>
    <row r="666">
      <c r="A666" s="9">
        <f>IFERROR(__xludf.DUMMYFUNCTION("""COMPUTED_VALUE"""),36892.0)</f>
        <v>36892</v>
      </c>
      <c r="B666" s="6" t="str">
        <f>IFERROR(__xludf.DUMMYFUNCTION("""COMPUTED_VALUE"""),"gpc_inssjyp_salud_pib")</f>
        <v>gpc_inssjyp_salud_pib</v>
      </c>
      <c r="C666" s="6">
        <f>IFERROR(__xludf.DUMMYFUNCTION("""COMPUTED_VALUE"""),0.789361284837142)</f>
        <v>0.7893612848</v>
      </c>
      <c r="D666" s="6">
        <v>2001.0</v>
      </c>
      <c r="E666" s="6" t="s">
        <v>48</v>
      </c>
      <c r="F666" s="6">
        <v>0.789361284837142</v>
      </c>
    </row>
    <row r="667">
      <c r="A667" s="9">
        <f>IFERROR(__xludf.DUMMYFUNCTION("""COMPUTED_VALUE"""),36892.0)</f>
        <v>36892</v>
      </c>
      <c r="B667" s="6" t="str">
        <f>IFERROR(__xludf.DUMMYFUNCTION("""COMPUTED_VALUE"""),"gpc_agua_alcantarillado_pib")</f>
        <v>gpc_agua_alcantarillado_pib</v>
      </c>
      <c r="C667" s="6">
        <f>IFERROR(__xludf.DUMMYFUNCTION("""COMPUTED_VALUE"""),0.204928568839537)</f>
        <v>0.2049285688</v>
      </c>
      <c r="D667" s="6">
        <v>2001.0</v>
      </c>
      <c r="E667" s="6" t="s">
        <v>49</v>
      </c>
      <c r="F667" s="6">
        <v>0.204928568839537</v>
      </c>
    </row>
    <row r="668">
      <c r="A668" s="9">
        <f>IFERROR(__xludf.DUMMYFUNCTION("""COMPUTED_VALUE"""),36892.0)</f>
        <v>36892</v>
      </c>
      <c r="B668" s="6" t="str">
        <f>IFERROR(__xludf.DUMMYFUNCTION("""COMPUTED_VALUE"""),"gpc_vivienda_urbanismo_pib")</f>
        <v>gpc_vivienda_urbanismo_pib</v>
      </c>
      <c r="C668" s="6">
        <f>IFERROR(__xludf.DUMMYFUNCTION("""COMPUTED_VALUE"""),0.744386700271484)</f>
        <v>0.7443867003</v>
      </c>
      <c r="D668" s="6">
        <v>2001.0</v>
      </c>
      <c r="E668" s="6" t="s">
        <v>50</v>
      </c>
      <c r="F668" s="6">
        <v>0.744386700271484</v>
      </c>
    </row>
    <row r="669">
      <c r="A669" s="9">
        <f>IFERROR(__xludf.DUMMYFUNCTION("""COMPUTED_VALUE"""),36892.0)</f>
        <v>36892</v>
      </c>
      <c r="B669" s="6" t="str">
        <f>IFERROR(__xludf.DUMMYFUNCTION("""COMPUTED_VALUE"""),"gpc_promocion_asistencia_social_pib")</f>
        <v>gpc_promocion_asistencia_social_pib</v>
      </c>
      <c r="C669" s="6">
        <f>IFERROR(__xludf.DUMMYFUNCTION("""COMPUTED_VALUE"""),0.905270517574356)</f>
        <v>0.9052705176</v>
      </c>
      <c r="D669" s="6">
        <v>2001.0</v>
      </c>
      <c r="E669" s="6" t="s">
        <v>51</v>
      </c>
      <c r="F669" s="6">
        <v>0.905270517574356</v>
      </c>
    </row>
    <row r="670">
      <c r="A670" s="9">
        <f>IFERROR(__xludf.DUMMYFUNCTION("""COMPUTED_VALUE"""),36892.0)</f>
        <v>36892</v>
      </c>
      <c r="B670" s="6" t="str">
        <f>IFERROR(__xludf.DUMMYFUNCTION("""COMPUTED_VALUE"""),"gpc_obras_sociales_prestaciones_pib")</f>
        <v>gpc_obras_sociales_prestaciones_pib</v>
      </c>
      <c r="C670" s="6">
        <f>IFERROR(__xludf.DUMMYFUNCTION("""COMPUTED_VALUE"""),0.146718979639761)</f>
        <v>0.1467189796</v>
      </c>
      <c r="D670" s="6">
        <v>2001.0</v>
      </c>
      <c r="E670" s="6" t="s">
        <v>52</v>
      </c>
      <c r="F670" s="6">
        <v>0.146718979639761</v>
      </c>
    </row>
    <row r="671">
      <c r="A671" s="9">
        <f>IFERROR(__xludf.DUMMYFUNCTION("""COMPUTED_VALUE"""),36892.0)</f>
        <v>36892</v>
      </c>
      <c r="B671" s="6" t="str">
        <f>IFERROR(__xludf.DUMMYFUNCTION("""COMPUTED_VALUE"""),"gpc_inssjyp_prestaciones_pib")</f>
        <v>gpc_inssjyp_prestaciones_pib</v>
      </c>
      <c r="C671" s="6">
        <f>IFERROR(__xludf.DUMMYFUNCTION("""COMPUTED_VALUE"""),0.0998312549781269)</f>
        <v>0.09983125498</v>
      </c>
      <c r="D671" s="6">
        <v>2001.0</v>
      </c>
      <c r="E671" s="6" t="s">
        <v>53</v>
      </c>
      <c r="F671" s="6">
        <v>0.0998312549781269</v>
      </c>
    </row>
    <row r="672">
      <c r="A672" s="9">
        <f>IFERROR(__xludf.DUMMYFUNCTION("""COMPUTED_VALUE"""),36892.0)</f>
        <v>36892</v>
      </c>
      <c r="B672" s="6" t="str">
        <f>IFERROR(__xludf.DUMMYFUNCTION("""COMPUTED_VALUE"""),"gpc_prevision_social_pib")</f>
        <v>gpc_prevision_social_pib</v>
      </c>
      <c r="C672" s="6">
        <f>IFERROR(__xludf.DUMMYFUNCTION("""COMPUTED_VALUE"""),8.16520463077483)</f>
        <v>8.165204631</v>
      </c>
      <c r="D672" s="6">
        <v>2001.0</v>
      </c>
      <c r="E672" s="6" t="s">
        <v>54</v>
      </c>
      <c r="F672" s="6">
        <v>8.16520463077483</v>
      </c>
    </row>
    <row r="673">
      <c r="A673" s="9">
        <f>IFERROR(__xludf.DUMMYFUNCTION("""COMPUTED_VALUE"""),36892.0)</f>
        <v>36892</v>
      </c>
      <c r="B673" s="6" t="str">
        <f>IFERROR(__xludf.DUMMYFUNCTION("""COMPUTED_VALUE"""),"gpc_programas_empleo_pib")</f>
        <v>gpc_programas_empleo_pib</v>
      </c>
      <c r="C673" s="6">
        <f>IFERROR(__xludf.DUMMYFUNCTION("""COMPUTED_VALUE"""),0.408042657916452)</f>
        <v>0.4080426579</v>
      </c>
      <c r="D673" s="6">
        <v>2001.0</v>
      </c>
      <c r="E673" s="6" t="s">
        <v>55</v>
      </c>
      <c r="F673" s="6">
        <v>0.408042657916452</v>
      </c>
    </row>
    <row r="674">
      <c r="A674" s="9">
        <f>IFERROR(__xludf.DUMMYFUNCTION("""COMPUTED_VALUE"""),36892.0)</f>
        <v>36892</v>
      </c>
      <c r="B674" s="6" t="str">
        <f>IFERROR(__xludf.DUMMYFUNCTION("""COMPUTED_VALUE"""),"gpc_asignaciones_familiares_pib")</f>
        <v>gpc_asignaciones_familiares_pib</v>
      </c>
      <c r="C674" s="6">
        <f>IFERROR(__xludf.DUMMYFUNCTION("""COMPUTED_VALUE"""),0.674632638875778)</f>
        <v>0.6746326389</v>
      </c>
      <c r="D674" s="6">
        <v>2001.0</v>
      </c>
      <c r="E674" s="6" t="s">
        <v>56</v>
      </c>
      <c r="F674" s="6">
        <v>0.674632638875778</v>
      </c>
    </row>
    <row r="675">
      <c r="A675" s="9">
        <f>IFERROR(__xludf.DUMMYFUNCTION("""COMPUTED_VALUE"""),36892.0)</f>
        <v>36892</v>
      </c>
      <c r="B675" s="6" t="str">
        <f>IFERROR(__xludf.DUMMYFUNCTION("""COMPUTED_VALUE"""),"gpc_otros_servicios_urbanos_pib")</f>
        <v>gpc_otros_servicios_urbanos_pib</v>
      </c>
      <c r="C675" s="6">
        <f>IFERROR(__xludf.DUMMYFUNCTION("""COMPUTED_VALUE"""),0.792274987016127)</f>
        <v>0.792274987</v>
      </c>
      <c r="D675" s="6">
        <v>2001.0</v>
      </c>
      <c r="E675" s="6" t="s">
        <v>57</v>
      </c>
      <c r="F675" s="6">
        <v>0.792274987016127</v>
      </c>
    </row>
    <row r="676">
      <c r="A676" s="9">
        <f>IFERROR(__xludf.DUMMYFUNCTION("""COMPUTED_VALUE"""),36892.0)</f>
        <v>36892</v>
      </c>
      <c r="B676" s="6" t="str">
        <f>IFERROR(__xludf.DUMMYFUNCTION("""COMPUTED_VALUE"""),"gpc_servicios_economicos_pib")</f>
        <v>gpc_servicios_economicos_pib</v>
      </c>
      <c r="C676" s="6">
        <f>IFERROR(__xludf.DUMMYFUNCTION("""COMPUTED_VALUE"""),1.72247638525068)</f>
        <v>1.722476385</v>
      </c>
      <c r="D676" s="6">
        <v>2001.0</v>
      </c>
      <c r="E676" s="6" t="s">
        <v>58</v>
      </c>
      <c r="F676" s="6">
        <v>1.72247638525068</v>
      </c>
    </row>
    <row r="677">
      <c r="A677" s="9">
        <f>IFERROR(__xludf.DUMMYFUNCTION("""COMPUTED_VALUE"""),36892.0)</f>
        <v>36892</v>
      </c>
      <c r="B677" s="6" t="str">
        <f>IFERROR(__xludf.DUMMYFUNCTION("""COMPUTED_VALUE"""),"gpc_produccion_primaria_pib")</f>
        <v>gpc_produccion_primaria_pib</v>
      </c>
      <c r="C677" s="6">
        <f>IFERROR(__xludf.DUMMYFUNCTION("""COMPUTED_VALUE"""),0.334162558863183)</f>
        <v>0.3341625589</v>
      </c>
      <c r="D677" s="6">
        <v>2001.0</v>
      </c>
      <c r="E677" s="6" t="s">
        <v>59</v>
      </c>
      <c r="F677" s="6">
        <v>0.334162558863183</v>
      </c>
    </row>
    <row r="678">
      <c r="A678" s="9">
        <f>IFERROR(__xludf.DUMMYFUNCTION("""COMPUTED_VALUE"""),36892.0)</f>
        <v>36892</v>
      </c>
      <c r="B678" s="6" t="str">
        <f>IFERROR(__xludf.DUMMYFUNCTION("""COMPUTED_VALUE"""),"gpc_energia_combustible_pib")</f>
        <v>gpc_energia_combustible_pib</v>
      </c>
      <c r="C678" s="6">
        <f>IFERROR(__xludf.DUMMYFUNCTION("""COMPUTED_VALUE"""),0.211457251086594)</f>
        <v>0.2114572511</v>
      </c>
      <c r="D678" s="6">
        <v>2001.0</v>
      </c>
      <c r="E678" s="6" t="s">
        <v>60</v>
      </c>
      <c r="F678" s="6">
        <v>0.211457251086594</v>
      </c>
    </row>
    <row r="679">
      <c r="A679" s="9">
        <f>IFERROR(__xludf.DUMMYFUNCTION("""COMPUTED_VALUE"""),36892.0)</f>
        <v>36892</v>
      </c>
      <c r="B679" s="6" t="str">
        <f>IFERROR(__xludf.DUMMYFUNCTION("""COMPUTED_VALUE"""),"gpc_industria_pib")</f>
        <v>gpc_industria_pib</v>
      </c>
      <c r="C679" s="6">
        <f>IFERROR(__xludf.DUMMYFUNCTION("""COMPUTED_VALUE"""),0.0641645911998202)</f>
        <v>0.0641645912</v>
      </c>
      <c r="D679" s="6">
        <v>2001.0</v>
      </c>
      <c r="E679" s="6" t="s">
        <v>61</v>
      </c>
      <c r="F679" s="6">
        <v>0.0641645911998202</v>
      </c>
    </row>
    <row r="680">
      <c r="A680" s="9">
        <f>IFERROR(__xludf.DUMMYFUNCTION("""COMPUTED_VALUE"""),36892.0)</f>
        <v>36892</v>
      </c>
      <c r="B680" s="6" t="str">
        <f>IFERROR(__xludf.DUMMYFUNCTION("""COMPUTED_VALUE"""),"gpc_transporte_pib")</f>
        <v>gpc_transporte_pib</v>
      </c>
      <c r="C680" s="6">
        <f>IFERROR(__xludf.DUMMYFUNCTION("""COMPUTED_VALUE"""),0.827801980597702)</f>
        <v>0.8278019806</v>
      </c>
      <c r="D680" s="6">
        <v>2001.0</v>
      </c>
      <c r="E680" s="6" t="s">
        <v>62</v>
      </c>
      <c r="F680" s="6">
        <v>0.827801980597702</v>
      </c>
    </row>
    <row r="681">
      <c r="A681" s="9">
        <f>IFERROR(__xludf.DUMMYFUNCTION("""COMPUTED_VALUE"""),36892.0)</f>
        <v>36892</v>
      </c>
      <c r="B681" s="6" t="str">
        <f>IFERROR(__xludf.DUMMYFUNCTION("""COMPUTED_VALUE"""),"gpc_comunicaciones_pib")</f>
        <v>gpc_comunicaciones_pib</v>
      </c>
      <c r="C681" s="6">
        <f>IFERROR(__xludf.DUMMYFUNCTION("""COMPUTED_VALUE"""),0.0764241118106132)</f>
        <v>0.07642411181</v>
      </c>
      <c r="D681" s="6">
        <v>2001.0</v>
      </c>
      <c r="E681" s="6" t="s">
        <v>63</v>
      </c>
      <c r="F681" s="6">
        <v>0.0764241118106132</v>
      </c>
    </row>
    <row r="682">
      <c r="A682" s="9">
        <f>IFERROR(__xludf.DUMMYFUNCTION("""COMPUTED_VALUE"""),36892.0)</f>
        <v>36892</v>
      </c>
      <c r="B682" s="6" t="str">
        <f>IFERROR(__xludf.DUMMYFUNCTION("""COMPUTED_VALUE"""),"gpc_otros_servicios_economicos_pib")</f>
        <v>gpc_otros_servicios_economicos_pib</v>
      </c>
      <c r="C682" s="6">
        <f>IFERROR(__xludf.DUMMYFUNCTION("""COMPUTED_VALUE"""),0.208465891692773)</f>
        <v>0.2084658917</v>
      </c>
      <c r="D682" s="6">
        <v>2001.0</v>
      </c>
      <c r="E682" s="6" t="s">
        <v>64</v>
      </c>
      <c r="F682" s="6">
        <v>0.208465891692773</v>
      </c>
    </row>
    <row r="683">
      <c r="A683" s="9">
        <f>IFERROR(__xludf.DUMMYFUNCTION("""COMPUTED_VALUE"""),36892.0)</f>
        <v>36892</v>
      </c>
      <c r="B683" s="6" t="str">
        <f>IFERROR(__xludf.DUMMYFUNCTION("""COMPUTED_VALUE"""),"gpc_servicios_deuda_publica_pib")</f>
        <v>gpc_servicios_deuda_publica_pib</v>
      </c>
      <c r="C683" s="6">
        <f>IFERROR(__xludf.DUMMYFUNCTION("""COMPUTED_VALUE"""),5.31808401718817)</f>
        <v>5.318084017</v>
      </c>
      <c r="D683" s="6">
        <v>2001.0</v>
      </c>
      <c r="E683" s="6" t="s">
        <v>65</v>
      </c>
      <c r="F683" s="6">
        <v>5.31808401718817</v>
      </c>
    </row>
    <row r="684">
      <c r="A684" s="9">
        <f>IFERROR(__xludf.DUMMYFUNCTION("""COMPUTED_VALUE"""),37257.0)</f>
        <v>37257</v>
      </c>
      <c r="B684" s="6" t="str">
        <f>IFERROR(__xludf.DUMMYFUNCTION("""COMPUTED_VALUE"""),"gpc_pib")</f>
        <v>gpc_pib</v>
      </c>
      <c r="C684" s="6">
        <f>IFERROR(__xludf.DUMMYFUNCTION("""COMPUTED_VALUE"""),29.1075300062972)</f>
        <v>29.10753001</v>
      </c>
      <c r="D684" s="6">
        <v>2002.0</v>
      </c>
      <c r="E684" s="6" t="s">
        <v>66</v>
      </c>
      <c r="F684" s="6">
        <v>29.1075300062972</v>
      </c>
    </row>
    <row r="685">
      <c r="A685" s="9">
        <f>IFERROR(__xludf.DUMMYFUNCTION("""COMPUTED_VALUE"""),37257.0)</f>
        <v>37257</v>
      </c>
      <c r="B685" s="6" t="str">
        <f>IFERROR(__xludf.DUMMYFUNCTION("""COMPUTED_VALUE"""),"gpc_funcionamiento_estado_pib")</f>
        <v>gpc_funcionamiento_estado_pib</v>
      </c>
      <c r="C685" s="6">
        <f>IFERROR(__xludf.DUMMYFUNCTION("""COMPUTED_VALUE"""),5.28322253661596)</f>
        <v>5.283222537</v>
      </c>
      <c r="D685" s="6">
        <v>2002.0</v>
      </c>
      <c r="E685" s="6" t="s">
        <v>36</v>
      </c>
      <c r="F685" s="6">
        <v>5.28322253661596</v>
      </c>
    </row>
    <row r="686">
      <c r="A686" s="9">
        <f>IFERROR(__xludf.DUMMYFUNCTION("""COMPUTED_VALUE"""),37257.0)</f>
        <v>37257</v>
      </c>
      <c r="B686" s="6" t="str">
        <f>IFERROR(__xludf.DUMMYFUNCTION("""COMPUTED_VALUE"""),"gpc_administracion_general_pib")</f>
        <v>gpc_administracion_general_pib</v>
      </c>
      <c r="C686" s="6">
        <f>IFERROR(__xludf.DUMMYFUNCTION("""COMPUTED_VALUE"""),2.27138870048097)</f>
        <v>2.2713887</v>
      </c>
      <c r="D686" s="6">
        <v>2002.0</v>
      </c>
      <c r="E686" s="6" t="s">
        <v>37</v>
      </c>
      <c r="F686" s="6">
        <v>2.27138870048097</v>
      </c>
    </row>
    <row r="687">
      <c r="A687" s="9">
        <f>IFERROR(__xludf.DUMMYFUNCTION("""COMPUTED_VALUE"""),37257.0)</f>
        <v>37257</v>
      </c>
      <c r="B687" s="6" t="str">
        <f>IFERROR(__xludf.DUMMYFUNCTION("""COMPUTED_VALUE"""),"gpc_justicia_pib")</f>
        <v>gpc_justicia_pib</v>
      </c>
      <c r="C687" s="6">
        <f>IFERROR(__xludf.DUMMYFUNCTION("""COMPUTED_VALUE"""),0.813898980776701)</f>
        <v>0.8138989808</v>
      </c>
      <c r="D687" s="6">
        <v>2002.0</v>
      </c>
      <c r="E687" s="6" t="s">
        <v>38</v>
      </c>
      <c r="F687" s="6">
        <v>0.813898980776701</v>
      </c>
    </row>
    <row r="688">
      <c r="A688" s="9">
        <f>IFERROR(__xludf.DUMMYFUNCTION("""COMPUTED_VALUE"""),37257.0)</f>
        <v>37257</v>
      </c>
      <c r="B688" s="6" t="str">
        <f>IFERROR(__xludf.DUMMYFUNCTION("""COMPUTED_VALUE"""),"gpc_defensa_seguridad_pib")</f>
        <v>gpc_defensa_seguridad_pib</v>
      </c>
      <c r="C688" s="6">
        <f>IFERROR(__xludf.DUMMYFUNCTION("""COMPUTED_VALUE"""),2.19793485535829)</f>
        <v>2.197934855</v>
      </c>
      <c r="D688" s="6">
        <v>2002.0</v>
      </c>
      <c r="E688" s="6" t="s">
        <v>39</v>
      </c>
      <c r="F688" s="6">
        <v>2.19793485535829</v>
      </c>
    </row>
    <row r="689">
      <c r="A689" s="9">
        <f>IFERROR(__xludf.DUMMYFUNCTION("""COMPUTED_VALUE"""),37257.0)</f>
        <v>37257</v>
      </c>
      <c r="B689" s="6" t="str">
        <f>IFERROR(__xludf.DUMMYFUNCTION("""COMPUTED_VALUE"""),"gpc_servicios_sociales_pib")</f>
        <v>gpc_servicios_sociales_pib</v>
      </c>
      <c r="C689" s="6">
        <f>IFERROR(__xludf.DUMMYFUNCTION("""COMPUTED_VALUE"""),19.841962190755)</f>
        <v>19.84196219</v>
      </c>
      <c r="D689" s="6">
        <v>2002.0</v>
      </c>
      <c r="E689" s="6" t="s">
        <v>40</v>
      </c>
      <c r="F689" s="6">
        <v>19.841962190755</v>
      </c>
    </row>
    <row r="690">
      <c r="A690" s="9">
        <f>IFERROR(__xludf.DUMMYFUNCTION("""COMPUTED_VALUE"""),37257.0)</f>
        <v>37257</v>
      </c>
      <c r="B690" s="6" t="str">
        <f>IFERROR(__xludf.DUMMYFUNCTION("""COMPUTED_VALUE"""),"gpc_educacion_basica_pib")</f>
        <v>gpc_educacion_basica_pib</v>
      </c>
      <c r="C690" s="6">
        <f>IFERROR(__xludf.DUMMYFUNCTION("""COMPUTED_VALUE"""),2.91396926335604)</f>
        <v>2.913969263</v>
      </c>
      <c r="D690" s="6">
        <v>2002.0</v>
      </c>
      <c r="E690" s="6" t="s">
        <v>41</v>
      </c>
      <c r="F690" s="6">
        <v>2.91396926335604</v>
      </c>
    </row>
    <row r="691">
      <c r="A691" s="9">
        <f>IFERROR(__xludf.DUMMYFUNCTION("""COMPUTED_VALUE"""),37257.0)</f>
        <v>37257</v>
      </c>
      <c r="B691" s="6" t="str">
        <f>IFERROR(__xludf.DUMMYFUNCTION("""COMPUTED_VALUE"""),"gpc_educacion_universitaria_pib")</f>
        <v>gpc_educacion_universitaria_pib</v>
      </c>
      <c r="C691" s="6">
        <f>IFERROR(__xludf.DUMMYFUNCTION("""COMPUTED_VALUE"""),0.805739470352617)</f>
        <v>0.8057394704</v>
      </c>
      <c r="D691" s="6">
        <v>2002.0</v>
      </c>
      <c r="E691" s="6" t="s">
        <v>42</v>
      </c>
      <c r="F691" s="6">
        <v>0.805739470352617</v>
      </c>
    </row>
    <row r="692">
      <c r="A692" s="9">
        <f>IFERROR(__xludf.DUMMYFUNCTION("""COMPUTED_VALUE"""),37257.0)</f>
        <v>37257</v>
      </c>
      <c r="B692" s="6" t="str">
        <f>IFERROR(__xludf.DUMMYFUNCTION("""COMPUTED_VALUE"""),"gpc_ciencia_tecnica_pib")</f>
        <v>gpc_ciencia_tecnica_pib</v>
      </c>
      <c r="C692" s="6">
        <f>IFERROR(__xludf.DUMMYFUNCTION("""COMPUTED_VALUE"""),0.182512636992074)</f>
        <v>0.182512637</v>
      </c>
      <c r="D692" s="6">
        <v>2002.0</v>
      </c>
      <c r="E692" s="6" t="s">
        <v>43</v>
      </c>
      <c r="F692" s="6">
        <v>0.182512636992074</v>
      </c>
    </row>
    <row r="693">
      <c r="A693" s="9">
        <f>IFERROR(__xludf.DUMMYFUNCTION("""COMPUTED_VALUE"""),37257.0)</f>
        <v>37257</v>
      </c>
      <c r="B693" s="6" t="str">
        <f>IFERROR(__xludf.DUMMYFUNCTION("""COMPUTED_VALUE"""),"gpc_cultura_pib")</f>
        <v>gpc_cultura_pib</v>
      </c>
      <c r="C693" s="6">
        <f>IFERROR(__xludf.DUMMYFUNCTION("""COMPUTED_VALUE"""),0.155057452259974)</f>
        <v>0.1550574523</v>
      </c>
      <c r="D693" s="6">
        <v>2002.0</v>
      </c>
      <c r="E693" s="6" t="s">
        <v>44</v>
      </c>
      <c r="F693" s="6">
        <v>0.155057452259974</v>
      </c>
    </row>
    <row r="694">
      <c r="A694" s="9">
        <f>IFERROR(__xludf.DUMMYFUNCTION("""COMPUTED_VALUE"""),37257.0)</f>
        <v>37257</v>
      </c>
      <c r="B694" s="6" t="str">
        <f>IFERROR(__xludf.DUMMYFUNCTION("""COMPUTED_VALUE"""),"gpc_educacion_cultura_sin_discriminar_pib")</f>
        <v>gpc_educacion_cultura_sin_discriminar_pib</v>
      </c>
      <c r="C694" s="6">
        <f>IFERROR(__xludf.DUMMYFUNCTION("""COMPUTED_VALUE"""),0.306009218847177)</f>
        <v>0.3060092188</v>
      </c>
      <c r="D694" s="6">
        <v>2002.0</v>
      </c>
      <c r="E694" s="6" t="s">
        <v>45</v>
      </c>
      <c r="F694" s="6">
        <v>0.306009218847177</v>
      </c>
    </row>
    <row r="695">
      <c r="A695" s="9">
        <f>IFERROR(__xludf.DUMMYFUNCTION("""COMPUTED_VALUE"""),37257.0)</f>
        <v>37257</v>
      </c>
      <c r="B695" s="6" t="str">
        <f>IFERROR(__xludf.DUMMYFUNCTION("""COMPUTED_VALUE"""),"gpc_atencion_salud_pib")</f>
        <v>gpc_atencion_salud_pib</v>
      </c>
      <c r="C695" s="6">
        <f>IFERROR(__xludf.DUMMYFUNCTION("""COMPUTED_VALUE"""),1.88267626846122)</f>
        <v>1.882676268</v>
      </c>
      <c r="D695" s="6">
        <v>2002.0</v>
      </c>
      <c r="E695" s="6" t="s">
        <v>46</v>
      </c>
      <c r="F695" s="6">
        <v>1.88267626846122</v>
      </c>
    </row>
    <row r="696">
      <c r="A696" s="9">
        <f>IFERROR(__xludf.DUMMYFUNCTION("""COMPUTED_VALUE"""),37257.0)</f>
        <v>37257</v>
      </c>
      <c r="B696" s="6" t="str">
        <f>IFERROR(__xludf.DUMMYFUNCTION("""COMPUTED_VALUE"""),"gpc_obras_sociales_salud_pib")</f>
        <v>gpc_obras_sociales_salud_pib</v>
      </c>
      <c r="C696" s="6">
        <f>IFERROR(__xludf.DUMMYFUNCTION("""COMPUTED_VALUE"""),1.90845634984155)</f>
        <v>1.90845635</v>
      </c>
      <c r="D696" s="6">
        <v>2002.0</v>
      </c>
      <c r="E696" s="6" t="s">
        <v>47</v>
      </c>
      <c r="F696" s="6">
        <v>1.90845634984155</v>
      </c>
    </row>
    <row r="697">
      <c r="A697" s="9">
        <f>IFERROR(__xludf.DUMMYFUNCTION("""COMPUTED_VALUE"""),37257.0)</f>
        <v>37257</v>
      </c>
      <c r="B697" s="6" t="str">
        <f>IFERROR(__xludf.DUMMYFUNCTION("""COMPUTED_VALUE"""),"gpc_inssjyp_salud_pib")</f>
        <v>gpc_inssjyp_salud_pib</v>
      </c>
      <c r="C697" s="6">
        <f>IFERROR(__xludf.DUMMYFUNCTION("""COMPUTED_VALUE"""),0.652531566936166)</f>
        <v>0.6525315669</v>
      </c>
      <c r="D697" s="6">
        <v>2002.0</v>
      </c>
      <c r="E697" s="6" t="s">
        <v>48</v>
      </c>
      <c r="F697" s="6">
        <v>0.652531566936166</v>
      </c>
    </row>
    <row r="698">
      <c r="A698" s="9">
        <f>IFERROR(__xludf.DUMMYFUNCTION("""COMPUTED_VALUE"""),37257.0)</f>
        <v>37257</v>
      </c>
      <c r="B698" s="6" t="str">
        <f>IFERROR(__xludf.DUMMYFUNCTION("""COMPUTED_VALUE"""),"gpc_agua_alcantarillado_pib")</f>
        <v>gpc_agua_alcantarillado_pib</v>
      </c>
      <c r="C698" s="6">
        <f>IFERROR(__xludf.DUMMYFUNCTION("""COMPUTED_VALUE"""),0.189656145309624)</f>
        <v>0.1896561453</v>
      </c>
      <c r="D698" s="6">
        <v>2002.0</v>
      </c>
      <c r="E698" s="6" t="s">
        <v>49</v>
      </c>
      <c r="F698" s="6">
        <v>0.189656145309624</v>
      </c>
    </row>
    <row r="699">
      <c r="A699" s="9">
        <f>IFERROR(__xludf.DUMMYFUNCTION("""COMPUTED_VALUE"""),37257.0)</f>
        <v>37257</v>
      </c>
      <c r="B699" s="6" t="str">
        <f>IFERROR(__xludf.DUMMYFUNCTION("""COMPUTED_VALUE"""),"gpc_vivienda_urbanismo_pib")</f>
        <v>gpc_vivienda_urbanismo_pib</v>
      </c>
      <c r="C699" s="6">
        <f>IFERROR(__xludf.DUMMYFUNCTION("""COMPUTED_VALUE"""),0.522681063028782)</f>
        <v>0.522681063</v>
      </c>
      <c r="D699" s="6">
        <v>2002.0</v>
      </c>
      <c r="E699" s="6" t="s">
        <v>50</v>
      </c>
      <c r="F699" s="6">
        <v>0.522681063028782</v>
      </c>
    </row>
    <row r="700">
      <c r="A700" s="9">
        <f>IFERROR(__xludf.DUMMYFUNCTION("""COMPUTED_VALUE"""),37257.0)</f>
        <v>37257</v>
      </c>
      <c r="B700" s="6" t="str">
        <f>IFERROR(__xludf.DUMMYFUNCTION("""COMPUTED_VALUE"""),"gpc_promocion_asistencia_social_pib")</f>
        <v>gpc_promocion_asistencia_social_pib</v>
      </c>
      <c r="C700" s="6">
        <f>IFERROR(__xludf.DUMMYFUNCTION("""COMPUTED_VALUE"""),0.868453074359239)</f>
        <v>0.8684530744</v>
      </c>
      <c r="D700" s="6">
        <v>2002.0</v>
      </c>
      <c r="E700" s="6" t="s">
        <v>51</v>
      </c>
      <c r="F700" s="6">
        <v>0.868453074359239</v>
      </c>
    </row>
    <row r="701">
      <c r="A701" s="9">
        <f>IFERROR(__xludf.DUMMYFUNCTION("""COMPUTED_VALUE"""),37257.0)</f>
        <v>37257</v>
      </c>
      <c r="B701" s="6" t="str">
        <f>IFERROR(__xludf.DUMMYFUNCTION("""COMPUTED_VALUE"""),"gpc_obras_sociales_prestaciones_pib")</f>
        <v>gpc_obras_sociales_prestaciones_pib</v>
      </c>
      <c r="C701" s="6">
        <f>IFERROR(__xludf.DUMMYFUNCTION("""COMPUTED_VALUE"""),0.103956957525991)</f>
        <v>0.1039569575</v>
      </c>
      <c r="D701" s="6">
        <v>2002.0</v>
      </c>
      <c r="E701" s="6" t="s">
        <v>52</v>
      </c>
      <c r="F701" s="6">
        <v>0.103956957525991</v>
      </c>
    </row>
    <row r="702">
      <c r="A702" s="9">
        <f>IFERROR(__xludf.DUMMYFUNCTION("""COMPUTED_VALUE"""),37257.0)</f>
        <v>37257</v>
      </c>
      <c r="B702" s="6" t="str">
        <f>IFERROR(__xludf.DUMMYFUNCTION("""COMPUTED_VALUE"""),"gpc_inssjyp_prestaciones_pib")</f>
        <v>gpc_inssjyp_prestaciones_pib</v>
      </c>
      <c r="C702" s="6">
        <f>IFERROR(__xludf.DUMMYFUNCTION("""COMPUTED_VALUE"""),0.0805077297789019)</f>
        <v>0.08050772978</v>
      </c>
      <c r="D702" s="6">
        <v>2002.0</v>
      </c>
      <c r="E702" s="6" t="s">
        <v>53</v>
      </c>
      <c r="F702" s="6">
        <v>0.0805077297789019</v>
      </c>
    </row>
    <row r="703">
      <c r="A703" s="9">
        <f>IFERROR(__xludf.DUMMYFUNCTION("""COMPUTED_VALUE"""),37257.0)</f>
        <v>37257</v>
      </c>
      <c r="B703" s="6" t="str">
        <f>IFERROR(__xludf.DUMMYFUNCTION("""COMPUTED_VALUE"""),"gpc_prevision_social_pib")</f>
        <v>gpc_prevision_social_pib</v>
      </c>
      <c r="C703" s="6">
        <f>IFERROR(__xludf.DUMMYFUNCTION("""COMPUTED_VALUE"""),7.09194742235367)</f>
        <v>7.091947422</v>
      </c>
      <c r="D703" s="6">
        <v>2002.0</v>
      </c>
      <c r="E703" s="6" t="s">
        <v>54</v>
      </c>
      <c r="F703" s="6">
        <v>7.09194742235367</v>
      </c>
    </row>
    <row r="704">
      <c r="A704" s="9">
        <f>IFERROR(__xludf.DUMMYFUNCTION("""COMPUTED_VALUE"""),37257.0)</f>
        <v>37257</v>
      </c>
      <c r="B704" s="6" t="str">
        <f>IFERROR(__xludf.DUMMYFUNCTION("""COMPUTED_VALUE"""),"gpc_programas_empleo_pib")</f>
        <v>gpc_programas_empleo_pib</v>
      </c>
      <c r="C704" s="6">
        <f>IFERROR(__xludf.DUMMYFUNCTION("""COMPUTED_VALUE"""),1.03558473939052)</f>
        <v>1.035584739</v>
      </c>
      <c r="D704" s="6">
        <v>2002.0</v>
      </c>
      <c r="E704" s="6" t="s">
        <v>55</v>
      </c>
      <c r="F704" s="6">
        <v>1.03558473939052</v>
      </c>
    </row>
    <row r="705">
      <c r="A705" s="9">
        <f>IFERROR(__xludf.DUMMYFUNCTION("""COMPUTED_VALUE"""),37257.0)</f>
        <v>37257</v>
      </c>
      <c r="B705" s="6" t="str">
        <f>IFERROR(__xludf.DUMMYFUNCTION("""COMPUTED_VALUE"""),"gpc_asignaciones_familiares_pib")</f>
        <v>gpc_asignaciones_familiares_pib</v>
      </c>
      <c r="C705" s="6">
        <f>IFERROR(__xludf.DUMMYFUNCTION("""COMPUTED_VALUE"""),0.509661626440251)</f>
        <v>0.5096616264</v>
      </c>
      <c r="D705" s="6">
        <v>2002.0</v>
      </c>
      <c r="E705" s="6" t="s">
        <v>56</v>
      </c>
      <c r="F705" s="6">
        <v>0.509661626440251</v>
      </c>
    </row>
    <row r="706">
      <c r="A706" s="9">
        <f>IFERROR(__xludf.DUMMYFUNCTION("""COMPUTED_VALUE"""),37257.0)</f>
        <v>37257</v>
      </c>
      <c r="B706" s="6" t="str">
        <f>IFERROR(__xludf.DUMMYFUNCTION("""COMPUTED_VALUE"""),"gpc_otros_servicios_urbanos_pib")</f>
        <v>gpc_otros_servicios_urbanos_pib</v>
      </c>
      <c r="C706" s="6">
        <f>IFERROR(__xludf.DUMMYFUNCTION("""COMPUTED_VALUE"""),0.63256120552121)</f>
        <v>0.6325612055</v>
      </c>
      <c r="D706" s="6">
        <v>2002.0</v>
      </c>
      <c r="E706" s="6" t="s">
        <v>57</v>
      </c>
      <c r="F706" s="6">
        <v>0.63256120552121</v>
      </c>
    </row>
    <row r="707">
      <c r="A707" s="9">
        <f>IFERROR(__xludf.DUMMYFUNCTION("""COMPUTED_VALUE"""),37257.0)</f>
        <v>37257</v>
      </c>
      <c r="B707" s="6" t="str">
        <f>IFERROR(__xludf.DUMMYFUNCTION("""COMPUTED_VALUE"""),"gpc_servicios_economicos_pib")</f>
        <v>gpc_servicios_economicos_pib</v>
      </c>
      <c r="C707" s="6">
        <f>IFERROR(__xludf.DUMMYFUNCTION("""COMPUTED_VALUE"""),1.34736882879082)</f>
        <v>1.347368829</v>
      </c>
      <c r="D707" s="6">
        <v>2002.0</v>
      </c>
      <c r="E707" s="6" t="s">
        <v>58</v>
      </c>
      <c r="F707" s="6">
        <v>1.34736882879082</v>
      </c>
    </row>
    <row r="708">
      <c r="A708" s="9">
        <f>IFERROR(__xludf.DUMMYFUNCTION("""COMPUTED_VALUE"""),37257.0)</f>
        <v>37257</v>
      </c>
      <c r="B708" s="6" t="str">
        <f>IFERROR(__xludf.DUMMYFUNCTION("""COMPUTED_VALUE"""),"gpc_produccion_primaria_pib")</f>
        <v>gpc_produccion_primaria_pib</v>
      </c>
      <c r="C708" s="6">
        <f>IFERROR(__xludf.DUMMYFUNCTION("""COMPUTED_VALUE"""),0.286841331308963)</f>
        <v>0.2868413313</v>
      </c>
      <c r="D708" s="6">
        <v>2002.0</v>
      </c>
      <c r="E708" s="6" t="s">
        <v>59</v>
      </c>
      <c r="F708" s="6">
        <v>0.286841331308963</v>
      </c>
    </row>
    <row r="709">
      <c r="A709" s="9">
        <f>IFERROR(__xludf.DUMMYFUNCTION("""COMPUTED_VALUE"""),37257.0)</f>
        <v>37257</v>
      </c>
      <c r="B709" s="6" t="str">
        <f>IFERROR(__xludf.DUMMYFUNCTION("""COMPUTED_VALUE"""),"gpc_energia_combustible_pib")</f>
        <v>gpc_energia_combustible_pib</v>
      </c>
      <c r="C709" s="6">
        <f>IFERROR(__xludf.DUMMYFUNCTION("""COMPUTED_VALUE"""),0.205485581343293)</f>
        <v>0.2054855813</v>
      </c>
      <c r="D709" s="6">
        <v>2002.0</v>
      </c>
      <c r="E709" s="6" t="s">
        <v>60</v>
      </c>
      <c r="F709" s="6">
        <v>0.205485581343293</v>
      </c>
    </row>
    <row r="710">
      <c r="A710" s="9">
        <f>IFERROR(__xludf.DUMMYFUNCTION("""COMPUTED_VALUE"""),37257.0)</f>
        <v>37257</v>
      </c>
      <c r="B710" s="6" t="str">
        <f>IFERROR(__xludf.DUMMYFUNCTION("""COMPUTED_VALUE"""),"gpc_industria_pib")</f>
        <v>gpc_industria_pib</v>
      </c>
      <c r="C710" s="6">
        <f>IFERROR(__xludf.DUMMYFUNCTION("""COMPUTED_VALUE"""),0.0502151215575739)</f>
        <v>0.05021512156</v>
      </c>
      <c r="D710" s="6">
        <v>2002.0</v>
      </c>
      <c r="E710" s="6" t="s">
        <v>61</v>
      </c>
      <c r="F710" s="6">
        <v>0.0502151215575739</v>
      </c>
    </row>
    <row r="711">
      <c r="A711" s="9">
        <f>IFERROR(__xludf.DUMMYFUNCTION("""COMPUTED_VALUE"""),37257.0)</f>
        <v>37257</v>
      </c>
      <c r="B711" s="6" t="str">
        <f>IFERROR(__xludf.DUMMYFUNCTION("""COMPUTED_VALUE"""),"gpc_transporte_pib")</f>
        <v>gpc_transporte_pib</v>
      </c>
      <c r="C711" s="6">
        <f>IFERROR(__xludf.DUMMYFUNCTION("""COMPUTED_VALUE"""),0.587142480171199)</f>
        <v>0.5871424802</v>
      </c>
      <c r="D711" s="6">
        <v>2002.0</v>
      </c>
      <c r="E711" s="6" t="s">
        <v>62</v>
      </c>
      <c r="F711" s="6">
        <v>0.587142480171199</v>
      </c>
    </row>
    <row r="712">
      <c r="A712" s="9">
        <f>IFERROR(__xludf.DUMMYFUNCTION("""COMPUTED_VALUE"""),37257.0)</f>
        <v>37257</v>
      </c>
      <c r="B712" s="6" t="str">
        <f>IFERROR(__xludf.DUMMYFUNCTION("""COMPUTED_VALUE"""),"gpc_comunicaciones_pib")</f>
        <v>gpc_comunicaciones_pib</v>
      </c>
      <c r="C712" s="6">
        <f>IFERROR(__xludf.DUMMYFUNCTION("""COMPUTED_VALUE"""),0.0530643195168731)</f>
        <v>0.05306431952</v>
      </c>
      <c r="D712" s="6">
        <v>2002.0</v>
      </c>
      <c r="E712" s="6" t="s">
        <v>63</v>
      </c>
      <c r="F712" s="6">
        <v>0.0530643195168731</v>
      </c>
    </row>
    <row r="713">
      <c r="A713" s="9">
        <f>IFERROR(__xludf.DUMMYFUNCTION("""COMPUTED_VALUE"""),37257.0)</f>
        <v>37257</v>
      </c>
      <c r="B713" s="6" t="str">
        <f>IFERROR(__xludf.DUMMYFUNCTION("""COMPUTED_VALUE"""),"gpc_otros_servicios_economicos_pib")</f>
        <v>gpc_otros_servicios_economicos_pib</v>
      </c>
      <c r="C713" s="6">
        <f>IFERROR(__xludf.DUMMYFUNCTION("""COMPUTED_VALUE"""),0.164619994892919)</f>
        <v>0.1646199949</v>
      </c>
      <c r="D713" s="6">
        <v>2002.0</v>
      </c>
      <c r="E713" s="6" t="s">
        <v>64</v>
      </c>
      <c r="F713" s="6">
        <v>0.164619994892919</v>
      </c>
    </row>
    <row r="714">
      <c r="A714" s="9">
        <f>IFERROR(__xludf.DUMMYFUNCTION("""COMPUTED_VALUE"""),37257.0)</f>
        <v>37257</v>
      </c>
      <c r="B714" s="6" t="str">
        <f>IFERROR(__xludf.DUMMYFUNCTION("""COMPUTED_VALUE"""),"gpc_servicios_deuda_publica_pib")</f>
        <v>gpc_servicios_deuda_publica_pib</v>
      </c>
      <c r="C714" s="6">
        <f>IFERROR(__xludf.DUMMYFUNCTION("""COMPUTED_VALUE"""),2.63497645013537)</f>
        <v>2.63497645</v>
      </c>
      <c r="D714" s="6">
        <v>2002.0</v>
      </c>
      <c r="E714" s="6" t="s">
        <v>65</v>
      </c>
      <c r="F714" s="6">
        <v>2.63497645013537</v>
      </c>
    </row>
    <row r="715">
      <c r="A715" s="9">
        <f>IFERROR(__xludf.DUMMYFUNCTION("""COMPUTED_VALUE"""),37622.0)</f>
        <v>37622</v>
      </c>
      <c r="B715" s="6" t="str">
        <f>IFERROR(__xludf.DUMMYFUNCTION("""COMPUTED_VALUE"""),"gpc_pib")</f>
        <v>gpc_pib</v>
      </c>
      <c r="C715" s="6">
        <f>IFERROR(__xludf.DUMMYFUNCTION("""COMPUTED_VALUE"""),29.449469668082)</f>
        <v>29.44946967</v>
      </c>
      <c r="D715" s="6">
        <v>2003.0</v>
      </c>
      <c r="E715" s="6" t="s">
        <v>66</v>
      </c>
      <c r="F715" s="6">
        <v>29.449469668082</v>
      </c>
    </row>
    <row r="716">
      <c r="A716" s="9">
        <f>IFERROR(__xludf.DUMMYFUNCTION("""COMPUTED_VALUE"""),37622.0)</f>
        <v>37622</v>
      </c>
      <c r="B716" s="6" t="str">
        <f>IFERROR(__xludf.DUMMYFUNCTION("""COMPUTED_VALUE"""),"gpc_funcionamiento_estado_pib")</f>
        <v>gpc_funcionamiento_estado_pib</v>
      </c>
      <c r="C716" s="6">
        <f>IFERROR(__xludf.DUMMYFUNCTION("""COMPUTED_VALUE"""),5.26216322911255)</f>
        <v>5.262163229</v>
      </c>
      <c r="D716" s="6">
        <v>2003.0</v>
      </c>
      <c r="E716" s="6" t="s">
        <v>36</v>
      </c>
      <c r="F716" s="6">
        <v>5.26216322911255</v>
      </c>
    </row>
    <row r="717">
      <c r="A717" s="9">
        <f>IFERROR(__xludf.DUMMYFUNCTION("""COMPUTED_VALUE"""),37622.0)</f>
        <v>37622</v>
      </c>
      <c r="B717" s="6" t="str">
        <f>IFERROR(__xludf.DUMMYFUNCTION("""COMPUTED_VALUE"""),"gpc_administracion_general_pib")</f>
        <v>gpc_administracion_general_pib</v>
      </c>
      <c r="C717" s="6">
        <f>IFERROR(__xludf.DUMMYFUNCTION("""COMPUTED_VALUE"""),2.36876916045601)</f>
        <v>2.36876916</v>
      </c>
      <c r="D717" s="6">
        <v>2003.0</v>
      </c>
      <c r="E717" s="6" t="s">
        <v>37</v>
      </c>
      <c r="F717" s="6">
        <v>2.36876916045601</v>
      </c>
    </row>
    <row r="718">
      <c r="A718" s="9">
        <f>IFERROR(__xludf.DUMMYFUNCTION("""COMPUTED_VALUE"""),37622.0)</f>
        <v>37622</v>
      </c>
      <c r="B718" s="6" t="str">
        <f>IFERROR(__xludf.DUMMYFUNCTION("""COMPUTED_VALUE"""),"gpc_justicia_pib")</f>
        <v>gpc_justicia_pib</v>
      </c>
      <c r="C718" s="6">
        <f>IFERROR(__xludf.DUMMYFUNCTION("""COMPUTED_VALUE"""),0.728412689643543)</f>
        <v>0.7284126896</v>
      </c>
      <c r="D718" s="6">
        <v>2003.0</v>
      </c>
      <c r="E718" s="6" t="s">
        <v>38</v>
      </c>
      <c r="F718" s="6">
        <v>0.728412689643543</v>
      </c>
    </row>
    <row r="719">
      <c r="A719" s="9">
        <f>IFERROR(__xludf.DUMMYFUNCTION("""COMPUTED_VALUE"""),37622.0)</f>
        <v>37622</v>
      </c>
      <c r="B719" s="6" t="str">
        <f>IFERROR(__xludf.DUMMYFUNCTION("""COMPUTED_VALUE"""),"gpc_defensa_seguridad_pib")</f>
        <v>gpc_defensa_seguridad_pib</v>
      </c>
      <c r="C719" s="6">
        <f>IFERROR(__xludf.DUMMYFUNCTION("""COMPUTED_VALUE"""),2.16498137901299)</f>
        <v>2.164981379</v>
      </c>
      <c r="D719" s="6">
        <v>2003.0</v>
      </c>
      <c r="E719" s="6" t="s">
        <v>39</v>
      </c>
      <c r="F719" s="6">
        <v>2.16498137901299</v>
      </c>
    </row>
    <row r="720">
      <c r="A720" s="9">
        <f>IFERROR(__xludf.DUMMYFUNCTION("""COMPUTED_VALUE"""),37622.0)</f>
        <v>37622</v>
      </c>
      <c r="B720" s="6" t="str">
        <f>IFERROR(__xludf.DUMMYFUNCTION("""COMPUTED_VALUE"""),"gpc_servicios_sociales_pib")</f>
        <v>gpc_servicios_sociales_pib</v>
      </c>
      <c r="C720" s="6">
        <f>IFERROR(__xludf.DUMMYFUNCTION("""COMPUTED_VALUE"""),19.368209731017)</f>
        <v>19.36820973</v>
      </c>
      <c r="D720" s="6">
        <v>2003.0</v>
      </c>
      <c r="E720" s="6" t="s">
        <v>40</v>
      </c>
      <c r="F720" s="6">
        <v>19.368209731017</v>
      </c>
    </row>
    <row r="721">
      <c r="A721" s="9">
        <f>IFERROR(__xludf.DUMMYFUNCTION("""COMPUTED_VALUE"""),37622.0)</f>
        <v>37622</v>
      </c>
      <c r="B721" s="6" t="str">
        <f>IFERROR(__xludf.DUMMYFUNCTION("""COMPUTED_VALUE"""),"gpc_educacion_basica_pib")</f>
        <v>gpc_educacion_basica_pib</v>
      </c>
      <c r="C721" s="6">
        <f>IFERROR(__xludf.DUMMYFUNCTION("""COMPUTED_VALUE"""),2.63322094259698)</f>
        <v>2.633220943</v>
      </c>
      <c r="D721" s="6">
        <v>2003.0</v>
      </c>
      <c r="E721" s="6" t="s">
        <v>41</v>
      </c>
      <c r="F721" s="6">
        <v>2.63322094259698</v>
      </c>
    </row>
    <row r="722">
      <c r="A722" s="9">
        <f>IFERROR(__xludf.DUMMYFUNCTION("""COMPUTED_VALUE"""),37622.0)</f>
        <v>37622</v>
      </c>
      <c r="B722" s="6" t="str">
        <f>IFERROR(__xludf.DUMMYFUNCTION("""COMPUTED_VALUE"""),"gpc_educacion_universitaria_pib")</f>
        <v>gpc_educacion_universitaria_pib</v>
      </c>
      <c r="C722" s="6">
        <f>IFERROR(__xludf.DUMMYFUNCTION("""COMPUTED_VALUE"""),0.796707283399211)</f>
        <v>0.7967072834</v>
      </c>
      <c r="D722" s="6">
        <v>2003.0</v>
      </c>
      <c r="E722" s="6" t="s">
        <v>42</v>
      </c>
      <c r="F722" s="6">
        <v>0.796707283399211</v>
      </c>
    </row>
    <row r="723">
      <c r="A723" s="9">
        <f>IFERROR(__xludf.DUMMYFUNCTION("""COMPUTED_VALUE"""),37622.0)</f>
        <v>37622</v>
      </c>
      <c r="B723" s="6" t="str">
        <f>IFERROR(__xludf.DUMMYFUNCTION("""COMPUTED_VALUE"""),"gpc_ciencia_tecnica_pib")</f>
        <v>gpc_ciencia_tecnica_pib</v>
      </c>
      <c r="C723" s="6">
        <f>IFERROR(__xludf.DUMMYFUNCTION("""COMPUTED_VALUE"""),0.20240558233151)</f>
        <v>0.2024055823</v>
      </c>
      <c r="D723" s="6">
        <v>2003.0</v>
      </c>
      <c r="E723" s="6" t="s">
        <v>43</v>
      </c>
      <c r="F723" s="6">
        <v>0.20240558233151</v>
      </c>
    </row>
    <row r="724">
      <c r="A724" s="9">
        <f>IFERROR(__xludf.DUMMYFUNCTION("""COMPUTED_VALUE"""),37622.0)</f>
        <v>37622</v>
      </c>
      <c r="B724" s="6" t="str">
        <f>IFERROR(__xludf.DUMMYFUNCTION("""COMPUTED_VALUE"""),"gpc_cultura_pib")</f>
        <v>gpc_cultura_pib</v>
      </c>
      <c r="C724" s="6">
        <f>IFERROR(__xludf.DUMMYFUNCTION("""COMPUTED_VALUE"""),0.150815562413374)</f>
        <v>0.1508155624</v>
      </c>
      <c r="D724" s="6">
        <v>2003.0</v>
      </c>
      <c r="E724" s="6" t="s">
        <v>44</v>
      </c>
      <c r="F724" s="6">
        <v>0.150815562413374</v>
      </c>
    </row>
    <row r="725">
      <c r="A725" s="9">
        <f>IFERROR(__xludf.DUMMYFUNCTION("""COMPUTED_VALUE"""),37622.0)</f>
        <v>37622</v>
      </c>
      <c r="B725" s="6" t="str">
        <f>IFERROR(__xludf.DUMMYFUNCTION("""COMPUTED_VALUE"""),"gpc_educacion_cultura_sin_discriminar_pib")</f>
        <v>gpc_educacion_cultura_sin_discriminar_pib</v>
      </c>
      <c r="C725" s="6">
        <f>IFERROR(__xludf.DUMMYFUNCTION("""COMPUTED_VALUE"""),0.287537540745402)</f>
        <v>0.2875375407</v>
      </c>
      <c r="D725" s="6">
        <v>2003.0</v>
      </c>
      <c r="E725" s="6" t="s">
        <v>45</v>
      </c>
      <c r="F725" s="6">
        <v>0.287537540745402</v>
      </c>
    </row>
    <row r="726">
      <c r="A726" s="9">
        <f>IFERROR(__xludf.DUMMYFUNCTION("""COMPUTED_VALUE"""),37622.0)</f>
        <v>37622</v>
      </c>
      <c r="B726" s="6" t="str">
        <f>IFERROR(__xludf.DUMMYFUNCTION("""COMPUTED_VALUE"""),"gpc_atencion_salud_pib")</f>
        <v>gpc_atencion_salud_pib</v>
      </c>
      <c r="C726" s="6">
        <f>IFERROR(__xludf.DUMMYFUNCTION("""COMPUTED_VALUE"""),1.89534654695372)</f>
        <v>1.895346547</v>
      </c>
      <c r="D726" s="6">
        <v>2003.0</v>
      </c>
      <c r="E726" s="6" t="s">
        <v>46</v>
      </c>
      <c r="F726" s="6">
        <v>1.89534654695372</v>
      </c>
    </row>
    <row r="727">
      <c r="A727" s="9">
        <f>IFERROR(__xludf.DUMMYFUNCTION("""COMPUTED_VALUE"""),37622.0)</f>
        <v>37622</v>
      </c>
      <c r="B727" s="6" t="str">
        <f>IFERROR(__xludf.DUMMYFUNCTION("""COMPUTED_VALUE"""),"gpc_obras_sociales_salud_pib")</f>
        <v>gpc_obras_sociales_salud_pib</v>
      </c>
      <c r="C727" s="6">
        <f>IFERROR(__xludf.DUMMYFUNCTION("""COMPUTED_VALUE"""),1.79099779689391)</f>
        <v>1.790997797</v>
      </c>
      <c r="D727" s="6">
        <v>2003.0</v>
      </c>
      <c r="E727" s="6" t="s">
        <v>47</v>
      </c>
      <c r="F727" s="6">
        <v>1.79099779689391</v>
      </c>
    </row>
    <row r="728">
      <c r="A728" s="9">
        <f>IFERROR(__xludf.DUMMYFUNCTION("""COMPUTED_VALUE"""),37622.0)</f>
        <v>37622</v>
      </c>
      <c r="B728" s="6" t="str">
        <f>IFERROR(__xludf.DUMMYFUNCTION("""COMPUTED_VALUE"""),"gpc_inssjyp_salud_pib")</f>
        <v>gpc_inssjyp_salud_pib</v>
      </c>
      <c r="C728" s="6">
        <f>IFERROR(__xludf.DUMMYFUNCTION("""COMPUTED_VALUE"""),0.566510853189058)</f>
        <v>0.5665108532</v>
      </c>
      <c r="D728" s="6">
        <v>2003.0</v>
      </c>
      <c r="E728" s="6" t="s">
        <v>48</v>
      </c>
      <c r="F728" s="6">
        <v>0.566510853189058</v>
      </c>
    </row>
    <row r="729">
      <c r="A729" s="9">
        <f>IFERROR(__xludf.DUMMYFUNCTION("""COMPUTED_VALUE"""),37622.0)</f>
        <v>37622</v>
      </c>
      <c r="B729" s="6" t="str">
        <f>IFERROR(__xludf.DUMMYFUNCTION("""COMPUTED_VALUE"""),"gpc_agua_alcantarillado_pib")</f>
        <v>gpc_agua_alcantarillado_pib</v>
      </c>
      <c r="C729" s="6">
        <f>IFERROR(__xludf.DUMMYFUNCTION("""COMPUTED_VALUE"""),0.205207273772716)</f>
        <v>0.2052072738</v>
      </c>
      <c r="D729" s="6">
        <v>2003.0</v>
      </c>
      <c r="E729" s="6" t="s">
        <v>49</v>
      </c>
      <c r="F729" s="6">
        <v>0.205207273772716</v>
      </c>
    </row>
    <row r="730">
      <c r="A730" s="9">
        <f>IFERROR(__xludf.DUMMYFUNCTION("""COMPUTED_VALUE"""),37622.0)</f>
        <v>37622</v>
      </c>
      <c r="B730" s="6" t="str">
        <f>IFERROR(__xludf.DUMMYFUNCTION("""COMPUTED_VALUE"""),"gpc_vivienda_urbanismo_pib")</f>
        <v>gpc_vivienda_urbanismo_pib</v>
      </c>
      <c r="C730" s="6">
        <f>IFERROR(__xludf.DUMMYFUNCTION("""COMPUTED_VALUE"""),0.604258754557556)</f>
        <v>0.6042587546</v>
      </c>
      <c r="D730" s="6">
        <v>2003.0</v>
      </c>
      <c r="E730" s="6" t="s">
        <v>50</v>
      </c>
      <c r="F730" s="6">
        <v>0.604258754557556</v>
      </c>
    </row>
    <row r="731">
      <c r="A731" s="9">
        <f>IFERROR(__xludf.DUMMYFUNCTION("""COMPUTED_VALUE"""),37622.0)</f>
        <v>37622</v>
      </c>
      <c r="B731" s="6" t="str">
        <f>IFERROR(__xludf.DUMMYFUNCTION("""COMPUTED_VALUE"""),"gpc_promocion_asistencia_social_pib")</f>
        <v>gpc_promocion_asistencia_social_pib</v>
      </c>
      <c r="C731" s="6">
        <f>IFERROR(__xludf.DUMMYFUNCTION("""COMPUTED_VALUE"""),1.07543795334203)</f>
        <v>1.075437953</v>
      </c>
      <c r="D731" s="6">
        <v>2003.0</v>
      </c>
      <c r="E731" s="6" t="s">
        <v>51</v>
      </c>
      <c r="F731" s="6">
        <v>1.07543795334203</v>
      </c>
    </row>
    <row r="732">
      <c r="A732" s="9">
        <f>IFERROR(__xludf.DUMMYFUNCTION("""COMPUTED_VALUE"""),37622.0)</f>
        <v>37622</v>
      </c>
      <c r="B732" s="6" t="str">
        <f>IFERROR(__xludf.DUMMYFUNCTION("""COMPUTED_VALUE"""),"gpc_obras_sociales_prestaciones_pib")</f>
        <v>gpc_obras_sociales_prestaciones_pib</v>
      </c>
      <c r="C732" s="6">
        <f>IFERROR(__xludf.DUMMYFUNCTION("""COMPUTED_VALUE"""),0.0992253019922977)</f>
        <v>0.09922530199</v>
      </c>
      <c r="D732" s="6">
        <v>2003.0</v>
      </c>
      <c r="E732" s="6" t="s">
        <v>52</v>
      </c>
      <c r="F732" s="6">
        <v>0.0992253019922977</v>
      </c>
    </row>
    <row r="733">
      <c r="A733" s="9">
        <f>IFERROR(__xludf.DUMMYFUNCTION("""COMPUTED_VALUE"""),37622.0)</f>
        <v>37622</v>
      </c>
      <c r="B733" s="6" t="str">
        <f>IFERROR(__xludf.DUMMYFUNCTION("""COMPUTED_VALUE"""),"gpc_inssjyp_prestaciones_pib")</f>
        <v>gpc_inssjyp_prestaciones_pib</v>
      </c>
      <c r="C733" s="6">
        <f>IFERROR(__xludf.DUMMYFUNCTION("""COMPUTED_VALUE"""),0.0910080973226729)</f>
        <v>0.09100809732</v>
      </c>
      <c r="D733" s="6">
        <v>2003.0</v>
      </c>
      <c r="E733" s="6" t="s">
        <v>53</v>
      </c>
      <c r="F733" s="6">
        <v>0.0910080973226729</v>
      </c>
    </row>
    <row r="734">
      <c r="A734" s="9">
        <f>IFERROR(__xludf.DUMMYFUNCTION("""COMPUTED_VALUE"""),37622.0)</f>
        <v>37622</v>
      </c>
      <c r="B734" s="6" t="str">
        <f>IFERROR(__xludf.DUMMYFUNCTION("""COMPUTED_VALUE"""),"gpc_prevision_social_pib")</f>
        <v>gpc_prevision_social_pib</v>
      </c>
      <c r="C734" s="6">
        <f>IFERROR(__xludf.DUMMYFUNCTION("""COMPUTED_VALUE"""),6.5855647434991)</f>
        <v>6.585564743</v>
      </c>
      <c r="D734" s="6">
        <v>2003.0</v>
      </c>
      <c r="E734" s="6" t="s">
        <v>54</v>
      </c>
      <c r="F734" s="6">
        <v>6.5855647434991</v>
      </c>
    </row>
    <row r="735">
      <c r="A735" s="9">
        <f>IFERROR(__xludf.DUMMYFUNCTION("""COMPUTED_VALUE"""),37622.0)</f>
        <v>37622</v>
      </c>
      <c r="B735" s="6" t="str">
        <f>IFERROR(__xludf.DUMMYFUNCTION("""COMPUTED_VALUE"""),"gpc_programas_empleo_pib")</f>
        <v>gpc_programas_empleo_pib</v>
      </c>
      <c r="C735" s="6">
        <f>IFERROR(__xludf.DUMMYFUNCTION("""COMPUTED_VALUE"""),1.27060188560371)</f>
        <v>1.270601886</v>
      </c>
      <c r="D735" s="6">
        <v>2003.0</v>
      </c>
      <c r="E735" s="6" t="s">
        <v>55</v>
      </c>
      <c r="F735" s="6">
        <v>1.27060188560371</v>
      </c>
    </row>
    <row r="736">
      <c r="A736" s="9">
        <f>IFERROR(__xludf.DUMMYFUNCTION("""COMPUTED_VALUE"""),37622.0)</f>
        <v>37622</v>
      </c>
      <c r="B736" s="6" t="str">
        <f>IFERROR(__xludf.DUMMYFUNCTION("""COMPUTED_VALUE"""),"gpc_asignaciones_familiares_pib")</f>
        <v>gpc_asignaciones_familiares_pib</v>
      </c>
      <c r="C736" s="6">
        <f>IFERROR(__xludf.DUMMYFUNCTION("""COMPUTED_VALUE"""),0.465899071685656)</f>
        <v>0.4658990717</v>
      </c>
      <c r="D736" s="6">
        <v>2003.0</v>
      </c>
      <c r="E736" s="6" t="s">
        <v>56</v>
      </c>
      <c r="F736" s="6">
        <v>0.465899071685656</v>
      </c>
    </row>
    <row r="737">
      <c r="A737" s="9">
        <f>IFERROR(__xludf.DUMMYFUNCTION("""COMPUTED_VALUE"""),37622.0)</f>
        <v>37622</v>
      </c>
      <c r="B737" s="6" t="str">
        <f>IFERROR(__xludf.DUMMYFUNCTION("""COMPUTED_VALUE"""),"gpc_otros_servicios_urbanos_pib")</f>
        <v>gpc_otros_servicios_urbanos_pib</v>
      </c>
      <c r="C737" s="6">
        <f>IFERROR(__xludf.DUMMYFUNCTION("""COMPUTED_VALUE"""),0.647464540718077)</f>
        <v>0.6474645407</v>
      </c>
      <c r="D737" s="6">
        <v>2003.0</v>
      </c>
      <c r="E737" s="6" t="s">
        <v>57</v>
      </c>
      <c r="F737" s="6">
        <v>0.647464540718077</v>
      </c>
    </row>
    <row r="738">
      <c r="A738" s="9">
        <f>IFERROR(__xludf.DUMMYFUNCTION("""COMPUTED_VALUE"""),37622.0)</f>
        <v>37622</v>
      </c>
      <c r="B738" s="6" t="str">
        <f>IFERROR(__xludf.DUMMYFUNCTION("""COMPUTED_VALUE"""),"gpc_servicios_economicos_pib")</f>
        <v>gpc_servicios_economicos_pib</v>
      </c>
      <c r="C738" s="6">
        <f>IFERROR(__xludf.DUMMYFUNCTION("""COMPUTED_VALUE"""),2.40033312174111)</f>
        <v>2.400333122</v>
      </c>
      <c r="D738" s="6">
        <v>2003.0</v>
      </c>
      <c r="E738" s="6" t="s">
        <v>58</v>
      </c>
      <c r="F738" s="6">
        <v>2.40033312174111</v>
      </c>
    </row>
    <row r="739">
      <c r="A739" s="9">
        <f>IFERROR(__xludf.DUMMYFUNCTION("""COMPUTED_VALUE"""),37622.0)</f>
        <v>37622</v>
      </c>
      <c r="B739" s="6" t="str">
        <f>IFERROR(__xludf.DUMMYFUNCTION("""COMPUTED_VALUE"""),"gpc_produccion_primaria_pib")</f>
        <v>gpc_produccion_primaria_pib</v>
      </c>
      <c r="C739" s="6">
        <f>IFERROR(__xludf.DUMMYFUNCTION("""COMPUTED_VALUE"""),0.316202653516207)</f>
        <v>0.3162026535</v>
      </c>
      <c r="D739" s="6">
        <v>2003.0</v>
      </c>
      <c r="E739" s="6" t="s">
        <v>59</v>
      </c>
      <c r="F739" s="6">
        <v>0.316202653516207</v>
      </c>
    </row>
    <row r="740">
      <c r="A740" s="9">
        <f>IFERROR(__xludf.DUMMYFUNCTION("""COMPUTED_VALUE"""),37622.0)</f>
        <v>37622</v>
      </c>
      <c r="B740" s="6" t="str">
        <f>IFERROR(__xludf.DUMMYFUNCTION("""COMPUTED_VALUE"""),"gpc_energia_combustible_pib")</f>
        <v>gpc_energia_combustible_pib</v>
      </c>
      <c r="C740" s="6">
        <f>IFERROR(__xludf.DUMMYFUNCTION("""COMPUTED_VALUE"""),0.189074854306026)</f>
        <v>0.1890748543</v>
      </c>
      <c r="D740" s="6">
        <v>2003.0</v>
      </c>
      <c r="E740" s="6" t="s">
        <v>60</v>
      </c>
      <c r="F740" s="6">
        <v>0.189074854306026</v>
      </c>
    </row>
    <row r="741">
      <c r="A741" s="9">
        <f>IFERROR(__xludf.DUMMYFUNCTION("""COMPUTED_VALUE"""),37622.0)</f>
        <v>37622</v>
      </c>
      <c r="B741" s="6" t="str">
        <f>IFERROR(__xludf.DUMMYFUNCTION("""COMPUTED_VALUE"""),"gpc_industria_pib")</f>
        <v>gpc_industria_pib</v>
      </c>
      <c r="C741" s="6">
        <f>IFERROR(__xludf.DUMMYFUNCTION("""COMPUTED_VALUE"""),0.0592321876072065)</f>
        <v>0.05923218761</v>
      </c>
      <c r="D741" s="6">
        <v>2003.0</v>
      </c>
      <c r="E741" s="6" t="s">
        <v>61</v>
      </c>
      <c r="F741" s="6">
        <v>0.0592321876072065</v>
      </c>
    </row>
    <row r="742">
      <c r="A742" s="9">
        <f>IFERROR(__xludf.DUMMYFUNCTION("""COMPUTED_VALUE"""),37622.0)</f>
        <v>37622</v>
      </c>
      <c r="B742" s="6" t="str">
        <f>IFERROR(__xludf.DUMMYFUNCTION("""COMPUTED_VALUE"""),"gpc_transporte_pib")</f>
        <v>gpc_transporte_pib</v>
      </c>
      <c r="C742" s="6">
        <f>IFERROR(__xludf.DUMMYFUNCTION("""COMPUTED_VALUE"""),0.792434387147131)</f>
        <v>0.7924343871</v>
      </c>
      <c r="D742" s="6">
        <v>2003.0</v>
      </c>
      <c r="E742" s="6" t="s">
        <v>62</v>
      </c>
      <c r="F742" s="6">
        <v>0.792434387147131</v>
      </c>
    </row>
    <row r="743">
      <c r="A743" s="9">
        <f>IFERROR(__xludf.DUMMYFUNCTION("""COMPUTED_VALUE"""),37622.0)</f>
        <v>37622</v>
      </c>
      <c r="B743" s="6" t="str">
        <f>IFERROR(__xludf.DUMMYFUNCTION("""COMPUTED_VALUE"""),"gpc_comunicaciones_pib")</f>
        <v>gpc_comunicaciones_pib</v>
      </c>
      <c r="C743" s="6">
        <f>IFERROR(__xludf.DUMMYFUNCTION("""COMPUTED_VALUE"""),0.0539655730402505)</f>
        <v>0.05396557304</v>
      </c>
      <c r="D743" s="6">
        <v>2003.0</v>
      </c>
      <c r="E743" s="6" t="s">
        <v>63</v>
      </c>
      <c r="F743" s="6">
        <v>0.0539655730402505</v>
      </c>
    </row>
    <row r="744">
      <c r="A744" s="9">
        <f>IFERROR(__xludf.DUMMYFUNCTION("""COMPUTED_VALUE"""),37622.0)</f>
        <v>37622</v>
      </c>
      <c r="B744" s="6" t="str">
        <f>IFERROR(__xludf.DUMMYFUNCTION("""COMPUTED_VALUE"""),"gpc_otros_servicios_economicos_pib")</f>
        <v>gpc_otros_servicios_economicos_pib</v>
      </c>
      <c r="C744" s="6">
        <f>IFERROR(__xludf.DUMMYFUNCTION("""COMPUTED_VALUE"""),0.989423466124293)</f>
        <v>0.9894234661</v>
      </c>
      <c r="D744" s="6">
        <v>2003.0</v>
      </c>
      <c r="E744" s="6" t="s">
        <v>64</v>
      </c>
      <c r="F744" s="6">
        <v>0.989423466124293</v>
      </c>
    </row>
    <row r="745">
      <c r="A745" s="9">
        <f>IFERROR(__xludf.DUMMYFUNCTION("""COMPUTED_VALUE"""),37622.0)</f>
        <v>37622</v>
      </c>
      <c r="B745" s="6" t="str">
        <f>IFERROR(__xludf.DUMMYFUNCTION("""COMPUTED_VALUE"""),"gpc_servicios_deuda_publica_pib")</f>
        <v>gpc_servicios_deuda_publica_pib</v>
      </c>
      <c r="C745" s="6">
        <f>IFERROR(__xludf.DUMMYFUNCTION("""COMPUTED_VALUE"""),2.41876358621131)</f>
        <v>2.418763586</v>
      </c>
      <c r="D745" s="6">
        <v>2003.0</v>
      </c>
      <c r="E745" s="6" t="s">
        <v>65</v>
      </c>
      <c r="F745" s="6">
        <v>2.41876358621131</v>
      </c>
    </row>
    <row r="746">
      <c r="A746" s="9">
        <f>IFERROR(__xludf.DUMMYFUNCTION("""COMPUTED_VALUE"""),37987.0)</f>
        <v>37987</v>
      </c>
      <c r="B746" s="6" t="str">
        <f>IFERROR(__xludf.DUMMYFUNCTION("""COMPUTED_VALUE"""),"gpc_pib")</f>
        <v>gpc_pib</v>
      </c>
      <c r="C746" s="6">
        <f>IFERROR(__xludf.DUMMYFUNCTION("""COMPUTED_VALUE"""),26.6001728242416)</f>
        <v>26.60017282</v>
      </c>
      <c r="D746" s="6">
        <v>2004.0</v>
      </c>
      <c r="E746" s="6" t="s">
        <v>66</v>
      </c>
      <c r="F746" s="6">
        <v>26.6001728242416</v>
      </c>
    </row>
    <row r="747">
      <c r="A747" s="9">
        <f>IFERROR(__xludf.DUMMYFUNCTION("""COMPUTED_VALUE"""),37987.0)</f>
        <v>37987</v>
      </c>
      <c r="B747" s="6" t="str">
        <f>IFERROR(__xludf.DUMMYFUNCTION("""COMPUTED_VALUE"""),"gpc_funcionamiento_estado_pib")</f>
        <v>gpc_funcionamiento_estado_pib</v>
      </c>
      <c r="C747" s="6">
        <f>IFERROR(__xludf.DUMMYFUNCTION("""COMPUTED_VALUE"""),4.99306707233424)</f>
        <v>4.993067072</v>
      </c>
      <c r="D747" s="6">
        <v>2004.0</v>
      </c>
      <c r="E747" s="6" t="s">
        <v>36</v>
      </c>
      <c r="F747" s="6">
        <v>4.99306707233424</v>
      </c>
    </row>
    <row r="748">
      <c r="A748" s="9">
        <f>IFERROR(__xludf.DUMMYFUNCTION("""COMPUTED_VALUE"""),37987.0)</f>
        <v>37987</v>
      </c>
      <c r="B748" s="6" t="str">
        <f>IFERROR(__xludf.DUMMYFUNCTION("""COMPUTED_VALUE"""),"gpc_administracion_general_pib")</f>
        <v>gpc_administracion_general_pib</v>
      </c>
      <c r="C748" s="6">
        <f>IFERROR(__xludf.DUMMYFUNCTION("""COMPUTED_VALUE"""),2.32266306105917)</f>
        <v>2.322663061</v>
      </c>
      <c r="D748" s="6">
        <v>2004.0</v>
      </c>
      <c r="E748" s="6" t="s">
        <v>37</v>
      </c>
      <c r="F748" s="6">
        <v>2.32266306105917</v>
      </c>
    </row>
    <row r="749">
      <c r="A749" s="9">
        <f>IFERROR(__xludf.DUMMYFUNCTION("""COMPUTED_VALUE"""),37987.0)</f>
        <v>37987</v>
      </c>
      <c r="B749" s="6" t="str">
        <f>IFERROR(__xludf.DUMMYFUNCTION("""COMPUTED_VALUE"""),"gpc_justicia_pib")</f>
        <v>gpc_justicia_pib</v>
      </c>
      <c r="C749" s="6">
        <f>IFERROR(__xludf.DUMMYFUNCTION("""COMPUTED_VALUE"""),0.684065966324079)</f>
        <v>0.6840659663</v>
      </c>
      <c r="D749" s="6">
        <v>2004.0</v>
      </c>
      <c r="E749" s="6" t="s">
        <v>38</v>
      </c>
      <c r="F749" s="6">
        <v>0.684065966324079</v>
      </c>
    </row>
    <row r="750">
      <c r="A750" s="9">
        <f>IFERROR(__xludf.DUMMYFUNCTION("""COMPUTED_VALUE"""),37987.0)</f>
        <v>37987</v>
      </c>
      <c r="B750" s="6" t="str">
        <f>IFERROR(__xludf.DUMMYFUNCTION("""COMPUTED_VALUE"""),"gpc_defensa_seguridad_pib")</f>
        <v>gpc_defensa_seguridad_pib</v>
      </c>
      <c r="C750" s="6">
        <f>IFERROR(__xludf.DUMMYFUNCTION("""COMPUTED_VALUE"""),1.98633804495098)</f>
        <v>1.986338045</v>
      </c>
      <c r="D750" s="6">
        <v>2004.0</v>
      </c>
      <c r="E750" s="6" t="s">
        <v>39</v>
      </c>
      <c r="F750" s="6">
        <v>1.98633804495098</v>
      </c>
    </row>
    <row r="751">
      <c r="A751" s="9">
        <f>IFERROR(__xludf.DUMMYFUNCTION("""COMPUTED_VALUE"""),37987.0)</f>
        <v>37987</v>
      </c>
      <c r="B751" s="6" t="str">
        <f>IFERROR(__xludf.DUMMYFUNCTION("""COMPUTED_VALUE"""),"gpc_servicios_sociales_pib")</f>
        <v>gpc_servicios_sociales_pib</v>
      </c>
      <c r="C751" s="6">
        <f>IFERROR(__xludf.DUMMYFUNCTION("""COMPUTED_VALUE"""),17.6665625345741)</f>
        <v>17.66656253</v>
      </c>
      <c r="D751" s="6">
        <v>2004.0</v>
      </c>
      <c r="E751" s="6" t="s">
        <v>40</v>
      </c>
      <c r="F751" s="6">
        <v>17.6665625345741</v>
      </c>
    </row>
    <row r="752">
      <c r="A752" s="9">
        <f>IFERROR(__xludf.DUMMYFUNCTION("""COMPUTED_VALUE"""),37987.0)</f>
        <v>37987</v>
      </c>
      <c r="B752" s="6" t="str">
        <f>IFERROR(__xludf.DUMMYFUNCTION("""COMPUTED_VALUE"""),"gpc_educacion_basica_pib")</f>
        <v>gpc_educacion_basica_pib</v>
      </c>
      <c r="C752" s="6">
        <f>IFERROR(__xludf.DUMMYFUNCTION("""COMPUTED_VALUE"""),2.54007001761106)</f>
        <v>2.540070018</v>
      </c>
      <c r="D752" s="6">
        <v>2004.0</v>
      </c>
      <c r="E752" s="6" t="s">
        <v>41</v>
      </c>
      <c r="F752" s="6">
        <v>2.54007001761106</v>
      </c>
    </row>
    <row r="753">
      <c r="A753" s="9">
        <f>IFERROR(__xludf.DUMMYFUNCTION("""COMPUTED_VALUE"""),37987.0)</f>
        <v>37987</v>
      </c>
      <c r="B753" s="6" t="str">
        <f>IFERROR(__xludf.DUMMYFUNCTION("""COMPUTED_VALUE"""),"gpc_educacion_universitaria_pib")</f>
        <v>gpc_educacion_universitaria_pib</v>
      </c>
      <c r="C753" s="6">
        <f>IFERROR(__xludf.DUMMYFUNCTION("""COMPUTED_VALUE"""),0.686631306500537)</f>
        <v>0.6866313065</v>
      </c>
      <c r="D753" s="6">
        <v>2004.0</v>
      </c>
      <c r="E753" s="6" t="s">
        <v>42</v>
      </c>
      <c r="F753" s="6">
        <v>0.686631306500537</v>
      </c>
    </row>
    <row r="754">
      <c r="A754" s="9">
        <f>IFERROR(__xludf.DUMMYFUNCTION("""COMPUTED_VALUE"""),37987.0)</f>
        <v>37987</v>
      </c>
      <c r="B754" s="6" t="str">
        <f>IFERROR(__xludf.DUMMYFUNCTION("""COMPUTED_VALUE"""),"gpc_ciencia_tecnica_pib")</f>
        <v>gpc_ciencia_tecnica_pib</v>
      </c>
      <c r="C754" s="6">
        <f>IFERROR(__xludf.DUMMYFUNCTION("""COMPUTED_VALUE"""),0.186908452574093)</f>
        <v>0.1869084526</v>
      </c>
      <c r="D754" s="6">
        <v>2004.0</v>
      </c>
      <c r="E754" s="6" t="s">
        <v>43</v>
      </c>
      <c r="F754" s="6">
        <v>0.186908452574093</v>
      </c>
    </row>
    <row r="755">
      <c r="A755" s="9">
        <f>IFERROR(__xludf.DUMMYFUNCTION("""COMPUTED_VALUE"""),37987.0)</f>
        <v>37987</v>
      </c>
      <c r="B755" s="6" t="str">
        <f>IFERROR(__xludf.DUMMYFUNCTION("""COMPUTED_VALUE"""),"gpc_cultura_pib")</f>
        <v>gpc_cultura_pib</v>
      </c>
      <c r="C755" s="6">
        <f>IFERROR(__xludf.DUMMYFUNCTION("""COMPUTED_VALUE"""),0.1430807800125)</f>
        <v>0.14308078</v>
      </c>
      <c r="D755" s="6">
        <v>2004.0</v>
      </c>
      <c r="E755" s="6" t="s">
        <v>44</v>
      </c>
      <c r="F755" s="6">
        <v>0.1430807800125</v>
      </c>
    </row>
    <row r="756">
      <c r="A756" s="9">
        <f>IFERROR(__xludf.DUMMYFUNCTION("""COMPUTED_VALUE"""),37987.0)</f>
        <v>37987</v>
      </c>
      <c r="B756" s="6" t="str">
        <f>IFERROR(__xludf.DUMMYFUNCTION("""COMPUTED_VALUE"""),"gpc_educacion_cultura_sin_discriminar_pib")</f>
        <v>gpc_educacion_cultura_sin_discriminar_pib</v>
      </c>
      <c r="C756" s="6">
        <f>IFERROR(__xludf.DUMMYFUNCTION("""COMPUTED_VALUE"""),0.306089053127933)</f>
        <v>0.3060890531</v>
      </c>
      <c r="D756" s="6">
        <v>2004.0</v>
      </c>
      <c r="E756" s="6" t="s">
        <v>45</v>
      </c>
      <c r="F756" s="6">
        <v>0.306089053127933</v>
      </c>
    </row>
    <row r="757">
      <c r="A757" s="9">
        <f>IFERROR(__xludf.DUMMYFUNCTION("""COMPUTED_VALUE"""),37987.0)</f>
        <v>37987</v>
      </c>
      <c r="B757" s="6" t="str">
        <f>IFERROR(__xludf.DUMMYFUNCTION("""COMPUTED_VALUE"""),"gpc_atencion_salud_pib")</f>
        <v>gpc_atencion_salud_pib</v>
      </c>
      <c r="C757" s="6">
        <f>IFERROR(__xludf.DUMMYFUNCTION("""COMPUTED_VALUE"""),1.74275769115267)</f>
        <v>1.742757691</v>
      </c>
      <c r="D757" s="6">
        <v>2004.0</v>
      </c>
      <c r="E757" s="6" t="s">
        <v>46</v>
      </c>
      <c r="F757" s="6">
        <v>1.74275769115267</v>
      </c>
    </row>
    <row r="758">
      <c r="A758" s="9">
        <f>IFERROR(__xludf.DUMMYFUNCTION("""COMPUTED_VALUE"""),37987.0)</f>
        <v>37987</v>
      </c>
      <c r="B758" s="6" t="str">
        <f>IFERROR(__xludf.DUMMYFUNCTION("""COMPUTED_VALUE"""),"gpc_obras_sociales_salud_pib")</f>
        <v>gpc_obras_sociales_salud_pib</v>
      </c>
      <c r="C758" s="6">
        <f>IFERROR(__xludf.DUMMYFUNCTION("""COMPUTED_VALUE"""),1.65126884579078)</f>
        <v>1.651268846</v>
      </c>
      <c r="D758" s="6">
        <v>2004.0</v>
      </c>
      <c r="E758" s="6" t="s">
        <v>47</v>
      </c>
      <c r="F758" s="6">
        <v>1.65126884579078</v>
      </c>
    </row>
    <row r="759">
      <c r="A759" s="9">
        <f>IFERROR(__xludf.DUMMYFUNCTION("""COMPUTED_VALUE"""),37987.0)</f>
        <v>37987</v>
      </c>
      <c r="B759" s="6" t="str">
        <f>IFERROR(__xludf.DUMMYFUNCTION("""COMPUTED_VALUE"""),"gpc_inssjyp_salud_pib")</f>
        <v>gpc_inssjyp_salud_pib</v>
      </c>
      <c r="C759" s="6">
        <f>IFERROR(__xludf.DUMMYFUNCTION("""COMPUTED_VALUE"""),0.496252743001023)</f>
        <v>0.496252743</v>
      </c>
      <c r="D759" s="6">
        <v>2004.0</v>
      </c>
      <c r="E759" s="6" t="s">
        <v>48</v>
      </c>
      <c r="F759" s="6">
        <v>0.496252743001023</v>
      </c>
    </row>
    <row r="760">
      <c r="A760" s="9">
        <f>IFERROR(__xludf.DUMMYFUNCTION("""COMPUTED_VALUE"""),37987.0)</f>
        <v>37987</v>
      </c>
      <c r="B760" s="6" t="str">
        <f>IFERROR(__xludf.DUMMYFUNCTION("""COMPUTED_VALUE"""),"gpc_agua_alcantarillado_pib")</f>
        <v>gpc_agua_alcantarillado_pib</v>
      </c>
      <c r="C760" s="6">
        <f>IFERROR(__xludf.DUMMYFUNCTION("""COMPUTED_VALUE"""),0.208586133602061)</f>
        <v>0.2085861336</v>
      </c>
      <c r="D760" s="6">
        <v>2004.0</v>
      </c>
      <c r="E760" s="6" t="s">
        <v>49</v>
      </c>
      <c r="F760" s="6">
        <v>0.208586133602061</v>
      </c>
    </row>
    <row r="761">
      <c r="A761" s="9">
        <f>IFERROR(__xludf.DUMMYFUNCTION("""COMPUTED_VALUE"""),37987.0)</f>
        <v>37987</v>
      </c>
      <c r="B761" s="6" t="str">
        <f>IFERROR(__xludf.DUMMYFUNCTION("""COMPUTED_VALUE"""),"gpc_vivienda_urbanismo_pib")</f>
        <v>gpc_vivienda_urbanismo_pib</v>
      </c>
      <c r="C761" s="6">
        <f>IFERROR(__xludf.DUMMYFUNCTION("""COMPUTED_VALUE"""),0.647250567943044)</f>
        <v>0.6472505679</v>
      </c>
      <c r="D761" s="6">
        <v>2004.0</v>
      </c>
      <c r="E761" s="6" t="s">
        <v>50</v>
      </c>
      <c r="F761" s="6">
        <v>0.647250567943044</v>
      </c>
    </row>
    <row r="762">
      <c r="A762" s="9">
        <f>IFERROR(__xludf.DUMMYFUNCTION("""COMPUTED_VALUE"""),37987.0)</f>
        <v>37987</v>
      </c>
      <c r="B762" s="6" t="str">
        <f>IFERROR(__xludf.DUMMYFUNCTION("""COMPUTED_VALUE"""),"gpc_promocion_asistencia_social_pib")</f>
        <v>gpc_promocion_asistencia_social_pib</v>
      </c>
      <c r="C762" s="6">
        <f>IFERROR(__xludf.DUMMYFUNCTION("""COMPUTED_VALUE"""),1.00741407087651)</f>
        <v>1.007414071</v>
      </c>
      <c r="D762" s="6">
        <v>2004.0</v>
      </c>
      <c r="E762" s="6" t="s">
        <v>51</v>
      </c>
      <c r="F762" s="6">
        <v>1.00741407087651</v>
      </c>
    </row>
    <row r="763">
      <c r="A763" s="9">
        <f>IFERROR(__xludf.DUMMYFUNCTION("""COMPUTED_VALUE"""),37987.0)</f>
        <v>37987</v>
      </c>
      <c r="B763" s="6" t="str">
        <f>IFERROR(__xludf.DUMMYFUNCTION("""COMPUTED_VALUE"""),"gpc_obras_sociales_prestaciones_pib")</f>
        <v>gpc_obras_sociales_prestaciones_pib</v>
      </c>
      <c r="C763" s="6">
        <f>IFERROR(__xludf.DUMMYFUNCTION("""COMPUTED_VALUE"""),0.0893690072387651)</f>
        <v>0.08936900724</v>
      </c>
      <c r="D763" s="6">
        <v>2004.0</v>
      </c>
      <c r="E763" s="6" t="s">
        <v>52</v>
      </c>
      <c r="F763" s="6">
        <v>0.0893690072387651</v>
      </c>
    </row>
    <row r="764">
      <c r="A764" s="9">
        <f>IFERROR(__xludf.DUMMYFUNCTION("""COMPUTED_VALUE"""),37987.0)</f>
        <v>37987</v>
      </c>
      <c r="B764" s="6" t="str">
        <f>IFERROR(__xludf.DUMMYFUNCTION("""COMPUTED_VALUE"""),"gpc_inssjyp_prestaciones_pib")</f>
        <v>gpc_inssjyp_prestaciones_pib</v>
      </c>
      <c r="C764" s="6">
        <f>IFERROR(__xludf.DUMMYFUNCTION("""COMPUTED_VALUE"""),0.0898215844652507)</f>
        <v>0.08982158447</v>
      </c>
      <c r="D764" s="6">
        <v>2004.0</v>
      </c>
      <c r="E764" s="6" t="s">
        <v>53</v>
      </c>
      <c r="F764" s="6">
        <v>0.0898215844652507</v>
      </c>
    </row>
    <row r="765">
      <c r="A765" s="9">
        <f>IFERROR(__xludf.DUMMYFUNCTION("""COMPUTED_VALUE"""),37987.0)</f>
        <v>37987</v>
      </c>
      <c r="B765" s="6" t="str">
        <f>IFERROR(__xludf.DUMMYFUNCTION("""COMPUTED_VALUE"""),"gpc_prevision_social_pib")</f>
        <v>gpc_prevision_social_pib</v>
      </c>
      <c r="C765" s="6">
        <f>IFERROR(__xludf.DUMMYFUNCTION("""COMPUTED_VALUE"""),5.85120566071794)</f>
        <v>5.851205661</v>
      </c>
      <c r="D765" s="6">
        <v>2004.0</v>
      </c>
      <c r="E765" s="6" t="s">
        <v>54</v>
      </c>
      <c r="F765" s="6">
        <v>5.85120566071794</v>
      </c>
    </row>
    <row r="766">
      <c r="A766" s="9">
        <f>IFERROR(__xludf.DUMMYFUNCTION("""COMPUTED_VALUE"""),37987.0)</f>
        <v>37987</v>
      </c>
      <c r="B766" s="6" t="str">
        <f>IFERROR(__xludf.DUMMYFUNCTION("""COMPUTED_VALUE"""),"gpc_programas_empleo_pib")</f>
        <v>gpc_programas_empleo_pib</v>
      </c>
      <c r="C766" s="6">
        <f>IFERROR(__xludf.DUMMYFUNCTION("""COMPUTED_VALUE"""),0.978522546457257)</f>
        <v>0.9785225465</v>
      </c>
      <c r="D766" s="6">
        <v>2004.0</v>
      </c>
      <c r="E766" s="6" t="s">
        <v>55</v>
      </c>
      <c r="F766" s="6">
        <v>0.978522546457257</v>
      </c>
    </row>
    <row r="767">
      <c r="A767" s="9">
        <f>IFERROR(__xludf.DUMMYFUNCTION("""COMPUTED_VALUE"""),37987.0)</f>
        <v>37987</v>
      </c>
      <c r="B767" s="6" t="str">
        <f>IFERROR(__xludf.DUMMYFUNCTION("""COMPUTED_VALUE"""),"gpc_asignaciones_familiares_pib")</f>
        <v>gpc_asignaciones_familiares_pib</v>
      </c>
      <c r="C767" s="6">
        <f>IFERROR(__xludf.DUMMYFUNCTION("""COMPUTED_VALUE"""),0.401099790577216)</f>
        <v>0.4010997906</v>
      </c>
      <c r="D767" s="6">
        <v>2004.0</v>
      </c>
      <c r="E767" s="6" t="s">
        <v>56</v>
      </c>
      <c r="F767" s="6">
        <v>0.401099790577216</v>
      </c>
    </row>
    <row r="768">
      <c r="A768" s="9">
        <f>IFERROR(__xludf.DUMMYFUNCTION("""COMPUTED_VALUE"""),37987.0)</f>
        <v>37987</v>
      </c>
      <c r="B768" s="6" t="str">
        <f>IFERROR(__xludf.DUMMYFUNCTION("""COMPUTED_VALUE"""),"gpc_otros_servicios_urbanos_pib")</f>
        <v>gpc_otros_servicios_urbanos_pib</v>
      </c>
      <c r="C768" s="6">
        <f>IFERROR(__xludf.DUMMYFUNCTION("""COMPUTED_VALUE"""),0.640234282925473)</f>
        <v>0.6402342829</v>
      </c>
      <c r="D768" s="6">
        <v>2004.0</v>
      </c>
      <c r="E768" s="6" t="s">
        <v>57</v>
      </c>
      <c r="F768" s="6">
        <v>0.640234282925473</v>
      </c>
    </row>
    <row r="769">
      <c r="A769" s="9">
        <f>IFERROR(__xludf.DUMMYFUNCTION("""COMPUTED_VALUE"""),37987.0)</f>
        <v>37987</v>
      </c>
      <c r="B769" s="6" t="str">
        <f>IFERROR(__xludf.DUMMYFUNCTION("""COMPUTED_VALUE"""),"gpc_servicios_economicos_pib")</f>
        <v>gpc_servicios_economicos_pib</v>
      </c>
      <c r="C769" s="6">
        <f>IFERROR(__xludf.DUMMYFUNCTION("""COMPUTED_VALUE"""),2.36319882795653)</f>
        <v>2.363198828</v>
      </c>
      <c r="D769" s="6">
        <v>2004.0</v>
      </c>
      <c r="E769" s="6" t="s">
        <v>58</v>
      </c>
      <c r="F769" s="6">
        <v>2.36319882795653</v>
      </c>
    </row>
    <row r="770">
      <c r="A770" s="9">
        <f>IFERROR(__xludf.DUMMYFUNCTION("""COMPUTED_VALUE"""),37987.0)</f>
        <v>37987</v>
      </c>
      <c r="B770" s="6" t="str">
        <f>IFERROR(__xludf.DUMMYFUNCTION("""COMPUTED_VALUE"""),"gpc_produccion_primaria_pib")</f>
        <v>gpc_produccion_primaria_pib</v>
      </c>
      <c r="C770" s="6">
        <f>IFERROR(__xludf.DUMMYFUNCTION("""COMPUTED_VALUE"""),0.323162440550595)</f>
        <v>0.3231624406</v>
      </c>
      <c r="D770" s="6">
        <v>2004.0</v>
      </c>
      <c r="E770" s="6" t="s">
        <v>59</v>
      </c>
      <c r="F770" s="6">
        <v>0.323162440550595</v>
      </c>
    </row>
    <row r="771">
      <c r="A771" s="9">
        <f>IFERROR(__xludf.DUMMYFUNCTION("""COMPUTED_VALUE"""),37987.0)</f>
        <v>37987</v>
      </c>
      <c r="B771" s="6" t="str">
        <f>IFERROR(__xludf.DUMMYFUNCTION("""COMPUTED_VALUE"""),"gpc_energia_combustible_pib")</f>
        <v>gpc_energia_combustible_pib</v>
      </c>
      <c r="C771" s="6">
        <f>IFERROR(__xludf.DUMMYFUNCTION("""COMPUTED_VALUE"""),0.615235204733717)</f>
        <v>0.6152352047</v>
      </c>
      <c r="D771" s="6">
        <v>2004.0</v>
      </c>
      <c r="E771" s="6" t="s">
        <v>60</v>
      </c>
      <c r="F771" s="6">
        <v>0.615235204733717</v>
      </c>
    </row>
    <row r="772">
      <c r="A772" s="9">
        <f>IFERROR(__xludf.DUMMYFUNCTION("""COMPUTED_VALUE"""),37987.0)</f>
        <v>37987</v>
      </c>
      <c r="B772" s="6" t="str">
        <f>IFERROR(__xludf.DUMMYFUNCTION("""COMPUTED_VALUE"""),"gpc_industria_pib")</f>
        <v>gpc_industria_pib</v>
      </c>
      <c r="C772" s="6">
        <f>IFERROR(__xludf.DUMMYFUNCTION("""COMPUTED_VALUE"""),0.0539995492908254)</f>
        <v>0.05399954929</v>
      </c>
      <c r="D772" s="6">
        <v>2004.0</v>
      </c>
      <c r="E772" s="6" t="s">
        <v>61</v>
      </c>
      <c r="F772" s="6">
        <v>0.0539995492908254</v>
      </c>
    </row>
    <row r="773">
      <c r="A773" s="9">
        <f>IFERROR(__xludf.DUMMYFUNCTION("""COMPUTED_VALUE"""),37987.0)</f>
        <v>37987</v>
      </c>
      <c r="B773" s="6" t="str">
        <f>IFERROR(__xludf.DUMMYFUNCTION("""COMPUTED_VALUE"""),"gpc_transporte_pib")</f>
        <v>gpc_transporte_pib</v>
      </c>
      <c r="C773" s="6">
        <f>IFERROR(__xludf.DUMMYFUNCTION("""COMPUTED_VALUE"""),0.921782906692642)</f>
        <v>0.9217829067</v>
      </c>
      <c r="D773" s="6">
        <v>2004.0</v>
      </c>
      <c r="E773" s="6" t="s">
        <v>62</v>
      </c>
      <c r="F773" s="6">
        <v>0.921782906692642</v>
      </c>
    </row>
    <row r="774">
      <c r="A774" s="9">
        <f>IFERROR(__xludf.DUMMYFUNCTION("""COMPUTED_VALUE"""),37987.0)</f>
        <v>37987</v>
      </c>
      <c r="B774" s="6" t="str">
        <f>IFERROR(__xludf.DUMMYFUNCTION("""COMPUTED_VALUE"""),"gpc_comunicaciones_pib")</f>
        <v>gpc_comunicaciones_pib</v>
      </c>
      <c r="C774" s="6">
        <f>IFERROR(__xludf.DUMMYFUNCTION("""COMPUTED_VALUE"""),0.0600618574236033)</f>
        <v>0.06006185742</v>
      </c>
      <c r="D774" s="6">
        <v>2004.0</v>
      </c>
      <c r="E774" s="6" t="s">
        <v>63</v>
      </c>
      <c r="F774" s="6">
        <v>0.0600618574236033</v>
      </c>
    </row>
    <row r="775">
      <c r="A775" s="9">
        <f>IFERROR(__xludf.DUMMYFUNCTION("""COMPUTED_VALUE"""),37987.0)</f>
        <v>37987</v>
      </c>
      <c r="B775" s="6" t="str">
        <f>IFERROR(__xludf.DUMMYFUNCTION("""COMPUTED_VALUE"""),"gpc_otros_servicios_economicos_pib")</f>
        <v>gpc_otros_servicios_economicos_pib</v>
      </c>
      <c r="C775" s="6">
        <f>IFERROR(__xludf.DUMMYFUNCTION("""COMPUTED_VALUE"""),0.388956869265153)</f>
        <v>0.3889568693</v>
      </c>
      <c r="D775" s="6">
        <v>2004.0</v>
      </c>
      <c r="E775" s="6" t="s">
        <v>64</v>
      </c>
      <c r="F775" s="6">
        <v>0.388956869265153</v>
      </c>
    </row>
    <row r="776">
      <c r="A776" s="9">
        <f>IFERROR(__xludf.DUMMYFUNCTION("""COMPUTED_VALUE"""),37987.0)</f>
        <v>37987</v>
      </c>
      <c r="B776" s="6" t="str">
        <f>IFERROR(__xludf.DUMMYFUNCTION("""COMPUTED_VALUE"""),"gpc_servicios_deuda_publica_pib")</f>
        <v>gpc_servicios_deuda_publica_pib</v>
      </c>
      <c r="C776" s="6">
        <f>IFERROR(__xludf.DUMMYFUNCTION("""COMPUTED_VALUE"""),1.57734438937671)</f>
        <v>1.577344389</v>
      </c>
      <c r="D776" s="6">
        <v>2004.0</v>
      </c>
      <c r="E776" s="6" t="s">
        <v>65</v>
      </c>
      <c r="F776" s="6">
        <v>1.57734438937671</v>
      </c>
    </row>
    <row r="777">
      <c r="A777" s="9">
        <f>IFERROR(__xludf.DUMMYFUNCTION("""COMPUTED_VALUE"""),38353.0)</f>
        <v>38353</v>
      </c>
      <c r="B777" s="6" t="str">
        <f>IFERROR(__xludf.DUMMYFUNCTION("""COMPUTED_VALUE"""),"gpc_pib")</f>
        <v>gpc_pib</v>
      </c>
      <c r="C777" s="6">
        <f>IFERROR(__xludf.DUMMYFUNCTION("""COMPUTED_VALUE"""),29.0570548582002)</f>
        <v>29.05705486</v>
      </c>
      <c r="D777" s="6">
        <v>2005.0</v>
      </c>
      <c r="E777" s="6" t="s">
        <v>66</v>
      </c>
      <c r="F777" s="6">
        <v>29.0570548582002</v>
      </c>
    </row>
    <row r="778">
      <c r="A778" s="9">
        <f>IFERROR(__xludf.DUMMYFUNCTION("""COMPUTED_VALUE"""),38353.0)</f>
        <v>38353</v>
      </c>
      <c r="B778" s="6" t="str">
        <f>IFERROR(__xludf.DUMMYFUNCTION("""COMPUTED_VALUE"""),"gpc_funcionamiento_estado_pib")</f>
        <v>gpc_funcionamiento_estado_pib</v>
      </c>
      <c r="C778" s="6">
        <f>IFERROR(__xludf.DUMMYFUNCTION("""COMPUTED_VALUE"""),5.16860837881259)</f>
        <v>5.168608379</v>
      </c>
      <c r="D778" s="6">
        <v>2005.0</v>
      </c>
      <c r="E778" s="6" t="s">
        <v>36</v>
      </c>
      <c r="F778" s="6">
        <v>5.16860837881259</v>
      </c>
    </row>
    <row r="779">
      <c r="A779" s="9">
        <f>IFERROR(__xludf.DUMMYFUNCTION("""COMPUTED_VALUE"""),38353.0)</f>
        <v>38353</v>
      </c>
      <c r="B779" s="6" t="str">
        <f>IFERROR(__xludf.DUMMYFUNCTION("""COMPUTED_VALUE"""),"gpc_administracion_general_pib")</f>
        <v>gpc_administracion_general_pib</v>
      </c>
      <c r="C779" s="6">
        <f>IFERROR(__xludf.DUMMYFUNCTION("""COMPUTED_VALUE"""),2.43718144310059)</f>
        <v>2.437181443</v>
      </c>
      <c r="D779" s="6">
        <v>2005.0</v>
      </c>
      <c r="E779" s="6" t="s">
        <v>37</v>
      </c>
      <c r="F779" s="6">
        <v>2.43718144310059</v>
      </c>
    </row>
    <row r="780">
      <c r="A780" s="9">
        <f>IFERROR(__xludf.DUMMYFUNCTION("""COMPUTED_VALUE"""),38353.0)</f>
        <v>38353</v>
      </c>
      <c r="B780" s="6" t="str">
        <f>IFERROR(__xludf.DUMMYFUNCTION("""COMPUTED_VALUE"""),"gpc_justicia_pib")</f>
        <v>gpc_justicia_pib</v>
      </c>
      <c r="C780" s="6">
        <f>IFERROR(__xludf.DUMMYFUNCTION("""COMPUTED_VALUE"""),0.702529784759953)</f>
        <v>0.7025297848</v>
      </c>
      <c r="D780" s="6">
        <v>2005.0</v>
      </c>
      <c r="E780" s="6" t="s">
        <v>38</v>
      </c>
      <c r="F780" s="6">
        <v>0.702529784759953</v>
      </c>
    </row>
    <row r="781">
      <c r="A781" s="9">
        <f>IFERROR(__xludf.DUMMYFUNCTION("""COMPUTED_VALUE"""),38353.0)</f>
        <v>38353</v>
      </c>
      <c r="B781" s="6" t="str">
        <f>IFERROR(__xludf.DUMMYFUNCTION("""COMPUTED_VALUE"""),"gpc_defensa_seguridad_pib")</f>
        <v>gpc_defensa_seguridad_pib</v>
      </c>
      <c r="C781" s="6">
        <f>IFERROR(__xludf.DUMMYFUNCTION("""COMPUTED_VALUE"""),2.02889715095205)</f>
        <v>2.028897151</v>
      </c>
      <c r="D781" s="6">
        <v>2005.0</v>
      </c>
      <c r="E781" s="6" t="s">
        <v>39</v>
      </c>
      <c r="F781" s="6">
        <v>2.02889715095205</v>
      </c>
    </row>
    <row r="782">
      <c r="A782" s="9">
        <f>IFERROR(__xludf.DUMMYFUNCTION("""COMPUTED_VALUE"""),38353.0)</f>
        <v>38353</v>
      </c>
      <c r="B782" s="6" t="str">
        <f>IFERROR(__xludf.DUMMYFUNCTION("""COMPUTED_VALUE"""),"gpc_servicios_sociales_pib")</f>
        <v>gpc_servicios_sociales_pib</v>
      </c>
      <c r="C782" s="6">
        <f>IFERROR(__xludf.DUMMYFUNCTION("""COMPUTED_VALUE"""),18.4083610921152)</f>
        <v>18.40836109</v>
      </c>
      <c r="D782" s="6">
        <v>2005.0</v>
      </c>
      <c r="E782" s="6" t="s">
        <v>40</v>
      </c>
      <c r="F782" s="6">
        <v>18.4083610921152</v>
      </c>
    </row>
    <row r="783">
      <c r="A783" s="9">
        <f>IFERROR(__xludf.DUMMYFUNCTION("""COMPUTED_VALUE"""),38353.0)</f>
        <v>38353</v>
      </c>
      <c r="B783" s="6" t="str">
        <f>IFERROR(__xludf.DUMMYFUNCTION("""COMPUTED_VALUE"""),"gpc_educacion_basica_pib")</f>
        <v>gpc_educacion_basica_pib</v>
      </c>
      <c r="C783" s="6">
        <f>IFERROR(__xludf.DUMMYFUNCTION("""COMPUTED_VALUE"""),2.85793190710685)</f>
        <v>2.857931907</v>
      </c>
      <c r="D783" s="6">
        <v>2005.0</v>
      </c>
      <c r="E783" s="6" t="s">
        <v>41</v>
      </c>
      <c r="F783" s="6">
        <v>2.85793190710685</v>
      </c>
    </row>
    <row r="784">
      <c r="A784" s="9">
        <f>IFERROR(__xludf.DUMMYFUNCTION("""COMPUTED_VALUE"""),38353.0)</f>
        <v>38353</v>
      </c>
      <c r="B784" s="6" t="str">
        <f>IFERROR(__xludf.DUMMYFUNCTION("""COMPUTED_VALUE"""),"gpc_educacion_universitaria_pib")</f>
        <v>gpc_educacion_universitaria_pib</v>
      </c>
      <c r="C784" s="6">
        <f>IFERROR(__xludf.DUMMYFUNCTION("""COMPUTED_VALUE"""),0.776437795176917)</f>
        <v>0.7764377952</v>
      </c>
      <c r="D784" s="6">
        <v>2005.0</v>
      </c>
      <c r="E784" s="6" t="s">
        <v>42</v>
      </c>
      <c r="F784" s="6">
        <v>0.776437795176917</v>
      </c>
    </row>
    <row r="785">
      <c r="A785" s="9">
        <f>IFERROR(__xludf.DUMMYFUNCTION("""COMPUTED_VALUE"""),38353.0)</f>
        <v>38353</v>
      </c>
      <c r="B785" s="6" t="str">
        <f>IFERROR(__xludf.DUMMYFUNCTION("""COMPUTED_VALUE"""),"gpc_ciencia_tecnica_pib")</f>
        <v>gpc_ciencia_tecnica_pib</v>
      </c>
      <c r="C785" s="6">
        <f>IFERROR(__xludf.DUMMYFUNCTION("""COMPUTED_VALUE"""),0.20397241132323)</f>
        <v>0.2039724113</v>
      </c>
      <c r="D785" s="6">
        <v>2005.0</v>
      </c>
      <c r="E785" s="6" t="s">
        <v>43</v>
      </c>
      <c r="F785" s="6">
        <v>0.20397241132323</v>
      </c>
    </row>
    <row r="786">
      <c r="A786" s="9">
        <f>IFERROR(__xludf.DUMMYFUNCTION("""COMPUTED_VALUE"""),38353.0)</f>
        <v>38353</v>
      </c>
      <c r="B786" s="6" t="str">
        <f>IFERROR(__xludf.DUMMYFUNCTION("""COMPUTED_VALUE"""),"gpc_cultura_pib")</f>
        <v>gpc_cultura_pib</v>
      </c>
      <c r="C786" s="6">
        <f>IFERROR(__xludf.DUMMYFUNCTION("""COMPUTED_VALUE"""),0.156843995618162)</f>
        <v>0.1568439956</v>
      </c>
      <c r="D786" s="6">
        <v>2005.0</v>
      </c>
      <c r="E786" s="6" t="s">
        <v>44</v>
      </c>
      <c r="F786" s="6">
        <v>0.156843995618162</v>
      </c>
    </row>
    <row r="787">
      <c r="A787" s="9">
        <f>IFERROR(__xludf.DUMMYFUNCTION("""COMPUTED_VALUE"""),38353.0)</f>
        <v>38353</v>
      </c>
      <c r="B787" s="6" t="str">
        <f>IFERROR(__xludf.DUMMYFUNCTION("""COMPUTED_VALUE"""),"gpc_educacion_cultura_sin_discriminar_pib")</f>
        <v>gpc_educacion_cultura_sin_discriminar_pib</v>
      </c>
      <c r="C787" s="6">
        <f>IFERROR(__xludf.DUMMYFUNCTION("""COMPUTED_VALUE"""),0.357103301544042)</f>
        <v>0.3571033015</v>
      </c>
      <c r="D787" s="6">
        <v>2005.0</v>
      </c>
      <c r="E787" s="6" t="s">
        <v>45</v>
      </c>
      <c r="F787" s="6">
        <v>0.357103301544042</v>
      </c>
    </row>
    <row r="788">
      <c r="A788" s="9">
        <f>IFERROR(__xludf.DUMMYFUNCTION("""COMPUTED_VALUE"""),38353.0)</f>
        <v>38353</v>
      </c>
      <c r="B788" s="6" t="str">
        <f>IFERROR(__xludf.DUMMYFUNCTION("""COMPUTED_VALUE"""),"gpc_atencion_salud_pib")</f>
        <v>gpc_atencion_salud_pib</v>
      </c>
      <c r="C788" s="6">
        <f>IFERROR(__xludf.DUMMYFUNCTION("""COMPUTED_VALUE"""),1.79538489513491)</f>
        <v>1.795384895</v>
      </c>
      <c r="D788" s="6">
        <v>2005.0</v>
      </c>
      <c r="E788" s="6" t="s">
        <v>46</v>
      </c>
      <c r="F788" s="6">
        <v>1.79538489513491</v>
      </c>
    </row>
    <row r="789">
      <c r="A789" s="9">
        <f>IFERROR(__xludf.DUMMYFUNCTION("""COMPUTED_VALUE"""),38353.0)</f>
        <v>38353</v>
      </c>
      <c r="B789" s="6" t="str">
        <f>IFERROR(__xludf.DUMMYFUNCTION("""COMPUTED_VALUE"""),"gpc_obras_sociales_salud_pib")</f>
        <v>gpc_obras_sociales_salud_pib</v>
      </c>
      <c r="C789" s="6">
        <f>IFERROR(__xludf.DUMMYFUNCTION("""COMPUTED_VALUE"""),1.74967596137666)</f>
        <v>1.749675961</v>
      </c>
      <c r="D789" s="6">
        <v>2005.0</v>
      </c>
      <c r="E789" s="6" t="s">
        <v>47</v>
      </c>
      <c r="F789" s="6">
        <v>1.74967596137666</v>
      </c>
    </row>
    <row r="790">
      <c r="A790" s="9">
        <f>IFERROR(__xludf.DUMMYFUNCTION("""COMPUTED_VALUE"""),38353.0)</f>
        <v>38353</v>
      </c>
      <c r="B790" s="6" t="str">
        <f>IFERROR(__xludf.DUMMYFUNCTION("""COMPUTED_VALUE"""),"gpc_inssjyp_salud_pib")</f>
        <v>gpc_inssjyp_salud_pib</v>
      </c>
      <c r="C790" s="6">
        <f>IFERROR(__xludf.DUMMYFUNCTION("""COMPUTED_VALUE"""),0.491009290829001)</f>
        <v>0.4910092908</v>
      </c>
      <c r="D790" s="6">
        <v>2005.0</v>
      </c>
      <c r="E790" s="6" t="s">
        <v>48</v>
      </c>
      <c r="F790" s="6">
        <v>0.491009290829001</v>
      </c>
    </row>
    <row r="791">
      <c r="A791" s="9">
        <f>IFERROR(__xludf.DUMMYFUNCTION("""COMPUTED_VALUE"""),38353.0)</f>
        <v>38353</v>
      </c>
      <c r="B791" s="6" t="str">
        <f>IFERROR(__xludf.DUMMYFUNCTION("""COMPUTED_VALUE"""),"gpc_agua_alcantarillado_pib")</f>
        <v>gpc_agua_alcantarillado_pib</v>
      </c>
      <c r="C791" s="6">
        <f>IFERROR(__xludf.DUMMYFUNCTION("""COMPUTED_VALUE"""),0.217161260938343)</f>
        <v>0.2171612609</v>
      </c>
      <c r="D791" s="6">
        <v>2005.0</v>
      </c>
      <c r="E791" s="6" t="s">
        <v>49</v>
      </c>
      <c r="F791" s="6">
        <v>0.217161260938343</v>
      </c>
    </row>
    <row r="792">
      <c r="A792" s="9">
        <f>IFERROR(__xludf.DUMMYFUNCTION("""COMPUTED_VALUE"""),38353.0)</f>
        <v>38353</v>
      </c>
      <c r="B792" s="6" t="str">
        <f>IFERROR(__xludf.DUMMYFUNCTION("""COMPUTED_VALUE"""),"gpc_vivienda_urbanismo_pib")</f>
        <v>gpc_vivienda_urbanismo_pib</v>
      </c>
      <c r="C792" s="6">
        <f>IFERROR(__xludf.DUMMYFUNCTION("""COMPUTED_VALUE"""),0.961194144692435)</f>
        <v>0.9611941447</v>
      </c>
      <c r="D792" s="6">
        <v>2005.0</v>
      </c>
      <c r="E792" s="6" t="s">
        <v>50</v>
      </c>
      <c r="F792" s="6">
        <v>0.961194144692435</v>
      </c>
    </row>
    <row r="793">
      <c r="A793" s="9">
        <f>IFERROR(__xludf.DUMMYFUNCTION("""COMPUTED_VALUE"""),38353.0)</f>
        <v>38353</v>
      </c>
      <c r="B793" s="6" t="str">
        <f>IFERROR(__xludf.DUMMYFUNCTION("""COMPUTED_VALUE"""),"gpc_promocion_asistencia_social_pib")</f>
        <v>gpc_promocion_asistencia_social_pib</v>
      </c>
      <c r="C793" s="6">
        <f>IFERROR(__xludf.DUMMYFUNCTION("""COMPUTED_VALUE"""),1.07541591648545)</f>
        <v>1.075415916</v>
      </c>
      <c r="D793" s="6">
        <v>2005.0</v>
      </c>
      <c r="E793" s="6" t="s">
        <v>51</v>
      </c>
      <c r="F793" s="6">
        <v>1.07541591648545</v>
      </c>
    </row>
    <row r="794">
      <c r="A794" s="9">
        <f>IFERROR(__xludf.DUMMYFUNCTION("""COMPUTED_VALUE"""),38353.0)</f>
        <v>38353</v>
      </c>
      <c r="B794" s="6" t="str">
        <f>IFERROR(__xludf.DUMMYFUNCTION("""COMPUTED_VALUE"""),"gpc_obras_sociales_prestaciones_pib")</f>
        <v>gpc_obras_sociales_prestaciones_pib</v>
      </c>
      <c r="C794" s="6">
        <f>IFERROR(__xludf.DUMMYFUNCTION("""COMPUTED_VALUE"""),0.0885698479022335)</f>
        <v>0.0885698479</v>
      </c>
      <c r="D794" s="6">
        <v>2005.0</v>
      </c>
      <c r="E794" s="6" t="s">
        <v>52</v>
      </c>
      <c r="F794" s="6">
        <v>0.0885698479022335</v>
      </c>
    </row>
    <row r="795">
      <c r="A795" s="9">
        <f>IFERROR(__xludf.DUMMYFUNCTION("""COMPUTED_VALUE"""),38353.0)</f>
        <v>38353</v>
      </c>
      <c r="B795" s="6" t="str">
        <f>IFERROR(__xludf.DUMMYFUNCTION("""COMPUTED_VALUE"""),"gpc_inssjyp_prestaciones_pib")</f>
        <v>gpc_inssjyp_prestaciones_pib</v>
      </c>
      <c r="C795" s="6">
        <f>IFERROR(__xludf.DUMMYFUNCTION("""COMPUTED_VALUE"""),0.125137537072081)</f>
        <v>0.1251375371</v>
      </c>
      <c r="D795" s="6">
        <v>2005.0</v>
      </c>
      <c r="E795" s="6" t="s">
        <v>53</v>
      </c>
      <c r="F795" s="6">
        <v>0.125137537072081</v>
      </c>
    </row>
    <row r="796">
      <c r="A796" s="9">
        <f>IFERROR(__xludf.DUMMYFUNCTION("""COMPUTED_VALUE"""),38353.0)</f>
        <v>38353</v>
      </c>
      <c r="B796" s="6" t="str">
        <f>IFERROR(__xludf.DUMMYFUNCTION("""COMPUTED_VALUE"""),"gpc_prevision_social_pib")</f>
        <v>gpc_prevision_social_pib</v>
      </c>
      <c r="C796" s="6">
        <f>IFERROR(__xludf.DUMMYFUNCTION("""COMPUTED_VALUE"""),5.61542962424661)</f>
        <v>5.615429624</v>
      </c>
      <c r="D796" s="6">
        <v>2005.0</v>
      </c>
      <c r="E796" s="6" t="s">
        <v>54</v>
      </c>
      <c r="F796" s="6">
        <v>5.61542962424661</v>
      </c>
    </row>
    <row r="797">
      <c r="A797" s="9">
        <f>IFERROR(__xludf.DUMMYFUNCTION("""COMPUTED_VALUE"""),38353.0)</f>
        <v>38353</v>
      </c>
      <c r="B797" s="6" t="str">
        <f>IFERROR(__xludf.DUMMYFUNCTION("""COMPUTED_VALUE"""),"gpc_programas_empleo_pib")</f>
        <v>gpc_programas_empleo_pib</v>
      </c>
      <c r="C797" s="6">
        <f>IFERROR(__xludf.DUMMYFUNCTION("""COMPUTED_VALUE"""),0.782044707750431)</f>
        <v>0.7820447078</v>
      </c>
      <c r="D797" s="6">
        <v>2005.0</v>
      </c>
      <c r="E797" s="6" t="s">
        <v>55</v>
      </c>
      <c r="F797" s="6">
        <v>0.782044707750431</v>
      </c>
    </row>
    <row r="798">
      <c r="A798" s="9">
        <f>IFERROR(__xludf.DUMMYFUNCTION("""COMPUTED_VALUE"""),38353.0)</f>
        <v>38353</v>
      </c>
      <c r="B798" s="6" t="str">
        <f>IFERROR(__xludf.DUMMYFUNCTION("""COMPUTED_VALUE"""),"gpc_asignaciones_familiares_pib")</f>
        <v>gpc_asignaciones_familiares_pib</v>
      </c>
      <c r="C798" s="6">
        <f>IFERROR(__xludf.DUMMYFUNCTION("""COMPUTED_VALUE"""),0.467626106043242)</f>
        <v>0.467626106</v>
      </c>
      <c r="D798" s="6">
        <v>2005.0</v>
      </c>
      <c r="E798" s="6" t="s">
        <v>56</v>
      </c>
      <c r="F798" s="6">
        <v>0.467626106043242</v>
      </c>
    </row>
    <row r="799">
      <c r="A799" s="9">
        <f>IFERROR(__xludf.DUMMYFUNCTION("""COMPUTED_VALUE"""),38353.0)</f>
        <v>38353</v>
      </c>
      <c r="B799" s="6" t="str">
        <f>IFERROR(__xludf.DUMMYFUNCTION("""COMPUTED_VALUE"""),"gpc_otros_servicios_urbanos_pib")</f>
        <v>gpc_otros_servicios_urbanos_pib</v>
      </c>
      <c r="C799" s="6">
        <f>IFERROR(__xludf.DUMMYFUNCTION("""COMPUTED_VALUE"""),0.687422388874606)</f>
        <v>0.6874223889</v>
      </c>
      <c r="D799" s="6">
        <v>2005.0</v>
      </c>
      <c r="E799" s="6" t="s">
        <v>57</v>
      </c>
      <c r="F799" s="6">
        <v>0.687422388874606</v>
      </c>
    </row>
    <row r="800">
      <c r="A800" s="9">
        <f>IFERROR(__xludf.DUMMYFUNCTION("""COMPUTED_VALUE"""),38353.0)</f>
        <v>38353</v>
      </c>
      <c r="B800" s="6" t="str">
        <f>IFERROR(__xludf.DUMMYFUNCTION("""COMPUTED_VALUE"""),"gpc_servicios_economicos_pib")</f>
        <v>gpc_servicios_economicos_pib</v>
      </c>
      <c r="C800" s="6">
        <f>IFERROR(__xludf.DUMMYFUNCTION("""COMPUTED_VALUE"""),3.26925328332654)</f>
        <v>3.269253283</v>
      </c>
      <c r="D800" s="6">
        <v>2005.0</v>
      </c>
      <c r="E800" s="6" t="s">
        <v>58</v>
      </c>
      <c r="F800" s="6">
        <v>3.26925328332654</v>
      </c>
    </row>
    <row r="801">
      <c r="A801" s="9">
        <f>IFERROR(__xludf.DUMMYFUNCTION("""COMPUTED_VALUE"""),38353.0)</f>
        <v>38353</v>
      </c>
      <c r="B801" s="6" t="str">
        <f>IFERROR(__xludf.DUMMYFUNCTION("""COMPUTED_VALUE"""),"gpc_produccion_primaria_pib")</f>
        <v>gpc_produccion_primaria_pib</v>
      </c>
      <c r="C801" s="6">
        <f>IFERROR(__xludf.DUMMYFUNCTION("""COMPUTED_VALUE"""),0.339026830465738)</f>
        <v>0.3390268305</v>
      </c>
      <c r="D801" s="6">
        <v>2005.0</v>
      </c>
      <c r="E801" s="6" t="s">
        <v>59</v>
      </c>
      <c r="F801" s="6">
        <v>0.339026830465738</v>
      </c>
    </row>
    <row r="802">
      <c r="A802" s="9">
        <f>IFERROR(__xludf.DUMMYFUNCTION("""COMPUTED_VALUE"""),38353.0)</f>
        <v>38353</v>
      </c>
      <c r="B802" s="6" t="str">
        <f>IFERROR(__xludf.DUMMYFUNCTION("""COMPUTED_VALUE"""),"gpc_energia_combustible_pib")</f>
        <v>gpc_energia_combustible_pib</v>
      </c>
      <c r="C802" s="6">
        <f>IFERROR(__xludf.DUMMYFUNCTION("""COMPUTED_VALUE"""),0.667165567712702)</f>
        <v>0.6671655677</v>
      </c>
      <c r="D802" s="6">
        <v>2005.0</v>
      </c>
      <c r="E802" s="6" t="s">
        <v>60</v>
      </c>
      <c r="F802" s="6">
        <v>0.667165567712702</v>
      </c>
    </row>
    <row r="803">
      <c r="A803" s="9">
        <f>IFERROR(__xludf.DUMMYFUNCTION("""COMPUTED_VALUE"""),38353.0)</f>
        <v>38353</v>
      </c>
      <c r="B803" s="6" t="str">
        <f>IFERROR(__xludf.DUMMYFUNCTION("""COMPUTED_VALUE"""),"gpc_industria_pib")</f>
        <v>gpc_industria_pib</v>
      </c>
      <c r="C803" s="6">
        <f>IFERROR(__xludf.DUMMYFUNCTION("""COMPUTED_VALUE"""),0.0973319665107132)</f>
        <v>0.09733196651</v>
      </c>
      <c r="D803" s="6">
        <v>2005.0</v>
      </c>
      <c r="E803" s="6" t="s">
        <v>61</v>
      </c>
      <c r="F803" s="6">
        <v>0.0973319665107132</v>
      </c>
    </row>
    <row r="804">
      <c r="A804" s="9">
        <f>IFERROR(__xludf.DUMMYFUNCTION("""COMPUTED_VALUE"""),38353.0)</f>
        <v>38353</v>
      </c>
      <c r="B804" s="6" t="str">
        <f>IFERROR(__xludf.DUMMYFUNCTION("""COMPUTED_VALUE"""),"gpc_transporte_pib")</f>
        <v>gpc_transporte_pib</v>
      </c>
      <c r="C804" s="6">
        <f>IFERROR(__xludf.DUMMYFUNCTION("""COMPUTED_VALUE"""),1.25287324668979)</f>
        <v>1.252873247</v>
      </c>
      <c r="D804" s="6">
        <v>2005.0</v>
      </c>
      <c r="E804" s="6" t="s">
        <v>62</v>
      </c>
      <c r="F804" s="6">
        <v>1.25287324668979</v>
      </c>
    </row>
    <row r="805">
      <c r="A805" s="9">
        <f>IFERROR(__xludf.DUMMYFUNCTION("""COMPUTED_VALUE"""),38353.0)</f>
        <v>38353</v>
      </c>
      <c r="B805" s="6" t="str">
        <f>IFERROR(__xludf.DUMMYFUNCTION("""COMPUTED_VALUE"""),"gpc_comunicaciones_pib")</f>
        <v>gpc_comunicaciones_pib</v>
      </c>
      <c r="C805" s="6">
        <f>IFERROR(__xludf.DUMMYFUNCTION("""COMPUTED_VALUE"""),0.0615279881414345)</f>
        <v>0.06152798814</v>
      </c>
      <c r="D805" s="6">
        <v>2005.0</v>
      </c>
      <c r="E805" s="6" t="s">
        <v>63</v>
      </c>
      <c r="F805" s="6">
        <v>0.0615279881414345</v>
      </c>
    </row>
    <row r="806">
      <c r="A806" s="9">
        <f>IFERROR(__xludf.DUMMYFUNCTION("""COMPUTED_VALUE"""),38353.0)</f>
        <v>38353</v>
      </c>
      <c r="B806" s="6" t="str">
        <f>IFERROR(__xludf.DUMMYFUNCTION("""COMPUTED_VALUE"""),"gpc_otros_servicios_economicos_pib")</f>
        <v>gpc_otros_servicios_economicos_pib</v>
      </c>
      <c r="C806" s="6">
        <f>IFERROR(__xludf.DUMMYFUNCTION("""COMPUTED_VALUE"""),0.851327683806159)</f>
        <v>0.8513276838</v>
      </c>
      <c r="D806" s="6">
        <v>2005.0</v>
      </c>
      <c r="E806" s="6" t="s">
        <v>64</v>
      </c>
      <c r="F806" s="6">
        <v>0.851327683806159</v>
      </c>
    </row>
    <row r="807">
      <c r="A807" s="9">
        <f>IFERROR(__xludf.DUMMYFUNCTION("""COMPUTED_VALUE"""),38353.0)</f>
        <v>38353</v>
      </c>
      <c r="B807" s="6" t="str">
        <f>IFERROR(__xludf.DUMMYFUNCTION("""COMPUTED_VALUE"""),"gpc_servicios_deuda_publica_pib")</f>
        <v>gpc_servicios_deuda_publica_pib</v>
      </c>
      <c r="C807" s="6">
        <f>IFERROR(__xludf.DUMMYFUNCTION("""COMPUTED_VALUE"""),2.21083210394581)</f>
        <v>2.210832104</v>
      </c>
      <c r="D807" s="6">
        <v>2005.0</v>
      </c>
      <c r="E807" s="6" t="s">
        <v>65</v>
      </c>
      <c r="F807" s="6">
        <v>2.21083210394581</v>
      </c>
    </row>
    <row r="808">
      <c r="A808" s="9">
        <f>IFERROR(__xludf.DUMMYFUNCTION("""COMPUTED_VALUE"""),38718.0)</f>
        <v>38718</v>
      </c>
      <c r="B808" s="6" t="str">
        <f>IFERROR(__xludf.DUMMYFUNCTION("""COMPUTED_VALUE"""),"gpc_pib")</f>
        <v>gpc_pib</v>
      </c>
      <c r="C808" s="6">
        <f>IFERROR(__xludf.DUMMYFUNCTION("""COMPUTED_VALUE"""),29.6454784126122)</f>
        <v>29.64547841</v>
      </c>
      <c r="D808" s="6">
        <v>2006.0</v>
      </c>
      <c r="E808" s="6" t="s">
        <v>66</v>
      </c>
      <c r="F808" s="6">
        <v>29.6454784126122</v>
      </c>
    </row>
    <row r="809">
      <c r="A809" s="9">
        <f>IFERROR(__xludf.DUMMYFUNCTION("""COMPUTED_VALUE"""),38718.0)</f>
        <v>38718</v>
      </c>
      <c r="B809" s="6" t="str">
        <f>IFERROR(__xludf.DUMMYFUNCTION("""COMPUTED_VALUE"""),"gpc_funcionamiento_estado_pib")</f>
        <v>gpc_funcionamiento_estado_pib</v>
      </c>
      <c r="C809" s="6">
        <f>IFERROR(__xludf.DUMMYFUNCTION("""COMPUTED_VALUE"""),5.19707382514332)</f>
        <v>5.197073825</v>
      </c>
      <c r="D809" s="6">
        <v>2006.0</v>
      </c>
      <c r="E809" s="6" t="s">
        <v>36</v>
      </c>
      <c r="F809" s="6">
        <v>5.19707382514332</v>
      </c>
    </row>
    <row r="810">
      <c r="A810" s="9">
        <f>IFERROR(__xludf.DUMMYFUNCTION("""COMPUTED_VALUE"""),38718.0)</f>
        <v>38718</v>
      </c>
      <c r="B810" s="6" t="str">
        <f>IFERROR(__xludf.DUMMYFUNCTION("""COMPUTED_VALUE"""),"gpc_administracion_general_pib")</f>
        <v>gpc_administracion_general_pib</v>
      </c>
      <c r="C810" s="6">
        <f>IFERROR(__xludf.DUMMYFUNCTION("""COMPUTED_VALUE"""),2.50917538913654)</f>
        <v>2.509175389</v>
      </c>
      <c r="D810" s="6">
        <v>2006.0</v>
      </c>
      <c r="E810" s="6" t="s">
        <v>37</v>
      </c>
      <c r="F810" s="6">
        <v>2.50917538913654</v>
      </c>
    </row>
    <row r="811">
      <c r="A811" s="9">
        <f>IFERROR(__xludf.DUMMYFUNCTION("""COMPUTED_VALUE"""),38718.0)</f>
        <v>38718</v>
      </c>
      <c r="B811" s="6" t="str">
        <f>IFERROR(__xludf.DUMMYFUNCTION("""COMPUTED_VALUE"""),"gpc_justicia_pib")</f>
        <v>gpc_justicia_pib</v>
      </c>
      <c r="C811" s="6">
        <f>IFERROR(__xludf.DUMMYFUNCTION("""COMPUTED_VALUE"""),0.701279935149513)</f>
        <v>0.7012799351</v>
      </c>
      <c r="D811" s="6">
        <v>2006.0</v>
      </c>
      <c r="E811" s="6" t="s">
        <v>38</v>
      </c>
      <c r="F811" s="6">
        <v>0.701279935149513</v>
      </c>
    </row>
    <row r="812">
      <c r="A812" s="9">
        <f>IFERROR(__xludf.DUMMYFUNCTION("""COMPUTED_VALUE"""),38718.0)</f>
        <v>38718</v>
      </c>
      <c r="B812" s="6" t="str">
        <f>IFERROR(__xludf.DUMMYFUNCTION("""COMPUTED_VALUE"""),"gpc_defensa_seguridad_pib")</f>
        <v>gpc_defensa_seguridad_pib</v>
      </c>
      <c r="C812" s="6">
        <f>IFERROR(__xludf.DUMMYFUNCTION("""COMPUTED_VALUE"""),1.98661850085726)</f>
        <v>1.986618501</v>
      </c>
      <c r="D812" s="6">
        <v>2006.0</v>
      </c>
      <c r="E812" s="6" t="s">
        <v>39</v>
      </c>
      <c r="F812" s="6">
        <v>1.98661850085726</v>
      </c>
    </row>
    <row r="813">
      <c r="A813" s="9">
        <f>IFERROR(__xludf.DUMMYFUNCTION("""COMPUTED_VALUE"""),38718.0)</f>
        <v>38718</v>
      </c>
      <c r="B813" s="6" t="str">
        <f>IFERROR(__xludf.DUMMYFUNCTION("""COMPUTED_VALUE"""),"gpc_servicios_sociales_pib")</f>
        <v>gpc_servicios_sociales_pib</v>
      </c>
      <c r="C813" s="6">
        <f>IFERROR(__xludf.DUMMYFUNCTION("""COMPUTED_VALUE"""),19.1734182374744)</f>
        <v>19.17341824</v>
      </c>
      <c r="D813" s="6">
        <v>2006.0</v>
      </c>
      <c r="E813" s="6" t="s">
        <v>40</v>
      </c>
      <c r="F813" s="6">
        <v>19.1734182374744</v>
      </c>
    </row>
    <row r="814">
      <c r="A814" s="9">
        <f>IFERROR(__xludf.DUMMYFUNCTION("""COMPUTED_VALUE"""),38718.0)</f>
        <v>38718</v>
      </c>
      <c r="B814" s="6" t="str">
        <f>IFERROR(__xludf.DUMMYFUNCTION("""COMPUTED_VALUE"""),"gpc_educacion_basica_pib")</f>
        <v>gpc_educacion_basica_pib</v>
      </c>
      <c r="C814" s="6">
        <f>IFERROR(__xludf.DUMMYFUNCTION("""COMPUTED_VALUE"""),3.0640000217761)</f>
        <v>3.064000022</v>
      </c>
      <c r="D814" s="6">
        <v>2006.0</v>
      </c>
      <c r="E814" s="6" t="s">
        <v>41</v>
      </c>
      <c r="F814" s="6">
        <v>3.0640000217761</v>
      </c>
    </row>
    <row r="815">
      <c r="A815" s="9">
        <f>IFERROR(__xludf.DUMMYFUNCTION("""COMPUTED_VALUE"""),38718.0)</f>
        <v>38718</v>
      </c>
      <c r="B815" s="6" t="str">
        <f>IFERROR(__xludf.DUMMYFUNCTION("""COMPUTED_VALUE"""),"gpc_educacion_universitaria_pib")</f>
        <v>gpc_educacion_universitaria_pib</v>
      </c>
      <c r="C815" s="6">
        <f>IFERROR(__xludf.DUMMYFUNCTION("""COMPUTED_VALUE"""),0.87364521197202)</f>
        <v>0.873645212</v>
      </c>
      <c r="D815" s="6">
        <v>2006.0</v>
      </c>
      <c r="E815" s="6" t="s">
        <v>42</v>
      </c>
      <c r="F815" s="6">
        <v>0.87364521197202</v>
      </c>
    </row>
    <row r="816">
      <c r="A816" s="9">
        <f>IFERROR(__xludf.DUMMYFUNCTION("""COMPUTED_VALUE"""),38718.0)</f>
        <v>38718</v>
      </c>
      <c r="B816" s="6" t="str">
        <f>IFERROR(__xludf.DUMMYFUNCTION("""COMPUTED_VALUE"""),"gpc_ciencia_tecnica_pib")</f>
        <v>gpc_ciencia_tecnica_pib</v>
      </c>
      <c r="C816" s="6">
        <f>IFERROR(__xludf.DUMMYFUNCTION("""COMPUTED_VALUE"""),0.222223108508477)</f>
        <v>0.2222231085</v>
      </c>
      <c r="D816" s="6">
        <v>2006.0</v>
      </c>
      <c r="E816" s="6" t="s">
        <v>43</v>
      </c>
      <c r="F816" s="6">
        <v>0.222223108508477</v>
      </c>
    </row>
    <row r="817">
      <c r="A817" s="9">
        <f>IFERROR(__xludf.DUMMYFUNCTION("""COMPUTED_VALUE"""),38718.0)</f>
        <v>38718</v>
      </c>
      <c r="B817" s="6" t="str">
        <f>IFERROR(__xludf.DUMMYFUNCTION("""COMPUTED_VALUE"""),"gpc_cultura_pib")</f>
        <v>gpc_cultura_pib</v>
      </c>
      <c r="C817" s="6">
        <f>IFERROR(__xludf.DUMMYFUNCTION("""COMPUTED_VALUE"""),0.164029405966996)</f>
        <v>0.164029406</v>
      </c>
      <c r="D817" s="6">
        <v>2006.0</v>
      </c>
      <c r="E817" s="6" t="s">
        <v>44</v>
      </c>
      <c r="F817" s="6">
        <v>0.164029405966996</v>
      </c>
    </row>
    <row r="818">
      <c r="A818" s="9">
        <f>IFERROR(__xludf.DUMMYFUNCTION("""COMPUTED_VALUE"""),38718.0)</f>
        <v>38718</v>
      </c>
      <c r="B818" s="6" t="str">
        <f>IFERROR(__xludf.DUMMYFUNCTION("""COMPUTED_VALUE"""),"gpc_educacion_cultura_sin_discriminar_pib")</f>
        <v>gpc_educacion_cultura_sin_discriminar_pib</v>
      </c>
      <c r="C818" s="6">
        <f>IFERROR(__xludf.DUMMYFUNCTION("""COMPUTED_VALUE"""),0.39439301690383)</f>
        <v>0.3943930169</v>
      </c>
      <c r="D818" s="6">
        <v>2006.0</v>
      </c>
      <c r="E818" s="6" t="s">
        <v>45</v>
      </c>
      <c r="F818" s="6">
        <v>0.39439301690383</v>
      </c>
    </row>
    <row r="819">
      <c r="A819" s="9">
        <f>IFERROR(__xludf.DUMMYFUNCTION("""COMPUTED_VALUE"""),38718.0)</f>
        <v>38718</v>
      </c>
      <c r="B819" s="6" t="str">
        <f>IFERROR(__xludf.DUMMYFUNCTION("""COMPUTED_VALUE"""),"gpc_atencion_salud_pib")</f>
        <v>gpc_atencion_salud_pib</v>
      </c>
      <c r="C819" s="6">
        <f>IFERROR(__xludf.DUMMYFUNCTION("""COMPUTED_VALUE"""),1.80950226537395)</f>
        <v>1.809502265</v>
      </c>
      <c r="D819" s="6">
        <v>2006.0</v>
      </c>
      <c r="E819" s="6" t="s">
        <v>46</v>
      </c>
      <c r="F819" s="6">
        <v>1.80950226537395</v>
      </c>
    </row>
    <row r="820">
      <c r="A820" s="9">
        <f>IFERROR(__xludf.DUMMYFUNCTION("""COMPUTED_VALUE"""),38718.0)</f>
        <v>38718</v>
      </c>
      <c r="B820" s="6" t="str">
        <f>IFERROR(__xludf.DUMMYFUNCTION("""COMPUTED_VALUE"""),"gpc_obras_sociales_salud_pib")</f>
        <v>gpc_obras_sociales_salud_pib</v>
      </c>
      <c r="C820" s="6">
        <f>IFERROR(__xludf.DUMMYFUNCTION("""COMPUTED_VALUE"""),1.76256169668793)</f>
        <v>1.762561697</v>
      </c>
      <c r="D820" s="6">
        <v>2006.0</v>
      </c>
      <c r="E820" s="6" t="s">
        <v>47</v>
      </c>
      <c r="F820" s="6">
        <v>1.76256169668793</v>
      </c>
    </row>
    <row r="821">
      <c r="A821" s="9">
        <f>IFERROR(__xludf.DUMMYFUNCTION("""COMPUTED_VALUE"""),38718.0)</f>
        <v>38718</v>
      </c>
      <c r="B821" s="6" t="str">
        <f>IFERROR(__xludf.DUMMYFUNCTION("""COMPUTED_VALUE"""),"gpc_inssjyp_salud_pib")</f>
        <v>gpc_inssjyp_salud_pib</v>
      </c>
      <c r="C821" s="6">
        <f>IFERROR(__xludf.DUMMYFUNCTION("""COMPUTED_VALUE"""),0.507514006018629)</f>
        <v>0.507514006</v>
      </c>
      <c r="D821" s="6">
        <v>2006.0</v>
      </c>
      <c r="E821" s="6" t="s">
        <v>48</v>
      </c>
      <c r="F821" s="6">
        <v>0.507514006018629</v>
      </c>
    </row>
    <row r="822">
      <c r="A822" s="9">
        <f>IFERROR(__xludf.DUMMYFUNCTION("""COMPUTED_VALUE"""),38718.0)</f>
        <v>38718</v>
      </c>
      <c r="B822" s="6" t="str">
        <f>IFERROR(__xludf.DUMMYFUNCTION("""COMPUTED_VALUE"""),"gpc_agua_alcantarillado_pib")</f>
        <v>gpc_agua_alcantarillado_pib</v>
      </c>
      <c r="C822" s="6">
        <f>IFERROR(__xludf.DUMMYFUNCTION("""COMPUTED_VALUE"""),0.281996567281716)</f>
        <v>0.2819965673</v>
      </c>
      <c r="D822" s="6">
        <v>2006.0</v>
      </c>
      <c r="E822" s="6" t="s">
        <v>49</v>
      </c>
      <c r="F822" s="6">
        <v>0.281996567281716</v>
      </c>
    </row>
    <row r="823">
      <c r="A823" s="9">
        <f>IFERROR(__xludf.DUMMYFUNCTION("""COMPUTED_VALUE"""),38718.0)</f>
        <v>38718</v>
      </c>
      <c r="B823" s="6" t="str">
        <f>IFERROR(__xludf.DUMMYFUNCTION("""COMPUTED_VALUE"""),"gpc_vivienda_urbanismo_pib")</f>
        <v>gpc_vivienda_urbanismo_pib</v>
      </c>
      <c r="C823" s="6">
        <f>IFERROR(__xludf.DUMMYFUNCTION("""COMPUTED_VALUE"""),1.06852264315432)</f>
        <v>1.068522643</v>
      </c>
      <c r="D823" s="6">
        <v>2006.0</v>
      </c>
      <c r="E823" s="6" t="s">
        <v>50</v>
      </c>
      <c r="F823" s="6">
        <v>1.06852264315432</v>
      </c>
    </row>
    <row r="824">
      <c r="A824" s="9">
        <f>IFERROR(__xludf.DUMMYFUNCTION("""COMPUTED_VALUE"""),38718.0)</f>
        <v>38718</v>
      </c>
      <c r="B824" s="6" t="str">
        <f>IFERROR(__xludf.DUMMYFUNCTION("""COMPUTED_VALUE"""),"gpc_promocion_asistencia_social_pib")</f>
        <v>gpc_promocion_asistencia_social_pib</v>
      </c>
      <c r="C824" s="6">
        <f>IFERROR(__xludf.DUMMYFUNCTION("""COMPUTED_VALUE"""),1.11237482053964)</f>
        <v>1.112374821</v>
      </c>
      <c r="D824" s="6">
        <v>2006.0</v>
      </c>
      <c r="E824" s="6" t="s">
        <v>51</v>
      </c>
      <c r="F824" s="6">
        <v>1.11237482053964</v>
      </c>
    </row>
    <row r="825">
      <c r="A825" s="9">
        <f>IFERROR(__xludf.DUMMYFUNCTION("""COMPUTED_VALUE"""),38718.0)</f>
        <v>38718</v>
      </c>
      <c r="B825" s="6" t="str">
        <f>IFERROR(__xludf.DUMMYFUNCTION("""COMPUTED_VALUE"""),"gpc_obras_sociales_prestaciones_pib")</f>
        <v>gpc_obras_sociales_prestaciones_pib</v>
      </c>
      <c r="C825" s="6">
        <f>IFERROR(__xludf.DUMMYFUNCTION("""COMPUTED_VALUE"""),0.08546642077898)</f>
        <v>0.08546642078</v>
      </c>
      <c r="D825" s="6">
        <v>2006.0</v>
      </c>
      <c r="E825" s="6" t="s">
        <v>52</v>
      </c>
      <c r="F825" s="6">
        <v>0.08546642077898</v>
      </c>
    </row>
    <row r="826">
      <c r="A826" s="9">
        <f>IFERROR(__xludf.DUMMYFUNCTION("""COMPUTED_VALUE"""),38718.0)</f>
        <v>38718</v>
      </c>
      <c r="B826" s="6" t="str">
        <f>IFERROR(__xludf.DUMMYFUNCTION("""COMPUTED_VALUE"""),"gpc_inssjyp_prestaciones_pib")</f>
        <v>gpc_inssjyp_prestaciones_pib</v>
      </c>
      <c r="C826" s="6">
        <f>IFERROR(__xludf.DUMMYFUNCTION("""COMPUTED_VALUE"""),0.1406322490501)</f>
        <v>0.1406322491</v>
      </c>
      <c r="D826" s="6">
        <v>2006.0</v>
      </c>
      <c r="E826" s="6" t="s">
        <v>53</v>
      </c>
      <c r="F826" s="6">
        <v>0.1406322490501</v>
      </c>
    </row>
    <row r="827">
      <c r="A827" s="9">
        <f>IFERROR(__xludf.DUMMYFUNCTION("""COMPUTED_VALUE"""),38718.0)</f>
        <v>38718</v>
      </c>
      <c r="B827" s="6" t="str">
        <f>IFERROR(__xludf.DUMMYFUNCTION("""COMPUTED_VALUE"""),"gpc_prevision_social_pib")</f>
        <v>gpc_prevision_social_pib</v>
      </c>
      <c r="C827" s="6">
        <f>IFERROR(__xludf.DUMMYFUNCTION("""COMPUTED_VALUE"""),5.89770146651995)</f>
        <v>5.897701467</v>
      </c>
      <c r="D827" s="6">
        <v>2006.0</v>
      </c>
      <c r="E827" s="6" t="s">
        <v>54</v>
      </c>
      <c r="F827" s="6">
        <v>5.89770146651995</v>
      </c>
    </row>
    <row r="828">
      <c r="A828" s="9">
        <f>IFERROR(__xludf.DUMMYFUNCTION("""COMPUTED_VALUE"""),38718.0)</f>
        <v>38718</v>
      </c>
      <c r="B828" s="6" t="str">
        <f>IFERROR(__xludf.DUMMYFUNCTION("""COMPUTED_VALUE"""),"gpc_programas_empleo_pib")</f>
        <v>gpc_programas_empleo_pib</v>
      </c>
      <c r="C828" s="6">
        <f>IFERROR(__xludf.DUMMYFUNCTION("""COMPUTED_VALUE"""),0.618477882613653)</f>
        <v>0.6184778826</v>
      </c>
      <c r="D828" s="6">
        <v>2006.0</v>
      </c>
      <c r="E828" s="6" t="s">
        <v>55</v>
      </c>
      <c r="F828" s="6">
        <v>0.618477882613653</v>
      </c>
    </row>
    <row r="829">
      <c r="A829" s="9">
        <f>IFERROR(__xludf.DUMMYFUNCTION("""COMPUTED_VALUE"""),38718.0)</f>
        <v>38718</v>
      </c>
      <c r="B829" s="6" t="str">
        <f>IFERROR(__xludf.DUMMYFUNCTION("""COMPUTED_VALUE"""),"gpc_asignaciones_familiares_pib")</f>
        <v>gpc_asignaciones_familiares_pib</v>
      </c>
      <c r="C829" s="6">
        <f>IFERROR(__xludf.DUMMYFUNCTION("""COMPUTED_VALUE"""),0.451879871132849)</f>
        <v>0.4518798711</v>
      </c>
      <c r="D829" s="6">
        <v>2006.0</v>
      </c>
      <c r="E829" s="6" t="s">
        <v>56</v>
      </c>
      <c r="F829" s="6">
        <v>0.451879871132849</v>
      </c>
    </row>
    <row r="830">
      <c r="A830" s="9">
        <f>IFERROR(__xludf.DUMMYFUNCTION("""COMPUTED_VALUE"""),38718.0)</f>
        <v>38718</v>
      </c>
      <c r="B830" s="6" t="str">
        <f>IFERROR(__xludf.DUMMYFUNCTION("""COMPUTED_VALUE"""),"gpc_otros_servicios_urbanos_pib")</f>
        <v>gpc_otros_servicios_urbanos_pib</v>
      </c>
      <c r="C830" s="6">
        <f>IFERROR(__xludf.DUMMYFUNCTION("""COMPUTED_VALUE"""),0.718497583195286)</f>
        <v>0.7184975832</v>
      </c>
      <c r="D830" s="6">
        <v>2006.0</v>
      </c>
      <c r="E830" s="6" t="s">
        <v>57</v>
      </c>
      <c r="F830" s="6">
        <v>0.718497583195286</v>
      </c>
    </row>
    <row r="831">
      <c r="A831" s="9">
        <f>IFERROR(__xludf.DUMMYFUNCTION("""COMPUTED_VALUE"""),38718.0)</f>
        <v>38718</v>
      </c>
      <c r="B831" s="6" t="str">
        <f>IFERROR(__xludf.DUMMYFUNCTION("""COMPUTED_VALUE"""),"gpc_servicios_economicos_pib")</f>
        <v>gpc_servicios_economicos_pib</v>
      </c>
      <c r="C831" s="6">
        <f>IFERROR(__xludf.DUMMYFUNCTION("""COMPUTED_VALUE"""),3.40192989595988)</f>
        <v>3.401929896</v>
      </c>
      <c r="D831" s="6">
        <v>2006.0</v>
      </c>
      <c r="E831" s="6" t="s">
        <v>58</v>
      </c>
      <c r="F831" s="6">
        <v>3.40192989595988</v>
      </c>
    </row>
    <row r="832">
      <c r="A832" s="9">
        <f>IFERROR(__xludf.DUMMYFUNCTION("""COMPUTED_VALUE"""),38718.0)</f>
        <v>38718</v>
      </c>
      <c r="B832" s="6" t="str">
        <f>IFERROR(__xludf.DUMMYFUNCTION("""COMPUTED_VALUE"""),"gpc_produccion_primaria_pib")</f>
        <v>gpc_produccion_primaria_pib</v>
      </c>
      <c r="C832" s="6">
        <f>IFERROR(__xludf.DUMMYFUNCTION("""COMPUTED_VALUE"""),0.319799179176612)</f>
        <v>0.3197991792</v>
      </c>
      <c r="D832" s="6">
        <v>2006.0</v>
      </c>
      <c r="E832" s="6" t="s">
        <v>59</v>
      </c>
      <c r="F832" s="6">
        <v>0.319799179176612</v>
      </c>
    </row>
    <row r="833">
      <c r="A833" s="9">
        <f>IFERROR(__xludf.DUMMYFUNCTION("""COMPUTED_VALUE"""),38718.0)</f>
        <v>38718</v>
      </c>
      <c r="B833" s="6" t="str">
        <f>IFERROR(__xludf.DUMMYFUNCTION("""COMPUTED_VALUE"""),"gpc_energia_combustible_pib")</f>
        <v>gpc_energia_combustible_pib</v>
      </c>
      <c r="C833" s="6">
        <f>IFERROR(__xludf.DUMMYFUNCTION("""COMPUTED_VALUE"""),0.852637335985896)</f>
        <v>0.852637336</v>
      </c>
      <c r="D833" s="6">
        <v>2006.0</v>
      </c>
      <c r="E833" s="6" t="s">
        <v>60</v>
      </c>
      <c r="F833" s="6">
        <v>0.852637335985896</v>
      </c>
    </row>
    <row r="834">
      <c r="A834" s="9">
        <f>IFERROR(__xludf.DUMMYFUNCTION("""COMPUTED_VALUE"""),38718.0)</f>
        <v>38718</v>
      </c>
      <c r="B834" s="6" t="str">
        <f>IFERROR(__xludf.DUMMYFUNCTION("""COMPUTED_VALUE"""),"gpc_industria_pib")</f>
        <v>gpc_industria_pib</v>
      </c>
      <c r="C834" s="6">
        <f>IFERROR(__xludf.DUMMYFUNCTION("""COMPUTED_VALUE"""),0.0905284544184435)</f>
        <v>0.09052845442</v>
      </c>
      <c r="D834" s="6">
        <v>2006.0</v>
      </c>
      <c r="E834" s="6" t="s">
        <v>61</v>
      </c>
      <c r="F834" s="6">
        <v>0.0905284544184435</v>
      </c>
    </row>
    <row r="835">
      <c r="A835" s="9">
        <f>IFERROR(__xludf.DUMMYFUNCTION("""COMPUTED_VALUE"""),38718.0)</f>
        <v>38718</v>
      </c>
      <c r="B835" s="6" t="str">
        <f>IFERROR(__xludf.DUMMYFUNCTION("""COMPUTED_VALUE"""),"gpc_transporte_pib")</f>
        <v>gpc_transporte_pib</v>
      </c>
      <c r="C835" s="6">
        <f>IFERROR(__xludf.DUMMYFUNCTION("""COMPUTED_VALUE"""),1.58452825727704)</f>
        <v>1.584528257</v>
      </c>
      <c r="D835" s="6">
        <v>2006.0</v>
      </c>
      <c r="E835" s="6" t="s">
        <v>62</v>
      </c>
      <c r="F835" s="6">
        <v>1.58452825727704</v>
      </c>
    </row>
    <row r="836">
      <c r="A836" s="9">
        <f>IFERROR(__xludf.DUMMYFUNCTION("""COMPUTED_VALUE"""),38718.0)</f>
        <v>38718</v>
      </c>
      <c r="B836" s="6" t="str">
        <f>IFERROR(__xludf.DUMMYFUNCTION("""COMPUTED_VALUE"""),"gpc_comunicaciones_pib")</f>
        <v>gpc_comunicaciones_pib</v>
      </c>
      <c r="C836" s="6">
        <f>IFERROR(__xludf.DUMMYFUNCTION("""COMPUTED_VALUE"""),0.0738940434854716)</f>
        <v>0.07389404349</v>
      </c>
      <c r="D836" s="6">
        <v>2006.0</v>
      </c>
      <c r="E836" s="6" t="s">
        <v>63</v>
      </c>
      <c r="F836" s="6">
        <v>0.0738940434854716</v>
      </c>
    </row>
    <row r="837">
      <c r="A837" s="9">
        <f>IFERROR(__xludf.DUMMYFUNCTION("""COMPUTED_VALUE"""),38718.0)</f>
        <v>38718</v>
      </c>
      <c r="B837" s="6" t="str">
        <f>IFERROR(__xludf.DUMMYFUNCTION("""COMPUTED_VALUE"""),"gpc_otros_servicios_economicos_pib")</f>
        <v>gpc_otros_servicios_economicos_pib</v>
      </c>
      <c r="C837" s="6">
        <f>IFERROR(__xludf.DUMMYFUNCTION("""COMPUTED_VALUE"""),0.48054262561641)</f>
        <v>0.4805426256</v>
      </c>
      <c r="D837" s="6">
        <v>2006.0</v>
      </c>
      <c r="E837" s="6" t="s">
        <v>64</v>
      </c>
      <c r="F837" s="6">
        <v>0.48054262561641</v>
      </c>
    </row>
    <row r="838">
      <c r="A838" s="9">
        <f>IFERROR(__xludf.DUMMYFUNCTION("""COMPUTED_VALUE"""),38718.0)</f>
        <v>38718</v>
      </c>
      <c r="B838" s="6" t="str">
        <f>IFERROR(__xludf.DUMMYFUNCTION("""COMPUTED_VALUE"""),"gpc_servicios_deuda_publica_pib")</f>
        <v>gpc_servicios_deuda_publica_pib</v>
      </c>
      <c r="C838" s="6">
        <f>IFERROR(__xludf.DUMMYFUNCTION("""COMPUTED_VALUE"""),1.87305645403455)</f>
        <v>1.873056454</v>
      </c>
      <c r="D838" s="6">
        <v>2006.0</v>
      </c>
      <c r="E838" s="6" t="s">
        <v>65</v>
      </c>
      <c r="F838" s="6">
        <v>1.87305645403455</v>
      </c>
    </row>
    <row r="839">
      <c r="A839" s="9">
        <f>IFERROR(__xludf.DUMMYFUNCTION("""COMPUTED_VALUE"""),39083.0)</f>
        <v>39083</v>
      </c>
      <c r="B839" s="6" t="str">
        <f>IFERROR(__xludf.DUMMYFUNCTION("""COMPUTED_VALUE"""),"gpc_pib")</f>
        <v>gpc_pib</v>
      </c>
      <c r="C839" s="6">
        <f>IFERROR(__xludf.DUMMYFUNCTION("""COMPUTED_VALUE"""),32.4838211956201)</f>
        <v>32.4838212</v>
      </c>
      <c r="D839" s="6">
        <v>2007.0</v>
      </c>
      <c r="E839" s="6" t="s">
        <v>66</v>
      </c>
      <c r="F839" s="6">
        <v>32.4838211956201</v>
      </c>
    </row>
    <row r="840">
      <c r="A840" s="9">
        <f>IFERROR(__xludf.DUMMYFUNCTION("""COMPUTED_VALUE"""),39083.0)</f>
        <v>39083</v>
      </c>
      <c r="B840" s="6" t="str">
        <f>IFERROR(__xludf.DUMMYFUNCTION("""COMPUTED_VALUE"""),"gpc_funcionamiento_estado_pib")</f>
        <v>gpc_funcionamiento_estado_pib</v>
      </c>
      <c r="C840" s="6">
        <f>IFERROR(__xludf.DUMMYFUNCTION("""COMPUTED_VALUE"""),5.42867152021052)</f>
        <v>5.42867152</v>
      </c>
      <c r="D840" s="6">
        <v>2007.0</v>
      </c>
      <c r="E840" s="6" t="s">
        <v>36</v>
      </c>
      <c r="F840" s="6">
        <v>5.42867152021052</v>
      </c>
    </row>
    <row r="841">
      <c r="A841" s="9">
        <f>IFERROR(__xludf.DUMMYFUNCTION("""COMPUTED_VALUE"""),39083.0)</f>
        <v>39083</v>
      </c>
      <c r="B841" s="6" t="str">
        <f>IFERROR(__xludf.DUMMYFUNCTION("""COMPUTED_VALUE"""),"gpc_administracion_general_pib")</f>
        <v>gpc_administracion_general_pib</v>
      </c>
      <c r="C841" s="6">
        <f>IFERROR(__xludf.DUMMYFUNCTION("""COMPUTED_VALUE"""),2.69692436463669)</f>
        <v>2.696924365</v>
      </c>
      <c r="D841" s="6">
        <v>2007.0</v>
      </c>
      <c r="E841" s="6" t="s">
        <v>37</v>
      </c>
      <c r="F841" s="6">
        <v>2.69692436463669</v>
      </c>
    </row>
    <row r="842">
      <c r="A842" s="9">
        <f>IFERROR(__xludf.DUMMYFUNCTION("""COMPUTED_VALUE"""),39083.0)</f>
        <v>39083</v>
      </c>
      <c r="B842" s="6" t="str">
        <f>IFERROR(__xludf.DUMMYFUNCTION("""COMPUTED_VALUE"""),"gpc_justicia_pib")</f>
        <v>gpc_justicia_pib</v>
      </c>
      <c r="C842" s="6">
        <f>IFERROR(__xludf.DUMMYFUNCTION("""COMPUTED_VALUE"""),0.729575389484626)</f>
        <v>0.7295753895</v>
      </c>
      <c r="D842" s="6">
        <v>2007.0</v>
      </c>
      <c r="E842" s="6" t="s">
        <v>38</v>
      </c>
      <c r="F842" s="6">
        <v>0.729575389484626</v>
      </c>
    </row>
    <row r="843">
      <c r="A843" s="9">
        <f>IFERROR(__xludf.DUMMYFUNCTION("""COMPUTED_VALUE"""),39083.0)</f>
        <v>39083</v>
      </c>
      <c r="B843" s="6" t="str">
        <f>IFERROR(__xludf.DUMMYFUNCTION("""COMPUTED_VALUE"""),"gpc_defensa_seguridad_pib")</f>
        <v>gpc_defensa_seguridad_pib</v>
      </c>
      <c r="C843" s="6">
        <f>IFERROR(__xludf.DUMMYFUNCTION("""COMPUTED_VALUE"""),2.0021717660892)</f>
        <v>2.002171766</v>
      </c>
      <c r="D843" s="6">
        <v>2007.0</v>
      </c>
      <c r="E843" s="6" t="s">
        <v>39</v>
      </c>
      <c r="F843" s="6">
        <v>2.0021717660892</v>
      </c>
    </row>
    <row r="844">
      <c r="A844" s="9">
        <f>IFERROR(__xludf.DUMMYFUNCTION("""COMPUTED_VALUE"""),39083.0)</f>
        <v>39083</v>
      </c>
      <c r="B844" s="6" t="str">
        <f>IFERROR(__xludf.DUMMYFUNCTION("""COMPUTED_VALUE"""),"gpc_servicios_sociales_pib")</f>
        <v>gpc_servicios_sociales_pib</v>
      </c>
      <c r="C844" s="6">
        <f>IFERROR(__xludf.DUMMYFUNCTION("""COMPUTED_VALUE"""),20.8806502283659)</f>
        <v>20.88065023</v>
      </c>
      <c r="D844" s="6">
        <v>2007.0</v>
      </c>
      <c r="E844" s="6" t="s">
        <v>40</v>
      </c>
      <c r="F844" s="6">
        <v>20.8806502283659</v>
      </c>
    </row>
    <row r="845">
      <c r="A845" s="9">
        <f>IFERROR(__xludf.DUMMYFUNCTION("""COMPUTED_VALUE"""),39083.0)</f>
        <v>39083</v>
      </c>
      <c r="B845" s="6" t="str">
        <f>IFERROR(__xludf.DUMMYFUNCTION("""COMPUTED_VALUE"""),"gpc_educacion_basica_pib")</f>
        <v>gpc_educacion_basica_pib</v>
      </c>
      <c r="C845" s="6">
        <f>IFERROR(__xludf.DUMMYFUNCTION("""COMPUTED_VALUE"""),3.20616057419101)</f>
        <v>3.206160574</v>
      </c>
      <c r="D845" s="6">
        <v>2007.0</v>
      </c>
      <c r="E845" s="6" t="s">
        <v>41</v>
      </c>
      <c r="F845" s="6">
        <v>3.20616057419101</v>
      </c>
    </row>
    <row r="846">
      <c r="A846" s="9">
        <f>IFERROR(__xludf.DUMMYFUNCTION("""COMPUTED_VALUE"""),39083.0)</f>
        <v>39083</v>
      </c>
      <c r="B846" s="6" t="str">
        <f>IFERROR(__xludf.DUMMYFUNCTION("""COMPUTED_VALUE"""),"gpc_educacion_universitaria_pib")</f>
        <v>gpc_educacion_universitaria_pib</v>
      </c>
      <c r="C846" s="6">
        <f>IFERROR(__xludf.DUMMYFUNCTION("""COMPUTED_VALUE"""),0.936365273918497)</f>
        <v>0.9363652739</v>
      </c>
      <c r="D846" s="6">
        <v>2007.0</v>
      </c>
      <c r="E846" s="6" t="s">
        <v>42</v>
      </c>
      <c r="F846" s="6">
        <v>0.936365273918497</v>
      </c>
    </row>
    <row r="847">
      <c r="A847" s="9">
        <f>IFERROR(__xludf.DUMMYFUNCTION("""COMPUTED_VALUE"""),39083.0)</f>
        <v>39083</v>
      </c>
      <c r="B847" s="6" t="str">
        <f>IFERROR(__xludf.DUMMYFUNCTION("""COMPUTED_VALUE"""),"gpc_ciencia_tecnica_pib")</f>
        <v>gpc_ciencia_tecnica_pib</v>
      </c>
      <c r="C847" s="6">
        <f>IFERROR(__xludf.DUMMYFUNCTION("""COMPUTED_VALUE"""),0.236289205498617)</f>
        <v>0.2362892055</v>
      </c>
      <c r="D847" s="6">
        <v>2007.0</v>
      </c>
      <c r="E847" s="6" t="s">
        <v>43</v>
      </c>
      <c r="F847" s="6">
        <v>0.236289205498617</v>
      </c>
    </row>
    <row r="848">
      <c r="A848" s="9">
        <f>IFERROR(__xludf.DUMMYFUNCTION("""COMPUTED_VALUE"""),39083.0)</f>
        <v>39083</v>
      </c>
      <c r="B848" s="6" t="str">
        <f>IFERROR(__xludf.DUMMYFUNCTION("""COMPUTED_VALUE"""),"gpc_cultura_pib")</f>
        <v>gpc_cultura_pib</v>
      </c>
      <c r="C848" s="6">
        <f>IFERROR(__xludf.DUMMYFUNCTION("""COMPUTED_VALUE"""),0.176823329433976)</f>
        <v>0.1768233294</v>
      </c>
      <c r="D848" s="6">
        <v>2007.0</v>
      </c>
      <c r="E848" s="6" t="s">
        <v>44</v>
      </c>
      <c r="F848" s="6">
        <v>0.176823329433976</v>
      </c>
    </row>
    <row r="849">
      <c r="A849" s="9">
        <f>IFERROR(__xludf.DUMMYFUNCTION("""COMPUTED_VALUE"""),39083.0)</f>
        <v>39083</v>
      </c>
      <c r="B849" s="6" t="str">
        <f>IFERROR(__xludf.DUMMYFUNCTION("""COMPUTED_VALUE"""),"gpc_educacion_cultura_sin_discriminar_pib")</f>
        <v>gpc_educacion_cultura_sin_discriminar_pib</v>
      </c>
      <c r="C849" s="6">
        <f>IFERROR(__xludf.DUMMYFUNCTION("""COMPUTED_VALUE"""),0.442292623196718)</f>
        <v>0.4422926232</v>
      </c>
      <c r="D849" s="6">
        <v>2007.0</v>
      </c>
      <c r="E849" s="6" t="s">
        <v>45</v>
      </c>
      <c r="F849" s="6">
        <v>0.442292623196718</v>
      </c>
    </row>
    <row r="850">
      <c r="A850" s="9">
        <f>IFERROR(__xludf.DUMMYFUNCTION("""COMPUTED_VALUE"""),39083.0)</f>
        <v>39083</v>
      </c>
      <c r="B850" s="6" t="str">
        <f>IFERROR(__xludf.DUMMYFUNCTION("""COMPUTED_VALUE"""),"gpc_atencion_salud_pib")</f>
        <v>gpc_atencion_salud_pib</v>
      </c>
      <c r="C850" s="6">
        <f>IFERROR(__xludf.DUMMYFUNCTION("""COMPUTED_VALUE"""),1.89274467922989)</f>
        <v>1.892744679</v>
      </c>
      <c r="D850" s="6">
        <v>2007.0</v>
      </c>
      <c r="E850" s="6" t="s">
        <v>46</v>
      </c>
      <c r="F850" s="6">
        <v>1.89274467922989</v>
      </c>
    </row>
    <row r="851">
      <c r="A851" s="9">
        <f>IFERROR(__xludf.DUMMYFUNCTION("""COMPUTED_VALUE"""),39083.0)</f>
        <v>39083</v>
      </c>
      <c r="B851" s="6" t="str">
        <f>IFERROR(__xludf.DUMMYFUNCTION("""COMPUTED_VALUE"""),"gpc_obras_sociales_salud_pib")</f>
        <v>gpc_obras_sociales_salud_pib</v>
      </c>
      <c r="C851" s="6">
        <f>IFERROR(__xludf.DUMMYFUNCTION("""COMPUTED_VALUE"""),1.82041604381129)</f>
        <v>1.820416044</v>
      </c>
      <c r="D851" s="6">
        <v>2007.0</v>
      </c>
      <c r="E851" s="6" t="s">
        <v>47</v>
      </c>
      <c r="F851" s="6">
        <v>1.82041604381129</v>
      </c>
    </row>
    <row r="852">
      <c r="A852" s="9">
        <f>IFERROR(__xludf.DUMMYFUNCTION("""COMPUTED_VALUE"""),39083.0)</f>
        <v>39083</v>
      </c>
      <c r="B852" s="6" t="str">
        <f>IFERROR(__xludf.DUMMYFUNCTION("""COMPUTED_VALUE"""),"gpc_inssjyp_salud_pib")</f>
        <v>gpc_inssjyp_salud_pib</v>
      </c>
      <c r="C852" s="6">
        <f>IFERROR(__xludf.DUMMYFUNCTION("""COMPUTED_VALUE"""),0.566481542555101)</f>
        <v>0.5664815426</v>
      </c>
      <c r="D852" s="6">
        <v>2007.0</v>
      </c>
      <c r="E852" s="6" t="s">
        <v>48</v>
      </c>
      <c r="F852" s="6">
        <v>0.566481542555101</v>
      </c>
    </row>
    <row r="853">
      <c r="A853" s="9">
        <f>IFERROR(__xludf.DUMMYFUNCTION("""COMPUTED_VALUE"""),39083.0)</f>
        <v>39083</v>
      </c>
      <c r="B853" s="6" t="str">
        <f>IFERROR(__xludf.DUMMYFUNCTION("""COMPUTED_VALUE"""),"gpc_agua_alcantarillado_pib")</f>
        <v>gpc_agua_alcantarillado_pib</v>
      </c>
      <c r="C853" s="6">
        <f>IFERROR(__xludf.DUMMYFUNCTION("""COMPUTED_VALUE"""),0.349167889701351)</f>
        <v>0.3491678897</v>
      </c>
      <c r="D853" s="6">
        <v>2007.0</v>
      </c>
      <c r="E853" s="6" t="s">
        <v>49</v>
      </c>
      <c r="F853" s="6">
        <v>0.349167889701351</v>
      </c>
    </row>
    <row r="854">
      <c r="A854" s="9">
        <f>IFERROR(__xludf.DUMMYFUNCTION("""COMPUTED_VALUE"""),39083.0)</f>
        <v>39083</v>
      </c>
      <c r="B854" s="6" t="str">
        <f>IFERROR(__xludf.DUMMYFUNCTION("""COMPUTED_VALUE"""),"gpc_vivienda_urbanismo_pib")</f>
        <v>gpc_vivienda_urbanismo_pib</v>
      </c>
      <c r="C854" s="6">
        <f>IFERROR(__xludf.DUMMYFUNCTION("""COMPUTED_VALUE"""),0.975491384268947)</f>
        <v>0.9754913843</v>
      </c>
      <c r="D854" s="6">
        <v>2007.0</v>
      </c>
      <c r="E854" s="6" t="s">
        <v>50</v>
      </c>
      <c r="F854" s="6">
        <v>0.975491384268947</v>
      </c>
    </row>
    <row r="855">
      <c r="A855" s="9">
        <f>IFERROR(__xludf.DUMMYFUNCTION("""COMPUTED_VALUE"""),39083.0)</f>
        <v>39083</v>
      </c>
      <c r="B855" s="6" t="str">
        <f>IFERROR(__xludf.DUMMYFUNCTION("""COMPUTED_VALUE"""),"gpc_promocion_asistencia_social_pib")</f>
        <v>gpc_promocion_asistencia_social_pib</v>
      </c>
      <c r="C855" s="6">
        <f>IFERROR(__xludf.DUMMYFUNCTION("""COMPUTED_VALUE"""),1.13779655181217)</f>
        <v>1.137796552</v>
      </c>
      <c r="D855" s="6">
        <v>2007.0</v>
      </c>
      <c r="E855" s="6" t="s">
        <v>51</v>
      </c>
      <c r="F855" s="6">
        <v>1.13779655181217</v>
      </c>
    </row>
    <row r="856">
      <c r="A856" s="9">
        <f>IFERROR(__xludf.DUMMYFUNCTION("""COMPUTED_VALUE"""),39083.0)</f>
        <v>39083</v>
      </c>
      <c r="B856" s="6" t="str">
        <f>IFERROR(__xludf.DUMMYFUNCTION("""COMPUTED_VALUE"""),"gpc_obras_sociales_prestaciones_pib")</f>
        <v>gpc_obras_sociales_prestaciones_pib</v>
      </c>
      <c r="C856" s="6">
        <f>IFERROR(__xludf.DUMMYFUNCTION("""COMPUTED_VALUE"""),0.0856713923704984)</f>
        <v>0.08567139237</v>
      </c>
      <c r="D856" s="6">
        <v>2007.0</v>
      </c>
      <c r="E856" s="6" t="s">
        <v>52</v>
      </c>
      <c r="F856" s="6">
        <v>0.0856713923704984</v>
      </c>
    </row>
    <row r="857">
      <c r="A857" s="9">
        <f>IFERROR(__xludf.DUMMYFUNCTION("""COMPUTED_VALUE"""),39083.0)</f>
        <v>39083</v>
      </c>
      <c r="B857" s="6" t="str">
        <f>IFERROR(__xludf.DUMMYFUNCTION("""COMPUTED_VALUE"""),"gpc_inssjyp_prestaciones_pib")</f>
        <v>gpc_inssjyp_prestaciones_pib</v>
      </c>
      <c r="C857" s="6">
        <f>IFERROR(__xludf.DUMMYFUNCTION("""COMPUTED_VALUE"""),0.14809389459232)</f>
        <v>0.1480938946</v>
      </c>
      <c r="D857" s="6">
        <v>2007.0</v>
      </c>
      <c r="E857" s="6" t="s">
        <v>53</v>
      </c>
      <c r="F857" s="6">
        <v>0.14809389459232</v>
      </c>
    </row>
    <row r="858">
      <c r="A858" s="9">
        <f>IFERROR(__xludf.DUMMYFUNCTION("""COMPUTED_VALUE"""),39083.0)</f>
        <v>39083</v>
      </c>
      <c r="B858" s="6" t="str">
        <f>IFERROR(__xludf.DUMMYFUNCTION("""COMPUTED_VALUE"""),"gpc_prevision_social_pib")</f>
        <v>gpc_prevision_social_pib</v>
      </c>
      <c r="C858" s="6">
        <f>IFERROR(__xludf.DUMMYFUNCTION("""COMPUTED_VALUE"""),7.18765899189452)</f>
        <v>7.187658992</v>
      </c>
      <c r="D858" s="6">
        <v>2007.0</v>
      </c>
      <c r="E858" s="6" t="s">
        <v>54</v>
      </c>
      <c r="F858" s="6">
        <v>7.18765899189452</v>
      </c>
    </row>
    <row r="859">
      <c r="A859" s="9">
        <f>IFERROR(__xludf.DUMMYFUNCTION("""COMPUTED_VALUE"""),39083.0)</f>
        <v>39083</v>
      </c>
      <c r="B859" s="6" t="str">
        <f>IFERROR(__xludf.DUMMYFUNCTION("""COMPUTED_VALUE"""),"gpc_programas_empleo_pib")</f>
        <v>gpc_programas_empleo_pib</v>
      </c>
      <c r="C859" s="6">
        <f>IFERROR(__xludf.DUMMYFUNCTION("""COMPUTED_VALUE"""),0.457440350702825)</f>
        <v>0.4574403507</v>
      </c>
      <c r="D859" s="6">
        <v>2007.0</v>
      </c>
      <c r="E859" s="6" t="s">
        <v>55</v>
      </c>
      <c r="F859" s="6">
        <v>0.457440350702825</v>
      </c>
    </row>
    <row r="860">
      <c r="A860" s="9">
        <f>IFERROR(__xludf.DUMMYFUNCTION("""COMPUTED_VALUE"""),39083.0)</f>
        <v>39083</v>
      </c>
      <c r="B860" s="6" t="str">
        <f>IFERROR(__xludf.DUMMYFUNCTION("""COMPUTED_VALUE"""),"gpc_asignaciones_familiares_pib")</f>
        <v>gpc_asignaciones_familiares_pib</v>
      </c>
      <c r="C860" s="6">
        <f>IFERROR(__xludf.DUMMYFUNCTION("""COMPUTED_VALUE"""),0.510240486746307)</f>
        <v>0.5102404867</v>
      </c>
      <c r="D860" s="6">
        <v>2007.0</v>
      </c>
      <c r="E860" s="6" t="s">
        <v>56</v>
      </c>
      <c r="F860" s="6">
        <v>0.510240486746307</v>
      </c>
    </row>
    <row r="861">
      <c r="A861" s="9">
        <f>IFERROR(__xludf.DUMMYFUNCTION("""COMPUTED_VALUE"""),39083.0)</f>
        <v>39083</v>
      </c>
      <c r="B861" s="6" t="str">
        <f>IFERROR(__xludf.DUMMYFUNCTION("""COMPUTED_VALUE"""),"gpc_otros_servicios_urbanos_pib")</f>
        <v>gpc_otros_servicios_urbanos_pib</v>
      </c>
      <c r="C861" s="6">
        <f>IFERROR(__xludf.DUMMYFUNCTION("""COMPUTED_VALUE"""),0.751516014441846)</f>
        <v>0.7515160144</v>
      </c>
      <c r="D861" s="6">
        <v>2007.0</v>
      </c>
      <c r="E861" s="6" t="s">
        <v>57</v>
      </c>
      <c r="F861" s="6">
        <v>0.751516014441846</v>
      </c>
    </row>
    <row r="862">
      <c r="A862" s="9">
        <f>IFERROR(__xludf.DUMMYFUNCTION("""COMPUTED_VALUE"""),39083.0)</f>
        <v>39083</v>
      </c>
      <c r="B862" s="6" t="str">
        <f>IFERROR(__xludf.DUMMYFUNCTION("""COMPUTED_VALUE"""),"gpc_servicios_economicos_pib")</f>
        <v>gpc_servicios_economicos_pib</v>
      </c>
      <c r="C862" s="6">
        <f>IFERROR(__xludf.DUMMYFUNCTION("""COMPUTED_VALUE"""),4.08975934518485)</f>
        <v>4.089759345</v>
      </c>
      <c r="D862" s="6">
        <v>2007.0</v>
      </c>
      <c r="E862" s="6" t="s">
        <v>58</v>
      </c>
      <c r="F862" s="6">
        <v>4.08975934518485</v>
      </c>
    </row>
    <row r="863">
      <c r="A863" s="9">
        <f>IFERROR(__xludf.DUMMYFUNCTION("""COMPUTED_VALUE"""),39083.0)</f>
        <v>39083</v>
      </c>
      <c r="B863" s="6" t="str">
        <f>IFERROR(__xludf.DUMMYFUNCTION("""COMPUTED_VALUE"""),"gpc_produccion_primaria_pib")</f>
        <v>gpc_produccion_primaria_pib</v>
      </c>
      <c r="C863" s="6">
        <f>IFERROR(__xludf.DUMMYFUNCTION("""COMPUTED_VALUE"""),0.456815782794325)</f>
        <v>0.4568157828</v>
      </c>
      <c r="D863" s="6">
        <v>2007.0</v>
      </c>
      <c r="E863" s="6" t="s">
        <v>59</v>
      </c>
      <c r="F863" s="6">
        <v>0.456815782794325</v>
      </c>
    </row>
    <row r="864">
      <c r="A864" s="9">
        <f>IFERROR(__xludf.DUMMYFUNCTION("""COMPUTED_VALUE"""),39083.0)</f>
        <v>39083</v>
      </c>
      <c r="B864" s="6" t="str">
        <f>IFERROR(__xludf.DUMMYFUNCTION("""COMPUTED_VALUE"""),"gpc_energia_combustible_pib")</f>
        <v>gpc_energia_combustible_pib</v>
      </c>
      <c r="C864" s="6">
        <f>IFERROR(__xludf.DUMMYFUNCTION("""COMPUTED_VALUE"""),1.33653292914013)</f>
        <v>1.336532929</v>
      </c>
      <c r="D864" s="6">
        <v>2007.0</v>
      </c>
      <c r="E864" s="6" t="s">
        <v>60</v>
      </c>
      <c r="F864" s="6">
        <v>1.33653292914013</v>
      </c>
    </row>
    <row r="865">
      <c r="A865" s="9">
        <f>IFERROR(__xludf.DUMMYFUNCTION("""COMPUTED_VALUE"""),39083.0)</f>
        <v>39083</v>
      </c>
      <c r="B865" s="6" t="str">
        <f>IFERROR(__xludf.DUMMYFUNCTION("""COMPUTED_VALUE"""),"gpc_industria_pib")</f>
        <v>gpc_industria_pib</v>
      </c>
      <c r="C865" s="6">
        <f>IFERROR(__xludf.DUMMYFUNCTION("""COMPUTED_VALUE"""),0.138675371683347)</f>
        <v>0.1386753717</v>
      </c>
      <c r="D865" s="6">
        <v>2007.0</v>
      </c>
      <c r="E865" s="6" t="s">
        <v>61</v>
      </c>
      <c r="F865" s="6">
        <v>0.138675371683347</v>
      </c>
    </row>
    <row r="866">
      <c r="A866" s="9">
        <f>IFERROR(__xludf.DUMMYFUNCTION("""COMPUTED_VALUE"""),39083.0)</f>
        <v>39083</v>
      </c>
      <c r="B866" s="6" t="str">
        <f>IFERROR(__xludf.DUMMYFUNCTION("""COMPUTED_VALUE"""),"gpc_transporte_pib")</f>
        <v>gpc_transporte_pib</v>
      </c>
      <c r="C866" s="6">
        <f>IFERROR(__xludf.DUMMYFUNCTION("""COMPUTED_VALUE"""),1.80411772635989)</f>
        <v>1.804117726</v>
      </c>
      <c r="D866" s="6">
        <v>2007.0</v>
      </c>
      <c r="E866" s="6" t="s">
        <v>62</v>
      </c>
      <c r="F866" s="6">
        <v>1.80411772635989</v>
      </c>
    </row>
    <row r="867">
      <c r="A867" s="9">
        <f>IFERROR(__xludf.DUMMYFUNCTION("""COMPUTED_VALUE"""),39083.0)</f>
        <v>39083</v>
      </c>
      <c r="B867" s="6" t="str">
        <f>IFERROR(__xludf.DUMMYFUNCTION("""COMPUTED_VALUE"""),"gpc_comunicaciones_pib")</f>
        <v>gpc_comunicaciones_pib</v>
      </c>
      <c r="C867" s="6">
        <f>IFERROR(__xludf.DUMMYFUNCTION("""COMPUTED_VALUE"""),0.0755932893829257)</f>
        <v>0.07559328938</v>
      </c>
      <c r="D867" s="6">
        <v>2007.0</v>
      </c>
      <c r="E867" s="6" t="s">
        <v>63</v>
      </c>
      <c r="F867" s="6">
        <v>0.0755932893829257</v>
      </c>
    </row>
    <row r="868">
      <c r="A868" s="9">
        <f>IFERROR(__xludf.DUMMYFUNCTION("""COMPUTED_VALUE"""),39083.0)</f>
        <v>39083</v>
      </c>
      <c r="B868" s="6" t="str">
        <f>IFERROR(__xludf.DUMMYFUNCTION("""COMPUTED_VALUE"""),"gpc_otros_servicios_economicos_pib")</f>
        <v>gpc_otros_servicios_economicos_pib</v>
      </c>
      <c r="C868" s="6">
        <f>IFERROR(__xludf.DUMMYFUNCTION("""COMPUTED_VALUE"""),0.278024245824225)</f>
        <v>0.2780242458</v>
      </c>
      <c r="D868" s="6">
        <v>2007.0</v>
      </c>
      <c r="E868" s="6" t="s">
        <v>64</v>
      </c>
      <c r="F868" s="6">
        <v>0.278024245824225</v>
      </c>
    </row>
    <row r="869">
      <c r="A869" s="9">
        <f>IFERROR(__xludf.DUMMYFUNCTION("""COMPUTED_VALUE"""),39083.0)</f>
        <v>39083</v>
      </c>
      <c r="B869" s="6" t="str">
        <f>IFERROR(__xludf.DUMMYFUNCTION("""COMPUTED_VALUE"""),"gpc_servicios_deuda_publica_pib")</f>
        <v>gpc_servicios_deuda_publica_pib</v>
      </c>
      <c r="C869" s="6">
        <f>IFERROR(__xludf.DUMMYFUNCTION("""COMPUTED_VALUE"""),2.08474010185882)</f>
        <v>2.084740102</v>
      </c>
      <c r="D869" s="6">
        <v>2007.0</v>
      </c>
      <c r="E869" s="6" t="s">
        <v>65</v>
      </c>
      <c r="F869" s="6">
        <v>2.08474010185882</v>
      </c>
    </row>
    <row r="870">
      <c r="A870" s="9">
        <f>IFERROR(__xludf.DUMMYFUNCTION("""COMPUTED_VALUE"""),39448.0)</f>
        <v>39448</v>
      </c>
      <c r="B870" s="6" t="str">
        <f>IFERROR(__xludf.DUMMYFUNCTION("""COMPUTED_VALUE"""),"gpc_pib")</f>
        <v>gpc_pib</v>
      </c>
      <c r="C870" s="6">
        <f>IFERROR(__xludf.DUMMYFUNCTION("""COMPUTED_VALUE"""),34.3122709253903)</f>
        <v>34.31227093</v>
      </c>
      <c r="D870" s="6">
        <v>2008.0</v>
      </c>
      <c r="E870" s="6" t="s">
        <v>66</v>
      </c>
      <c r="F870" s="6">
        <v>34.3122709253903</v>
      </c>
    </row>
    <row r="871">
      <c r="A871" s="9">
        <f>IFERROR(__xludf.DUMMYFUNCTION("""COMPUTED_VALUE"""),39448.0)</f>
        <v>39448</v>
      </c>
      <c r="B871" s="6" t="str">
        <f>IFERROR(__xludf.DUMMYFUNCTION("""COMPUTED_VALUE"""),"gpc_funcionamiento_estado_pib")</f>
        <v>gpc_funcionamiento_estado_pib</v>
      </c>
      <c r="C871" s="6">
        <f>IFERROR(__xludf.DUMMYFUNCTION("""COMPUTED_VALUE"""),5.48780906339034)</f>
        <v>5.487809063</v>
      </c>
      <c r="D871" s="6">
        <v>2008.0</v>
      </c>
      <c r="E871" s="6" t="s">
        <v>36</v>
      </c>
      <c r="F871" s="6">
        <v>5.48780906339034</v>
      </c>
    </row>
    <row r="872">
      <c r="A872" s="9">
        <f>IFERROR(__xludf.DUMMYFUNCTION("""COMPUTED_VALUE"""),39448.0)</f>
        <v>39448</v>
      </c>
      <c r="B872" s="6" t="str">
        <f>IFERROR(__xludf.DUMMYFUNCTION("""COMPUTED_VALUE"""),"gpc_administracion_general_pib")</f>
        <v>gpc_administracion_general_pib</v>
      </c>
      <c r="C872" s="6">
        <f>IFERROR(__xludf.DUMMYFUNCTION("""COMPUTED_VALUE"""),2.66439966623086)</f>
        <v>2.664399666</v>
      </c>
      <c r="D872" s="6">
        <v>2008.0</v>
      </c>
      <c r="E872" s="6" t="s">
        <v>37</v>
      </c>
      <c r="F872" s="6">
        <v>2.66439966623086</v>
      </c>
    </row>
    <row r="873">
      <c r="A873" s="9">
        <f>IFERROR(__xludf.DUMMYFUNCTION("""COMPUTED_VALUE"""),39448.0)</f>
        <v>39448</v>
      </c>
      <c r="B873" s="6" t="str">
        <f>IFERROR(__xludf.DUMMYFUNCTION("""COMPUTED_VALUE"""),"gpc_justicia_pib")</f>
        <v>gpc_justicia_pib</v>
      </c>
      <c r="C873" s="6">
        <f>IFERROR(__xludf.DUMMYFUNCTION("""COMPUTED_VALUE"""),0.787957772930309)</f>
        <v>0.7879577729</v>
      </c>
      <c r="D873" s="6">
        <v>2008.0</v>
      </c>
      <c r="E873" s="6" t="s">
        <v>38</v>
      </c>
      <c r="F873" s="6">
        <v>0.787957772930309</v>
      </c>
    </row>
    <row r="874">
      <c r="A874" s="9">
        <f>IFERROR(__xludf.DUMMYFUNCTION("""COMPUTED_VALUE"""),39448.0)</f>
        <v>39448</v>
      </c>
      <c r="B874" s="6" t="str">
        <f>IFERROR(__xludf.DUMMYFUNCTION("""COMPUTED_VALUE"""),"gpc_defensa_seguridad_pib")</f>
        <v>gpc_defensa_seguridad_pib</v>
      </c>
      <c r="C874" s="6">
        <f>IFERROR(__xludf.DUMMYFUNCTION("""COMPUTED_VALUE"""),2.03545162422917)</f>
        <v>2.035451624</v>
      </c>
      <c r="D874" s="6">
        <v>2008.0</v>
      </c>
      <c r="E874" s="6" t="s">
        <v>39</v>
      </c>
      <c r="F874" s="6">
        <v>2.03545162422917</v>
      </c>
    </row>
    <row r="875">
      <c r="A875" s="9">
        <f>IFERROR(__xludf.DUMMYFUNCTION("""COMPUTED_VALUE"""),39448.0)</f>
        <v>39448</v>
      </c>
      <c r="B875" s="6" t="str">
        <f>IFERROR(__xludf.DUMMYFUNCTION("""COMPUTED_VALUE"""),"gpc_servicios_sociales_pib")</f>
        <v>gpc_servicios_sociales_pib</v>
      </c>
      <c r="C875" s="6">
        <f>IFERROR(__xludf.DUMMYFUNCTION("""COMPUTED_VALUE"""),21.7096765135007)</f>
        <v>21.70967651</v>
      </c>
      <c r="D875" s="6">
        <v>2008.0</v>
      </c>
      <c r="E875" s="6" t="s">
        <v>40</v>
      </c>
      <c r="F875" s="6">
        <v>21.7096765135007</v>
      </c>
    </row>
    <row r="876">
      <c r="A876" s="9">
        <f>IFERROR(__xludf.DUMMYFUNCTION("""COMPUTED_VALUE"""),39448.0)</f>
        <v>39448</v>
      </c>
      <c r="B876" s="6" t="str">
        <f>IFERROR(__xludf.DUMMYFUNCTION("""COMPUTED_VALUE"""),"gpc_educacion_basica_pib")</f>
        <v>gpc_educacion_basica_pib</v>
      </c>
      <c r="C876" s="6">
        <f>IFERROR(__xludf.DUMMYFUNCTION("""COMPUTED_VALUE"""),3.37383135930142)</f>
        <v>3.373831359</v>
      </c>
      <c r="D876" s="6">
        <v>2008.0</v>
      </c>
      <c r="E876" s="6" t="s">
        <v>41</v>
      </c>
      <c r="F876" s="6">
        <v>3.37383135930142</v>
      </c>
    </row>
    <row r="877">
      <c r="A877" s="9">
        <f>IFERROR(__xludf.DUMMYFUNCTION("""COMPUTED_VALUE"""),39448.0)</f>
        <v>39448</v>
      </c>
      <c r="B877" s="6" t="str">
        <f>IFERROR(__xludf.DUMMYFUNCTION("""COMPUTED_VALUE"""),"gpc_educacion_universitaria_pib")</f>
        <v>gpc_educacion_universitaria_pib</v>
      </c>
      <c r="C877" s="6">
        <f>IFERROR(__xludf.DUMMYFUNCTION("""COMPUTED_VALUE"""),0.994412973274662)</f>
        <v>0.9944129733</v>
      </c>
      <c r="D877" s="6">
        <v>2008.0</v>
      </c>
      <c r="E877" s="6" t="s">
        <v>42</v>
      </c>
      <c r="F877" s="6">
        <v>0.994412973274662</v>
      </c>
    </row>
    <row r="878">
      <c r="A878" s="9">
        <f>IFERROR(__xludf.DUMMYFUNCTION("""COMPUTED_VALUE"""),39448.0)</f>
        <v>39448</v>
      </c>
      <c r="B878" s="6" t="str">
        <f>IFERROR(__xludf.DUMMYFUNCTION("""COMPUTED_VALUE"""),"gpc_ciencia_tecnica_pib")</f>
        <v>gpc_ciencia_tecnica_pib</v>
      </c>
      <c r="C878" s="6">
        <f>IFERROR(__xludf.DUMMYFUNCTION("""COMPUTED_VALUE"""),0.237905497884278)</f>
        <v>0.2379054979</v>
      </c>
      <c r="D878" s="6">
        <v>2008.0</v>
      </c>
      <c r="E878" s="6" t="s">
        <v>43</v>
      </c>
      <c r="F878" s="6">
        <v>0.237905497884278</v>
      </c>
    </row>
    <row r="879">
      <c r="A879" s="9">
        <f>IFERROR(__xludf.DUMMYFUNCTION("""COMPUTED_VALUE"""),39448.0)</f>
        <v>39448</v>
      </c>
      <c r="B879" s="6" t="str">
        <f>IFERROR(__xludf.DUMMYFUNCTION("""COMPUTED_VALUE"""),"gpc_cultura_pib")</f>
        <v>gpc_cultura_pib</v>
      </c>
      <c r="C879" s="6">
        <f>IFERROR(__xludf.DUMMYFUNCTION("""COMPUTED_VALUE"""),0.168468312429542)</f>
        <v>0.1684683124</v>
      </c>
      <c r="D879" s="6">
        <v>2008.0</v>
      </c>
      <c r="E879" s="6" t="s">
        <v>44</v>
      </c>
      <c r="F879" s="6">
        <v>0.168468312429542</v>
      </c>
    </row>
    <row r="880">
      <c r="A880" s="9">
        <f>IFERROR(__xludf.DUMMYFUNCTION("""COMPUTED_VALUE"""),39448.0)</f>
        <v>39448</v>
      </c>
      <c r="B880" s="6" t="str">
        <f>IFERROR(__xludf.DUMMYFUNCTION("""COMPUTED_VALUE"""),"gpc_educacion_cultura_sin_discriminar_pib")</f>
        <v>gpc_educacion_cultura_sin_discriminar_pib</v>
      </c>
      <c r="C880" s="6">
        <f>IFERROR(__xludf.DUMMYFUNCTION("""COMPUTED_VALUE"""),0.539968768176282)</f>
        <v>0.5399687682</v>
      </c>
      <c r="D880" s="6">
        <v>2008.0</v>
      </c>
      <c r="E880" s="6" t="s">
        <v>45</v>
      </c>
      <c r="F880" s="6">
        <v>0.539968768176282</v>
      </c>
    </row>
    <row r="881">
      <c r="A881" s="9">
        <f>IFERROR(__xludf.DUMMYFUNCTION("""COMPUTED_VALUE"""),39448.0)</f>
        <v>39448</v>
      </c>
      <c r="B881" s="6" t="str">
        <f>IFERROR(__xludf.DUMMYFUNCTION("""COMPUTED_VALUE"""),"gpc_atencion_salud_pib")</f>
        <v>gpc_atencion_salud_pib</v>
      </c>
      <c r="C881" s="6">
        <f>IFERROR(__xludf.DUMMYFUNCTION("""COMPUTED_VALUE"""),1.96239499875311)</f>
        <v>1.962394999</v>
      </c>
      <c r="D881" s="6">
        <v>2008.0</v>
      </c>
      <c r="E881" s="6" t="s">
        <v>46</v>
      </c>
      <c r="F881" s="6">
        <v>1.96239499875311</v>
      </c>
    </row>
    <row r="882">
      <c r="A882" s="9">
        <f>IFERROR(__xludf.DUMMYFUNCTION("""COMPUTED_VALUE"""),39448.0)</f>
        <v>39448</v>
      </c>
      <c r="B882" s="6" t="str">
        <f>IFERROR(__xludf.DUMMYFUNCTION("""COMPUTED_VALUE"""),"gpc_obras_sociales_salud_pib")</f>
        <v>gpc_obras_sociales_salud_pib</v>
      </c>
      <c r="C882" s="6">
        <f>IFERROR(__xludf.DUMMYFUNCTION("""COMPUTED_VALUE"""),1.9700361078487)</f>
        <v>1.970036108</v>
      </c>
      <c r="D882" s="6">
        <v>2008.0</v>
      </c>
      <c r="E882" s="6" t="s">
        <v>47</v>
      </c>
      <c r="F882" s="6">
        <v>1.9700361078487</v>
      </c>
    </row>
    <row r="883">
      <c r="A883" s="9">
        <f>IFERROR(__xludf.DUMMYFUNCTION("""COMPUTED_VALUE"""),39448.0)</f>
        <v>39448</v>
      </c>
      <c r="B883" s="6" t="str">
        <f>IFERROR(__xludf.DUMMYFUNCTION("""COMPUTED_VALUE"""),"gpc_inssjyp_salud_pib")</f>
        <v>gpc_inssjyp_salud_pib</v>
      </c>
      <c r="C883" s="6">
        <f>IFERROR(__xludf.DUMMYFUNCTION("""COMPUTED_VALUE"""),0.634112742574472)</f>
        <v>0.6341127426</v>
      </c>
      <c r="D883" s="6">
        <v>2008.0</v>
      </c>
      <c r="E883" s="6" t="s">
        <v>48</v>
      </c>
      <c r="F883" s="6">
        <v>0.634112742574472</v>
      </c>
    </row>
    <row r="884">
      <c r="A884" s="9">
        <f>IFERROR(__xludf.DUMMYFUNCTION("""COMPUTED_VALUE"""),39448.0)</f>
        <v>39448</v>
      </c>
      <c r="B884" s="6" t="str">
        <f>IFERROR(__xludf.DUMMYFUNCTION("""COMPUTED_VALUE"""),"gpc_agua_alcantarillado_pib")</f>
        <v>gpc_agua_alcantarillado_pib</v>
      </c>
      <c r="C884" s="6">
        <f>IFERROR(__xludf.DUMMYFUNCTION("""COMPUTED_VALUE"""),0.396276633557117)</f>
        <v>0.3962766336</v>
      </c>
      <c r="D884" s="6">
        <v>2008.0</v>
      </c>
      <c r="E884" s="6" t="s">
        <v>49</v>
      </c>
      <c r="F884" s="6">
        <v>0.396276633557117</v>
      </c>
    </row>
    <row r="885">
      <c r="A885" s="9">
        <f>IFERROR(__xludf.DUMMYFUNCTION("""COMPUTED_VALUE"""),39448.0)</f>
        <v>39448</v>
      </c>
      <c r="B885" s="6" t="str">
        <f>IFERROR(__xludf.DUMMYFUNCTION("""COMPUTED_VALUE"""),"gpc_vivienda_urbanismo_pib")</f>
        <v>gpc_vivienda_urbanismo_pib</v>
      </c>
      <c r="C885" s="6">
        <f>IFERROR(__xludf.DUMMYFUNCTION("""COMPUTED_VALUE"""),0.848704456774765)</f>
        <v>0.8487044568</v>
      </c>
      <c r="D885" s="6">
        <v>2008.0</v>
      </c>
      <c r="E885" s="6" t="s">
        <v>50</v>
      </c>
      <c r="F885" s="6">
        <v>0.848704456774765</v>
      </c>
    </row>
    <row r="886">
      <c r="A886" s="9">
        <f>IFERROR(__xludf.DUMMYFUNCTION("""COMPUTED_VALUE"""),39448.0)</f>
        <v>39448</v>
      </c>
      <c r="B886" s="6" t="str">
        <f>IFERROR(__xludf.DUMMYFUNCTION("""COMPUTED_VALUE"""),"gpc_promocion_asistencia_social_pib")</f>
        <v>gpc_promocion_asistencia_social_pib</v>
      </c>
      <c r="C886" s="6">
        <f>IFERROR(__xludf.DUMMYFUNCTION("""COMPUTED_VALUE"""),1.16500387811405)</f>
        <v>1.165003878</v>
      </c>
      <c r="D886" s="6">
        <v>2008.0</v>
      </c>
      <c r="E886" s="6" t="s">
        <v>51</v>
      </c>
      <c r="F886" s="6">
        <v>1.16500387811405</v>
      </c>
    </row>
    <row r="887">
      <c r="A887" s="9">
        <f>IFERROR(__xludf.DUMMYFUNCTION("""COMPUTED_VALUE"""),39448.0)</f>
        <v>39448</v>
      </c>
      <c r="B887" s="6" t="str">
        <f>IFERROR(__xludf.DUMMYFUNCTION("""COMPUTED_VALUE"""),"gpc_obras_sociales_prestaciones_pib")</f>
        <v>gpc_obras_sociales_prestaciones_pib</v>
      </c>
      <c r="C887" s="6">
        <f>IFERROR(__xludf.DUMMYFUNCTION("""COMPUTED_VALUE"""),0.090523670202329)</f>
        <v>0.0905236702</v>
      </c>
      <c r="D887" s="6">
        <v>2008.0</v>
      </c>
      <c r="E887" s="6" t="s">
        <v>52</v>
      </c>
      <c r="F887" s="6">
        <v>0.090523670202329</v>
      </c>
    </row>
    <row r="888">
      <c r="A888" s="9">
        <f>IFERROR(__xludf.DUMMYFUNCTION("""COMPUTED_VALUE"""),39448.0)</f>
        <v>39448</v>
      </c>
      <c r="B888" s="6" t="str">
        <f>IFERROR(__xludf.DUMMYFUNCTION("""COMPUTED_VALUE"""),"gpc_inssjyp_prestaciones_pib")</f>
        <v>gpc_inssjyp_prestaciones_pib</v>
      </c>
      <c r="C888" s="6">
        <f>IFERROR(__xludf.DUMMYFUNCTION("""COMPUTED_VALUE"""),0.173788060644438)</f>
        <v>0.1737880606</v>
      </c>
      <c r="D888" s="6">
        <v>2008.0</v>
      </c>
      <c r="E888" s="6" t="s">
        <v>53</v>
      </c>
      <c r="F888" s="6">
        <v>0.173788060644438</v>
      </c>
    </row>
    <row r="889">
      <c r="A889" s="9">
        <f>IFERROR(__xludf.DUMMYFUNCTION("""COMPUTED_VALUE"""),39448.0)</f>
        <v>39448</v>
      </c>
      <c r="B889" s="6" t="str">
        <f>IFERROR(__xludf.DUMMYFUNCTION("""COMPUTED_VALUE"""),"gpc_prevision_social_pib")</f>
        <v>gpc_prevision_social_pib</v>
      </c>
      <c r="C889" s="6">
        <f>IFERROR(__xludf.DUMMYFUNCTION("""COMPUTED_VALUE"""),7.45324634302831)</f>
        <v>7.453246343</v>
      </c>
      <c r="D889" s="6">
        <v>2008.0</v>
      </c>
      <c r="E889" s="6" t="s">
        <v>54</v>
      </c>
      <c r="F889" s="6">
        <v>7.45324634302831</v>
      </c>
    </row>
    <row r="890">
      <c r="A890" s="9">
        <f>IFERROR(__xludf.DUMMYFUNCTION("""COMPUTED_VALUE"""),39448.0)</f>
        <v>39448</v>
      </c>
      <c r="B890" s="6" t="str">
        <f>IFERROR(__xludf.DUMMYFUNCTION("""COMPUTED_VALUE"""),"gpc_programas_empleo_pib")</f>
        <v>gpc_programas_empleo_pib</v>
      </c>
      <c r="C890" s="6">
        <f>IFERROR(__xludf.DUMMYFUNCTION("""COMPUTED_VALUE"""),0.368630218000629)</f>
        <v>0.368630218</v>
      </c>
      <c r="D890" s="6">
        <v>2008.0</v>
      </c>
      <c r="E890" s="6" t="s">
        <v>55</v>
      </c>
      <c r="F890" s="6">
        <v>0.368630218000629</v>
      </c>
    </row>
    <row r="891">
      <c r="A891" s="9">
        <f>IFERROR(__xludf.DUMMYFUNCTION("""COMPUTED_VALUE"""),39448.0)</f>
        <v>39448</v>
      </c>
      <c r="B891" s="6" t="str">
        <f>IFERROR(__xludf.DUMMYFUNCTION("""COMPUTED_VALUE"""),"gpc_asignaciones_familiares_pib")</f>
        <v>gpc_asignaciones_familiares_pib</v>
      </c>
      <c r="C891" s="6">
        <f>IFERROR(__xludf.DUMMYFUNCTION("""COMPUTED_VALUE"""),0.559033148398323)</f>
        <v>0.5590331484</v>
      </c>
      <c r="D891" s="6">
        <v>2008.0</v>
      </c>
      <c r="E891" s="6" t="s">
        <v>56</v>
      </c>
      <c r="F891" s="6">
        <v>0.559033148398323</v>
      </c>
    </row>
    <row r="892">
      <c r="A892" s="9">
        <f>IFERROR(__xludf.DUMMYFUNCTION("""COMPUTED_VALUE"""),39448.0)</f>
        <v>39448</v>
      </c>
      <c r="B892" s="6" t="str">
        <f>IFERROR(__xludf.DUMMYFUNCTION("""COMPUTED_VALUE"""),"gpc_otros_servicios_urbanos_pib")</f>
        <v>gpc_otros_servicios_urbanos_pib</v>
      </c>
      <c r="C892" s="6">
        <f>IFERROR(__xludf.DUMMYFUNCTION("""COMPUTED_VALUE"""),0.773339344538261)</f>
        <v>0.7733393445</v>
      </c>
      <c r="D892" s="6">
        <v>2008.0</v>
      </c>
      <c r="E892" s="6" t="s">
        <v>57</v>
      </c>
      <c r="F892" s="6">
        <v>0.773339344538261</v>
      </c>
    </row>
    <row r="893">
      <c r="A893" s="9">
        <f>IFERROR(__xludf.DUMMYFUNCTION("""COMPUTED_VALUE"""),39448.0)</f>
        <v>39448</v>
      </c>
      <c r="B893" s="6" t="str">
        <f>IFERROR(__xludf.DUMMYFUNCTION("""COMPUTED_VALUE"""),"gpc_servicios_economicos_pib")</f>
        <v>gpc_servicios_economicos_pib</v>
      </c>
      <c r="C893" s="6">
        <f>IFERROR(__xludf.DUMMYFUNCTION("""COMPUTED_VALUE"""),5.09930597378636)</f>
        <v>5.099305974</v>
      </c>
      <c r="D893" s="6">
        <v>2008.0</v>
      </c>
      <c r="E893" s="6" t="s">
        <v>58</v>
      </c>
      <c r="F893" s="6">
        <v>5.09930597378636</v>
      </c>
    </row>
    <row r="894">
      <c r="A894" s="9">
        <f>IFERROR(__xludf.DUMMYFUNCTION("""COMPUTED_VALUE"""),39448.0)</f>
        <v>39448</v>
      </c>
      <c r="B894" s="6" t="str">
        <f>IFERROR(__xludf.DUMMYFUNCTION("""COMPUTED_VALUE"""),"gpc_produccion_primaria_pib")</f>
        <v>gpc_produccion_primaria_pib</v>
      </c>
      <c r="C894" s="6">
        <f>IFERROR(__xludf.DUMMYFUNCTION("""COMPUTED_VALUE"""),0.683599065561913)</f>
        <v>0.6835990656</v>
      </c>
      <c r="D894" s="6">
        <v>2008.0</v>
      </c>
      <c r="E894" s="6" t="s">
        <v>59</v>
      </c>
      <c r="F894" s="6">
        <v>0.683599065561913</v>
      </c>
    </row>
    <row r="895">
      <c r="A895" s="9">
        <f>IFERROR(__xludf.DUMMYFUNCTION("""COMPUTED_VALUE"""),39448.0)</f>
        <v>39448</v>
      </c>
      <c r="B895" s="6" t="str">
        <f>IFERROR(__xludf.DUMMYFUNCTION("""COMPUTED_VALUE"""),"gpc_energia_combustible_pib")</f>
        <v>gpc_energia_combustible_pib</v>
      </c>
      <c r="C895" s="6">
        <f>IFERROR(__xludf.DUMMYFUNCTION("""COMPUTED_VALUE"""),1.85724238236106)</f>
        <v>1.857242382</v>
      </c>
      <c r="D895" s="6">
        <v>2008.0</v>
      </c>
      <c r="E895" s="6" t="s">
        <v>60</v>
      </c>
      <c r="F895" s="6">
        <v>1.85724238236106</v>
      </c>
    </row>
    <row r="896">
      <c r="A896" s="9">
        <f>IFERROR(__xludf.DUMMYFUNCTION("""COMPUTED_VALUE"""),39448.0)</f>
        <v>39448</v>
      </c>
      <c r="B896" s="6" t="str">
        <f>IFERROR(__xludf.DUMMYFUNCTION("""COMPUTED_VALUE"""),"gpc_industria_pib")</f>
        <v>gpc_industria_pib</v>
      </c>
      <c r="C896" s="6">
        <f>IFERROR(__xludf.DUMMYFUNCTION("""COMPUTED_VALUE"""),0.0918328410148723)</f>
        <v>0.09183284101</v>
      </c>
      <c r="D896" s="6">
        <v>2008.0</v>
      </c>
      <c r="E896" s="6" t="s">
        <v>61</v>
      </c>
      <c r="F896" s="6">
        <v>0.0918328410148723</v>
      </c>
    </row>
    <row r="897">
      <c r="A897" s="9">
        <f>IFERROR(__xludf.DUMMYFUNCTION("""COMPUTED_VALUE"""),39448.0)</f>
        <v>39448</v>
      </c>
      <c r="B897" s="6" t="str">
        <f>IFERROR(__xludf.DUMMYFUNCTION("""COMPUTED_VALUE"""),"gpc_transporte_pib")</f>
        <v>gpc_transporte_pib</v>
      </c>
      <c r="C897" s="6">
        <f>IFERROR(__xludf.DUMMYFUNCTION("""COMPUTED_VALUE"""),2.15307156496892)</f>
        <v>2.153071565</v>
      </c>
      <c r="D897" s="6">
        <v>2008.0</v>
      </c>
      <c r="E897" s="6" t="s">
        <v>62</v>
      </c>
      <c r="F897" s="6">
        <v>2.15307156496892</v>
      </c>
    </row>
    <row r="898">
      <c r="A898" s="9">
        <f>IFERROR(__xludf.DUMMYFUNCTION("""COMPUTED_VALUE"""),39448.0)</f>
        <v>39448</v>
      </c>
      <c r="B898" s="6" t="str">
        <f>IFERROR(__xludf.DUMMYFUNCTION("""COMPUTED_VALUE"""),"gpc_comunicaciones_pib")</f>
        <v>gpc_comunicaciones_pib</v>
      </c>
      <c r="C898" s="6">
        <f>IFERROR(__xludf.DUMMYFUNCTION("""COMPUTED_VALUE"""),0.0852742170327872)</f>
        <v>0.08527421703</v>
      </c>
      <c r="D898" s="6">
        <v>2008.0</v>
      </c>
      <c r="E898" s="6" t="s">
        <v>63</v>
      </c>
      <c r="F898" s="6">
        <v>0.0852742170327872</v>
      </c>
    </row>
    <row r="899">
      <c r="A899" s="9">
        <f>IFERROR(__xludf.DUMMYFUNCTION("""COMPUTED_VALUE"""),39448.0)</f>
        <v>39448</v>
      </c>
      <c r="B899" s="6" t="str">
        <f>IFERROR(__xludf.DUMMYFUNCTION("""COMPUTED_VALUE"""),"gpc_otros_servicios_economicos_pib")</f>
        <v>gpc_otros_servicios_economicos_pib</v>
      </c>
      <c r="C899" s="6">
        <f>IFERROR(__xludf.DUMMYFUNCTION("""COMPUTED_VALUE"""),0.228285902846799)</f>
        <v>0.2282859028</v>
      </c>
      <c r="D899" s="6">
        <v>2008.0</v>
      </c>
      <c r="E899" s="6" t="s">
        <v>64</v>
      </c>
      <c r="F899" s="6">
        <v>0.228285902846799</v>
      </c>
    </row>
    <row r="900">
      <c r="A900" s="9">
        <f>IFERROR(__xludf.DUMMYFUNCTION("""COMPUTED_VALUE"""),39448.0)</f>
        <v>39448</v>
      </c>
      <c r="B900" s="6" t="str">
        <f>IFERROR(__xludf.DUMMYFUNCTION("""COMPUTED_VALUE"""),"gpc_servicios_deuda_publica_pib")</f>
        <v>gpc_servicios_deuda_publica_pib</v>
      </c>
      <c r="C900" s="6">
        <f>IFERROR(__xludf.DUMMYFUNCTION("""COMPUTED_VALUE"""),2.01547937471286)</f>
        <v>2.015479375</v>
      </c>
      <c r="D900" s="6">
        <v>2008.0</v>
      </c>
      <c r="E900" s="6" t="s">
        <v>65</v>
      </c>
      <c r="F900" s="6">
        <v>2.01547937471286</v>
      </c>
    </row>
    <row r="901">
      <c r="A901" s="9">
        <f>IFERROR(__xludf.DUMMYFUNCTION("""COMPUTED_VALUE"""),39814.0)</f>
        <v>39814</v>
      </c>
      <c r="B901" s="6" t="str">
        <f>IFERROR(__xludf.DUMMYFUNCTION("""COMPUTED_VALUE"""),"gpc_pib")</f>
        <v>gpc_pib</v>
      </c>
      <c r="C901" s="6">
        <f>IFERROR(__xludf.DUMMYFUNCTION("""COMPUTED_VALUE"""),39.864566260578)</f>
        <v>39.86456626</v>
      </c>
      <c r="D901" s="6">
        <v>2009.0</v>
      </c>
      <c r="E901" s="6" t="s">
        <v>66</v>
      </c>
      <c r="F901" s="6">
        <v>39.864566260578</v>
      </c>
    </row>
    <row r="902">
      <c r="A902" s="9">
        <f>IFERROR(__xludf.DUMMYFUNCTION("""COMPUTED_VALUE"""),39814.0)</f>
        <v>39814</v>
      </c>
      <c r="B902" s="6" t="str">
        <f>IFERROR(__xludf.DUMMYFUNCTION("""COMPUTED_VALUE"""),"gpc_funcionamiento_estado_pib")</f>
        <v>gpc_funcionamiento_estado_pib</v>
      </c>
      <c r="C902" s="6">
        <f>IFERROR(__xludf.DUMMYFUNCTION("""COMPUTED_VALUE"""),6.45830778578436)</f>
        <v>6.458307786</v>
      </c>
      <c r="D902" s="6">
        <v>2009.0</v>
      </c>
      <c r="E902" s="6" t="s">
        <v>36</v>
      </c>
      <c r="F902" s="6">
        <v>6.45830778578436</v>
      </c>
    </row>
    <row r="903">
      <c r="A903" s="9">
        <f>IFERROR(__xludf.DUMMYFUNCTION("""COMPUTED_VALUE"""),39814.0)</f>
        <v>39814</v>
      </c>
      <c r="B903" s="6" t="str">
        <f>IFERROR(__xludf.DUMMYFUNCTION("""COMPUTED_VALUE"""),"gpc_administracion_general_pib")</f>
        <v>gpc_administracion_general_pib</v>
      </c>
      <c r="C903" s="6">
        <f>IFERROR(__xludf.DUMMYFUNCTION("""COMPUTED_VALUE"""),3.15003210498031)</f>
        <v>3.150032105</v>
      </c>
      <c r="D903" s="6">
        <v>2009.0</v>
      </c>
      <c r="E903" s="6" t="s">
        <v>37</v>
      </c>
      <c r="F903" s="6">
        <v>3.15003210498031</v>
      </c>
    </row>
    <row r="904">
      <c r="A904" s="9">
        <f>IFERROR(__xludf.DUMMYFUNCTION("""COMPUTED_VALUE"""),39814.0)</f>
        <v>39814</v>
      </c>
      <c r="B904" s="6" t="str">
        <f>IFERROR(__xludf.DUMMYFUNCTION("""COMPUTED_VALUE"""),"gpc_justicia_pib")</f>
        <v>gpc_justicia_pib</v>
      </c>
      <c r="C904" s="6">
        <f>IFERROR(__xludf.DUMMYFUNCTION("""COMPUTED_VALUE"""),0.902811245055187)</f>
        <v>0.9028112451</v>
      </c>
      <c r="D904" s="6">
        <v>2009.0</v>
      </c>
      <c r="E904" s="6" t="s">
        <v>38</v>
      </c>
      <c r="F904" s="6">
        <v>0.902811245055187</v>
      </c>
    </row>
    <row r="905">
      <c r="A905" s="9">
        <f>IFERROR(__xludf.DUMMYFUNCTION("""COMPUTED_VALUE"""),39814.0)</f>
        <v>39814</v>
      </c>
      <c r="B905" s="6" t="str">
        <f>IFERROR(__xludf.DUMMYFUNCTION("""COMPUTED_VALUE"""),"gpc_defensa_seguridad_pib")</f>
        <v>gpc_defensa_seguridad_pib</v>
      </c>
      <c r="C905" s="6">
        <f>IFERROR(__xludf.DUMMYFUNCTION("""COMPUTED_VALUE"""),2.40546443574886)</f>
        <v>2.405464436</v>
      </c>
      <c r="D905" s="6">
        <v>2009.0</v>
      </c>
      <c r="E905" s="6" t="s">
        <v>39</v>
      </c>
      <c r="F905" s="6">
        <v>2.40546443574886</v>
      </c>
    </row>
    <row r="906">
      <c r="A906" s="9">
        <f>IFERROR(__xludf.DUMMYFUNCTION("""COMPUTED_VALUE"""),39814.0)</f>
        <v>39814</v>
      </c>
      <c r="B906" s="6" t="str">
        <f>IFERROR(__xludf.DUMMYFUNCTION("""COMPUTED_VALUE"""),"gpc_servicios_sociales_pib")</f>
        <v>gpc_servicios_sociales_pib</v>
      </c>
      <c r="C906" s="6">
        <f>IFERROR(__xludf.DUMMYFUNCTION("""COMPUTED_VALUE"""),25.9314126004414)</f>
        <v>25.9314126</v>
      </c>
      <c r="D906" s="6">
        <v>2009.0</v>
      </c>
      <c r="E906" s="6" t="s">
        <v>40</v>
      </c>
      <c r="F906" s="6">
        <v>25.9314126004414</v>
      </c>
    </row>
    <row r="907">
      <c r="A907" s="9">
        <f>IFERROR(__xludf.DUMMYFUNCTION("""COMPUTED_VALUE"""),39814.0)</f>
        <v>39814</v>
      </c>
      <c r="B907" s="6" t="str">
        <f>IFERROR(__xludf.DUMMYFUNCTION("""COMPUTED_VALUE"""),"gpc_educacion_basica_pib")</f>
        <v>gpc_educacion_basica_pib</v>
      </c>
      <c r="C907" s="6">
        <f>IFERROR(__xludf.DUMMYFUNCTION("""COMPUTED_VALUE"""),3.80999962793811)</f>
        <v>3.809999628</v>
      </c>
      <c r="D907" s="6">
        <v>2009.0</v>
      </c>
      <c r="E907" s="6" t="s">
        <v>41</v>
      </c>
      <c r="F907" s="6">
        <v>3.80999962793811</v>
      </c>
    </row>
    <row r="908">
      <c r="A908" s="9">
        <f>IFERROR(__xludf.DUMMYFUNCTION("""COMPUTED_VALUE"""),39814.0)</f>
        <v>39814</v>
      </c>
      <c r="B908" s="6" t="str">
        <f>IFERROR(__xludf.DUMMYFUNCTION("""COMPUTED_VALUE"""),"gpc_educacion_universitaria_pib")</f>
        <v>gpc_educacion_universitaria_pib</v>
      </c>
      <c r="C908" s="6">
        <f>IFERROR(__xludf.DUMMYFUNCTION("""COMPUTED_VALUE"""),1.20885333733865)</f>
        <v>1.208853337</v>
      </c>
      <c r="D908" s="6">
        <v>2009.0</v>
      </c>
      <c r="E908" s="6" t="s">
        <v>42</v>
      </c>
      <c r="F908" s="6">
        <v>1.20885333733865</v>
      </c>
    </row>
    <row r="909">
      <c r="A909" s="9">
        <f>IFERROR(__xludf.DUMMYFUNCTION("""COMPUTED_VALUE"""),39814.0)</f>
        <v>39814</v>
      </c>
      <c r="B909" s="6" t="str">
        <f>IFERROR(__xludf.DUMMYFUNCTION("""COMPUTED_VALUE"""),"gpc_ciencia_tecnica_pib")</f>
        <v>gpc_ciencia_tecnica_pib</v>
      </c>
      <c r="C909" s="6">
        <f>IFERROR(__xludf.DUMMYFUNCTION("""COMPUTED_VALUE"""),0.289465386320847)</f>
        <v>0.2894653863</v>
      </c>
      <c r="D909" s="6">
        <v>2009.0</v>
      </c>
      <c r="E909" s="6" t="s">
        <v>43</v>
      </c>
      <c r="F909" s="6">
        <v>0.289465386320847</v>
      </c>
    </row>
    <row r="910">
      <c r="A910" s="9">
        <f>IFERROR(__xludf.DUMMYFUNCTION("""COMPUTED_VALUE"""),39814.0)</f>
        <v>39814</v>
      </c>
      <c r="B910" s="6" t="str">
        <f>IFERROR(__xludf.DUMMYFUNCTION("""COMPUTED_VALUE"""),"gpc_cultura_pib")</f>
        <v>gpc_cultura_pib</v>
      </c>
      <c r="C910" s="6">
        <f>IFERROR(__xludf.DUMMYFUNCTION("""COMPUTED_VALUE"""),0.206248151544321)</f>
        <v>0.2062481515</v>
      </c>
      <c r="D910" s="6">
        <v>2009.0</v>
      </c>
      <c r="E910" s="6" t="s">
        <v>44</v>
      </c>
      <c r="F910" s="6">
        <v>0.206248151544321</v>
      </c>
    </row>
    <row r="911">
      <c r="A911" s="9">
        <f>IFERROR(__xludf.DUMMYFUNCTION("""COMPUTED_VALUE"""),39814.0)</f>
        <v>39814</v>
      </c>
      <c r="B911" s="6" t="str">
        <f>IFERROR(__xludf.DUMMYFUNCTION("""COMPUTED_VALUE"""),"gpc_educacion_cultura_sin_discriminar_pib")</f>
        <v>gpc_educacion_cultura_sin_discriminar_pib</v>
      </c>
      <c r="C911" s="6">
        <f>IFERROR(__xludf.DUMMYFUNCTION("""COMPUTED_VALUE"""),0.603714211983509)</f>
        <v>0.603714212</v>
      </c>
      <c r="D911" s="6">
        <v>2009.0</v>
      </c>
      <c r="E911" s="6" t="s">
        <v>45</v>
      </c>
      <c r="F911" s="6">
        <v>0.603714211983509</v>
      </c>
    </row>
    <row r="912">
      <c r="A912" s="9">
        <f>IFERROR(__xludf.DUMMYFUNCTION("""COMPUTED_VALUE"""),39814.0)</f>
        <v>39814</v>
      </c>
      <c r="B912" s="6" t="str">
        <f>IFERROR(__xludf.DUMMYFUNCTION("""COMPUTED_VALUE"""),"gpc_atencion_salud_pib")</f>
        <v>gpc_atencion_salud_pib</v>
      </c>
      <c r="C912" s="6">
        <f>IFERROR(__xludf.DUMMYFUNCTION("""COMPUTED_VALUE"""),2.37174815136425)</f>
        <v>2.371748151</v>
      </c>
      <c r="D912" s="6">
        <v>2009.0</v>
      </c>
      <c r="E912" s="6" t="s">
        <v>46</v>
      </c>
      <c r="F912" s="6">
        <v>2.37174815136425</v>
      </c>
    </row>
    <row r="913">
      <c r="A913" s="9">
        <f>IFERROR(__xludf.DUMMYFUNCTION("""COMPUTED_VALUE"""),39814.0)</f>
        <v>39814</v>
      </c>
      <c r="B913" s="6" t="str">
        <f>IFERROR(__xludf.DUMMYFUNCTION("""COMPUTED_VALUE"""),"gpc_obras_sociales_salud_pib")</f>
        <v>gpc_obras_sociales_salud_pib</v>
      </c>
      <c r="C913" s="6">
        <f>IFERROR(__xludf.DUMMYFUNCTION("""COMPUTED_VALUE"""),2.58085636276935)</f>
        <v>2.580856363</v>
      </c>
      <c r="D913" s="6">
        <v>2009.0</v>
      </c>
      <c r="E913" s="6" t="s">
        <v>47</v>
      </c>
      <c r="F913" s="6">
        <v>2.58085636276935</v>
      </c>
    </row>
    <row r="914">
      <c r="A914" s="9">
        <f>IFERROR(__xludf.DUMMYFUNCTION("""COMPUTED_VALUE"""),39814.0)</f>
        <v>39814</v>
      </c>
      <c r="B914" s="6" t="str">
        <f>IFERROR(__xludf.DUMMYFUNCTION("""COMPUTED_VALUE"""),"gpc_inssjyp_salud_pib")</f>
        <v>gpc_inssjyp_salud_pib</v>
      </c>
      <c r="C914" s="6">
        <f>IFERROR(__xludf.DUMMYFUNCTION("""COMPUTED_VALUE"""),0.847111435503241)</f>
        <v>0.8471114355</v>
      </c>
      <c r="D914" s="6">
        <v>2009.0</v>
      </c>
      <c r="E914" s="6" t="s">
        <v>48</v>
      </c>
      <c r="F914" s="6">
        <v>0.847111435503241</v>
      </c>
    </row>
    <row r="915">
      <c r="A915" s="9">
        <f>IFERROR(__xludf.DUMMYFUNCTION("""COMPUTED_VALUE"""),39814.0)</f>
        <v>39814</v>
      </c>
      <c r="B915" s="6" t="str">
        <f>IFERROR(__xludf.DUMMYFUNCTION("""COMPUTED_VALUE"""),"gpc_agua_alcantarillado_pib")</f>
        <v>gpc_agua_alcantarillado_pib</v>
      </c>
      <c r="C915" s="6">
        <f>IFERROR(__xludf.DUMMYFUNCTION("""COMPUTED_VALUE"""),0.510411742013139)</f>
        <v>0.510411742</v>
      </c>
      <c r="D915" s="6">
        <v>2009.0</v>
      </c>
      <c r="E915" s="6" t="s">
        <v>49</v>
      </c>
      <c r="F915" s="6">
        <v>0.510411742013139</v>
      </c>
    </row>
    <row r="916">
      <c r="A916" s="9">
        <f>IFERROR(__xludf.DUMMYFUNCTION("""COMPUTED_VALUE"""),39814.0)</f>
        <v>39814</v>
      </c>
      <c r="B916" s="6" t="str">
        <f>IFERROR(__xludf.DUMMYFUNCTION("""COMPUTED_VALUE"""),"gpc_vivienda_urbanismo_pib")</f>
        <v>gpc_vivienda_urbanismo_pib</v>
      </c>
      <c r="C916" s="6">
        <f>IFERROR(__xludf.DUMMYFUNCTION("""COMPUTED_VALUE"""),1.04292529029561)</f>
        <v>1.04292529</v>
      </c>
      <c r="D916" s="6">
        <v>2009.0</v>
      </c>
      <c r="E916" s="6" t="s">
        <v>50</v>
      </c>
      <c r="F916" s="6">
        <v>1.04292529029561</v>
      </c>
    </row>
    <row r="917">
      <c r="A917" s="9">
        <f>IFERROR(__xludf.DUMMYFUNCTION("""COMPUTED_VALUE"""),39814.0)</f>
        <v>39814</v>
      </c>
      <c r="B917" s="6" t="str">
        <f>IFERROR(__xludf.DUMMYFUNCTION("""COMPUTED_VALUE"""),"gpc_promocion_asistencia_social_pib")</f>
        <v>gpc_promocion_asistencia_social_pib</v>
      </c>
      <c r="C917" s="6">
        <f>IFERROR(__xludf.DUMMYFUNCTION("""COMPUTED_VALUE"""),1.38537371633097)</f>
        <v>1.385373716</v>
      </c>
      <c r="D917" s="6">
        <v>2009.0</v>
      </c>
      <c r="E917" s="6" t="s">
        <v>51</v>
      </c>
      <c r="F917" s="6">
        <v>1.38537371633097</v>
      </c>
    </row>
    <row r="918">
      <c r="A918" s="9">
        <f>IFERROR(__xludf.DUMMYFUNCTION("""COMPUTED_VALUE"""),39814.0)</f>
        <v>39814</v>
      </c>
      <c r="B918" s="6" t="str">
        <f>IFERROR(__xludf.DUMMYFUNCTION("""COMPUTED_VALUE"""),"gpc_obras_sociales_prestaciones_pib")</f>
        <v>gpc_obras_sociales_prestaciones_pib</v>
      </c>
      <c r="C918" s="6">
        <f>IFERROR(__xludf.DUMMYFUNCTION("""COMPUTED_VALUE"""),0.127036713476017)</f>
        <v>0.1270367135</v>
      </c>
      <c r="D918" s="6">
        <v>2009.0</v>
      </c>
      <c r="E918" s="6" t="s">
        <v>52</v>
      </c>
      <c r="F918" s="6">
        <v>0.127036713476017</v>
      </c>
    </row>
    <row r="919">
      <c r="A919" s="9">
        <f>IFERROR(__xludf.DUMMYFUNCTION("""COMPUTED_VALUE"""),39814.0)</f>
        <v>39814</v>
      </c>
      <c r="B919" s="6" t="str">
        <f>IFERROR(__xludf.DUMMYFUNCTION("""COMPUTED_VALUE"""),"gpc_inssjyp_prestaciones_pib")</f>
        <v>gpc_inssjyp_prestaciones_pib</v>
      </c>
      <c r="C919" s="6">
        <f>IFERROR(__xludf.DUMMYFUNCTION("""COMPUTED_VALUE"""),0.197058320305484)</f>
        <v>0.1970583203</v>
      </c>
      <c r="D919" s="6">
        <v>2009.0</v>
      </c>
      <c r="E919" s="6" t="s">
        <v>53</v>
      </c>
      <c r="F919" s="6">
        <v>0.197058320305484</v>
      </c>
    </row>
    <row r="920">
      <c r="A920" s="9">
        <f>IFERROR(__xludf.DUMMYFUNCTION("""COMPUTED_VALUE"""),39814.0)</f>
        <v>39814</v>
      </c>
      <c r="B920" s="6" t="str">
        <f>IFERROR(__xludf.DUMMYFUNCTION("""COMPUTED_VALUE"""),"gpc_prevision_social_pib")</f>
        <v>gpc_prevision_social_pib</v>
      </c>
      <c r="C920" s="6">
        <f>IFERROR(__xludf.DUMMYFUNCTION("""COMPUTED_VALUE"""),8.83054647749482)</f>
        <v>8.830546477</v>
      </c>
      <c r="D920" s="6">
        <v>2009.0</v>
      </c>
      <c r="E920" s="6" t="s">
        <v>54</v>
      </c>
      <c r="F920" s="6">
        <v>8.83054647749482</v>
      </c>
    </row>
    <row r="921">
      <c r="A921" s="9">
        <f>IFERROR(__xludf.DUMMYFUNCTION("""COMPUTED_VALUE"""),39814.0)</f>
        <v>39814</v>
      </c>
      <c r="B921" s="6" t="str">
        <f>IFERROR(__xludf.DUMMYFUNCTION("""COMPUTED_VALUE"""),"gpc_programas_empleo_pib")</f>
        <v>gpc_programas_empleo_pib</v>
      </c>
      <c r="C921" s="6">
        <f>IFERROR(__xludf.DUMMYFUNCTION("""COMPUTED_VALUE"""),0.398414546049386)</f>
        <v>0.398414546</v>
      </c>
      <c r="D921" s="6">
        <v>2009.0</v>
      </c>
      <c r="E921" s="6" t="s">
        <v>55</v>
      </c>
      <c r="F921" s="6">
        <v>0.398414546049386</v>
      </c>
    </row>
    <row r="922">
      <c r="A922" s="9">
        <f>IFERROR(__xludf.DUMMYFUNCTION("""COMPUTED_VALUE"""),39814.0)</f>
        <v>39814</v>
      </c>
      <c r="B922" s="6" t="str">
        <f>IFERROR(__xludf.DUMMYFUNCTION("""COMPUTED_VALUE"""),"gpc_asignaciones_familiares_pib")</f>
        <v>gpc_asignaciones_familiares_pib</v>
      </c>
      <c r="C922" s="6">
        <f>IFERROR(__xludf.DUMMYFUNCTION("""COMPUTED_VALUE"""),0.689048592526543)</f>
        <v>0.6890485925</v>
      </c>
      <c r="D922" s="6">
        <v>2009.0</v>
      </c>
      <c r="E922" s="6" t="s">
        <v>56</v>
      </c>
      <c r="F922" s="6">
        <v>0.689048592526543</v>
      </c>
    </row>
    <row r="923">
      <c r="A923" s="9">
        <f>IFERROR(__xludf.DUMMYFUNCTION("""COMPUTED_VALUE"""),39814.0)</f>
        <v>39814</v>
      </c>
      <c r="B923" s="6" t="str">
        <f>IFERROR(__xludf.DUMMYFUNCTION("""COMPUTED_VALUE"""),"gpc_otros_servicios_urbanos_pib")</f>
        <v>gpc_otros_servicios_urbanos_pib</v>
      </c>
      <c r="C923" s="6">
        <f>IFERROR(__xludf.DUMMYFUNCTION("""COMPUTED_VALUE"""),0.832600537187116)</f>
        <v>0.8326005372</v>
      </c>
      <c r="D923" s="6">
        <v>2009.0</v>
      </c>
      <c r="E923" s="6" t="s">
        <v>57</v>
      </c>
      <c r="F923" s="6">
        <v>0.832600537187116</v>
      </c>
    </row>
    <row r="924">
      <c r="A924" s="9">
        <f>IFERROR(__xludf.DUMMYFUNCTION("""COMPUTED_VALUE"""),39814.0)</f>
        <v>39814</v>
      </c>
      <c r="B924" s="6" t="str">
        <f>IFERROR(__xludf.DUMMYFUNCTION("""COMPUTED_VALUE"""),"gpc_servicios_economicos_pib")</f>
        <v>gpc_servicios_economicos_pib</v>
      </c>
      <c r="C924" s="6">
        <f>IFERROR(__xludf.DUMMYFUNCTION("""COMPUTED_VALUE"""),5.21951456648154)</f>
        <v>5.219514566</v>
      </c>
      <c r="D924" s="6">
        <v>2009.0</v>
      </c>
      <c r="E924" s="6" t="s">
        <v>58</v>
      </c>
      <c r="F924" s="6">
        <v>5.21951456648154</v>
      </c>
    </row>
    <row r="925">
      <c r="A925" s="9">
        <f>IFERROR(__xludf.DUMMYFUNCTION("""COMPUTED_VALUE"""),39814.0)</f>
        <v>39814</v>
      </c>
      <c r="B925" s="6" t="str">
        <f>IFERROR(__xludf.DUMMYFUNCTION("""COMPUTED_VALUE"""),"gpc_produccion_primaria_pib")</f>
        <v>gpc_produccion_primaria_pib</v>
      </c>
      <c r="C925" s="6">
        <f>IFERROR(__xludf.DUMMYFUNCTION("""COMPUTED_VALUE"""),0.617234208112189)</f>
        <v>0.6172342081</v>
      </c>
      <c r="D925" s="6">
        <v>2009.0</v>
      </c>
      <c r="E925" s="6" t="s">
        <v>59</v>
      </c>
      <c r="F925" s="6">
        <v>0.617234208112189</v>
      </c>
    </row>
    <row r="926">
      <c r="A926" s="9">
        <f>IFERROR(__xludf.DUMMYFUNCTION("""COMPUTED_VALUE"""),39814.0)</f>
        <v>39814</v>
      </c>
      <c r="B926" s="6" t="str">
        <f>IFERROR(__xludf.DUMMYFUNCTION("""COMPUTED_VALUE"""),"gpc_energia_combustible_pib")</f>
        <v>gpc_energia_combustible_pib</v>
      </c>
      <c r="C926" s="6">
        <f>IFERROR(__xludf.DUMMYFUNCTION("""COMPUTED_VALUE"""),1.64282105025245)</f>
        <v>1.64282105</v>
      </c>
      <c r="D926" s="6">
        <v>2009.0</v>
      </c>
      <c r="E926" s="6" t="s">
        <v>60</v>
      </c>
      <c r="F926" s="6">
        <v>1.64282105025245</v>
      </c>
    </row>
    <row r="927">
      <c r="A927" s="9">
        <f>IFERROR(__xludf.DUMMYFUNCTION("""COMPUTED_VALUE"""),39814.0)</f>
        <v>39814</v>
      </c>
      <c r="B927" s="6" t="str">
        <f>IFERROR(__xludf.DUMMYFUNCTION("""COMPUTED_VALUE"""),"gpc_industria_pib")</f>
        <v>gpc_industria_pib</v>
      </c>
      <c r="C927" s="6">
        <f>IFERROR(__xludf.DUMMYFUNCTION("""COMPUTED_VALUE"""),0.103371486364576)</f>
        <v>0.1033714864</v>
      </c>
      <c r="D927" s="6">
        <v>2009.0</v>
      </c>
      <c r="E927" s="6" t="s">
        <v>61</v>
      </c>
      <c r="F927" s="6">
        <v>0.103371486364576</v>
      </c>
    </row>
    <row r="928">
      <c r="A928" s="9">
        <f>IFERROR(__xludf.DUMMYFUNCTION("""COMPUTED_VALUE"""),39814.0)</f>
        <v>39814</v>
      </c>
      <c r="B928" s="6" t="str">
        <f>IFERROR(__xludf.DUMMYFUNCTION("""COMPUTED_VALUE"""),"gpc_transporte_pib")</f>
        <v>gpc_transporte_pib</v>
      </c>
      <c r="C928" s="6">
        <f>IFERROR(__xludf.DUMMYFUNCTION("""COMPUTED_VALUE"""),2.50387238696864)</f>
        <v>2.503872387</v>
      </c>
      <c r="D928" s="6">
        <v>2009.0</v>
      </c>
      <c r="E928" s="6" t="s">
        <v>62</v>
      </c>
      <c r="F928" s="6">
        <v>2.50387238696864</v>
      </c>
    </row>
    <row r="929">
      <c r="A929" s="9">
        <f>IFERROR(__xludf.DUMMYFUNCTION("""COMPUTED_VALUE"""),39814.0)</f>
        <v>39814</v>
      </c>
      <c r="B929" s="6" t="str">
        <f>IFERROR(__xludf.DUMMYFUNCTION("""COMPUTED_VALUE"""),"gpc_comunicaciones_pib")</f>
        <v>gpc_comunicaciones_pib</v>
      </c>
      <c r="C929" s="6">
        <f>IFERROR(__xludf.DUMMYFUNCTION("""COMPUTED_VALUE"""),0.126999575528308)</f>
        <v>0.1269995755</v>
      </c>
      <c r="D929" s="6">
        <v>2009.0</v>
      </c>
      <c r="E929" s="6" t="s">
        <v>63</v>
      </c>
      <c r="F929" s="6">
        <v>0.126999575528308</v>
      </c>
    </row>
    <row r="930">
      <c r="A930" s="9">
        <f>IFERROR(__xludf.DUMMYFUNCTION("""COMPUTED_VALUE"""),39814.0)</f>
        <v>39814</v>
      </c>
      <c r="B930" s="6" t="str">
        <f>IFERROR(__xludf.DUMMYFUNCTION("""COMPUTED_VALUE"""),"gpc_otros_servicios_economicos_pib")</f>
        <v>gpc_otros_servicios_economicos_pib</v>
      </c>
      <c r="C930" s="6">
        <f>IFERROR(__xludf.DUMMYFUNCTION("""COMPUTED_VALUE"""),0.225215859255372)</f>
        <v>0.2252158593</v>
      </c>
      <c r="D930" s="6">
        <v>2009.0</v>
      </c>
      <c r="E930" s="6" t="s">
        <v>64</v>
      </c>
      <c r="F930" s="6">
        <v>0.225215859255372</v>
      </c>
    </row>
    <row r="931">
      <c r="A931" s="9">
        <f>IFERROR(__xludf.DUMMYFUNCTION("""COMPUTED_VALUE"""),39814.0)</f>
        <v>39814</v>
      </c>
      <c r="B931" s="6" t="str">
        <f>IFERROR(__xludf.DUMMYFUNCTION("""COMPUTED_VALUE"""),"gpc_servicios_deuda_publica_pib")</f>
        <v>gpc_servicios_deuda_publica_pib</v>
      </c>
      <c r="C931" s="6">
        <f>IFERROR(__xludf.DUMMYFUNCTION("""COMPUTED_VALUE"""),2.25533130787075)</f>
        <v>2.255331308</v>
      </c>
      <c r="D931" s="6">
        <v>2009.0</v>
      </c>
      <c r="E931" s="6" t="s">
        <v>65</v>
      </c>
      <c r="F931" s="6">
        <v>2.25533130787075</v>
      </c>
    </row>
    <row r="932">
      <c r="A932" s="9">
        <f>IFERROR(__xludf.DUMMYFUNCTION("""COMPUTED_VALUE"""),40179.0)</f>
        <v>40179</v>
      </c>
      <c r="B932" s="6" t="str">
        <f>IFERROR(__xludf.DUMMYFUNCTION("""COMPUTED_VALUE"""),"gpc_pib")</f>
        <v>gpc_pib</v>
      </c>
      <c r="C932" s="6">
        <f>IFERROR(__xludf.DUMMYFUNCTION("""COMPUTED_VALUE"""),38.2701152914514)</f>
        <v>38.27011529</v>
      </c>
      <c r="D932" s="6">
        <v>2010.0</v>
      </c>
      <c r="E932" s="6" t="s">
        <v>66</v>
      </c>
      <c r="F932" s="6">
        <v>38.2701152914514</v>
      </c>
    </row>
    <row r="933">
      <c r="A933" s="9">
        <f>IFERROR(__xludf.DUMMYFUNCTION("""COMPUTED_VALUE"""),40179.0)</f>
        <v>40179</v>
      </c>
      <c r="B933" s="6" t="str">
        <f>IFERROR(__xludf.DUMMYFUNCTION("""COMPUTED_VALUE"""),"gpc_funcionamiento_estado_pib")</f>
        <v>gpc_funcionamiento_estado_pib</v>
      </c>
      <c r="C933" s="6">
        <f>IFERROR(__xludf.DUMMYFUNCTION("""COMPUTED_VALUE"""),6.19765678837581)</f>
        <v>6.197656788</v>
      </c>
      <c r="D933" s="6">
        <v>2010.0</v>
      </c>
      <c r="E933" s="6" t="s">
        <v>36</v>
      </c>
      <c r="F933" s="6">
        <v>6.19765678837581</v>
      </c>
    </row>
    <row r="934">
      <c r="A934" s="9">
        <f>IFERROR(__xludf.DUMMYFUNCTION("""COMPUTED_VALUE"""),40179.0)</f>
        <v>40179</v>
      </c>
      <c r="B934" s="6" t="str">
        <f>IFERROR(__xludf.DUMMYFUNCTION("""COMPUTED_VALUE"""),"gpc_administracion_general_pib")</f>
        <v>gpc_administracion_general_pib</v>
      </c>
      <c r="C934" s="6">
        <f>IFERROR(__xludf.DUMMYFUNCTION("""COMPUTED_VALUE"""),2.94750955018514)</f>
        <v>2.94750955</v>
      </c>
      <c r="D934" s="6">
        <v>2010.0</v>
      </c>
      <c r="E934" s="6" t="s">
        <v>37</v>
      </c>
      <c r="F934" s="6">
        <v>2.94750955018514</v>
      </c>
    </row>
    <row r="935">
      <c r="A935" s="9">
        <f>IFERROR(__xludf.DUMMYFUNCTION("""COMPUTED_VALUE"""),40179.0)</f>
        <v>40179</v>
      </c>
      <c r="B935" s="6" t="str">
        <f>IFERROR(__xludf.DUMMYFUNCTION("""COMPUTED_VALUE"""),"gpc_justicia_pib")</f>
        <v>gpc_justicia_pib</v>
      </c>
      <c r="C935" s="6">
        <f>IFERROR(__xludf.DUMMYFUNCTION("""COMPUTED_VALUE"""),0.871806163518575)</f>
        <v>0.8718061635</v>
      </c>
      <c r="D935" s="6">
        <v>2010.0</v>
      </c>
      <c r="E935" s="6" t="s">
        <v>38</v>
      </c>
      <c r="F935" s="6">
        <v>0.871806163518575</v>
      </c>
    </row>
    <row r="936">
      <c r="A936" s="9">
        <f>IFERROR(__xludf.DUMMYFUNCTION("""COMPUTED_VALUE"""),40179.0)</f>
        <v>40179</v>
      </c>
      <c r="B936" s="6" t="str">
        <f>IFERROR(__xludf.DUMMYFUNCTION("""COMPUTED_VALUE"""),"gpc_defensa_seguridad_pib")</f>
        <v>gpc_defensa_seguridad_pib</v>
      </c>
      <c r="C936" s="6">
        <f>IFERROR(__xludf.DUMMYFUNCTION("""COMPUTED_VALUE"""),2.37834107467209)</f>
        <v>2.378341075</v>
      </c>
      <c r="D936" s="6">
        <v>2010.0</v>
      </c>
      <c r="E936" s="6" t="s">
        <v>39</v>
      </c>
      <c r="F936" s="6">
        <v>2.37834107467209</v>
      </c>
    </row>
    <row r="937">
      <c r="A937" s="9">
        <f>IFERROR(__xludf.DUMMYFUNCTION("""COMPUTED_VALUE"""),40179.0)</f>
        <v>40179</v>
      </c>
      <c r="B937" s="6" t="str">
        <f>IFERROR(__xludf.DUMMYFUNCTION("""COMPUTED_VALUE"""),"gpc_servicios_sociales_pib")</f>
        <v>gpc_servicios_sociales_pib</v>
      </c>
      <c r="C937" s="6">
        <f>IFERROR(__xludf.DUMMYFUNCTION("""COMPUTED_VALUE"""),24.7640475901848)</f>
        <v>24.76404759</v>
      </c>
      <c r="D937" s="6">
        <v>2010.0</v>
      </c>
      <c r="E937" s="6" t="s">
        <v>40</v>
      </c>
      <c r="F937" s="6">
        <v>24.7640475901848</v>
      </c>
    </row>
    <row r="938">
      <c r="A938" s="9">
        <f>IFERROR(__xludf.DUMMYFUNCTION("""COMPUTED_VALUE"""),40179.0)</f>
        <v>40179</v>
      </c>
      <c r="B938" s="6" t="str">
        <f>IFERROR(__xludf.DUMMYFUNCTION("""COMPUTED_VALUE"""),"gpc_educacion_basica_pib")</f>
        <v>gpc_educacion_basica_pib</v>
      </c>
      <c r="C938" s="6">
        <f>IFERROR(__xludf.DUMMYFUNCTION("""COMPUTED_VALUE"""),3.48812956054585)</f>
        <v>3.488129561</v>
      </c>
      <c r="D938" s="6">
        <v>2010.0</v>
      </c>
      <c r="E938" s="6" t="s">
        <v>41</v>
      </c>
      <c r="F938" s="6">
        <v>3.48812956054585</v>
      </c>
    </row>
    <row r="939">
      <c r="A939" s="9">
        <f>IFERROR(__xludf.DUMMYFUNCTION("""COMPUTED_VALUE"""),40179.0)</f>
        <v>40179</v>
      </c>
      <c r="B939" s="6" t="str">
        <f>IFERROR(__xludf.DUMMYFUNCTION("""COMPUTED_VALUE"""),"gpc_educacion_universitaria_pib")</f>
        <v>gpc_educacion_universitaria_pib</v>
      </c>
      <c r="C939" s="6">
        <f>IFERROR(__xludf.DUMMYFUNCTION("""COMPUTED_VALUE"""),1.15325165046777)</f>
        <v>1.15325165</v>
      </c>
      <c r="D939" s="6">
        <v>2010.0</v>
      </c>
      <c r="E939" s="6" t="s">
        <v>42</v>
      </c>
      <c r="F939" s="6">
        <v>1.15325165046777</v>
      </c>
    </row>
    <row r="940">
      <c r="A940" s="9">
        <f>IFERROR(__xludf.DUMMYFUNCTION("""COMPUTED_VALUE"""),40179.0)</f>
        <v>40179</v>
      </c>
      <c r="B940" s="6" t="str">
        <f>IFERROR(__xludf.DUMMYFUNCTION("""COMPUTED_VALUE"""),"gpc_ciencia_tecnica_pib")</f>
        <v>gpc_ciencia_tecnica_pib</v>
      </c>
      <c r="C940" s="6">
        <f>IFERROR(__xludf.DUMMYFUNCTION("""COMPUTED_VALUE"""),0.269822609921411)</f>
        <v>0.2698226099</v>
      </c>
      <c r="D940" s="6">
        <v>2010.0</v>
      </c>
      <c r="E940" s="6" t="s">
        <v>43</v>
      </c>
      <c r="F940" s="6">
        <v>0.269822609921411</v>
      </c>
    </row>
    <row r="941">
      <c r="A941" s="9">
        <f>IFERROR(__xludf.DUMMYFUNCTION("""COMPUTED_VALUE"""),40179.0)</f>
        <v>40179</v>
      </c>
      <c r="B941" s="6" t="str">
        <f>IFERROR(__xludf.DUMMYFUNCTION("""COMPUTED_VALUE"""),"gpc_cultura_pib")</f>
        <v>gpc_cultura_pib</v>
      </c>
      <c r="C941" s="6">
        <f>IFERROR(__xludf.DUMMYFUNCTION("""COMPUTED_VALUE"""),0.206793401316504)</f>
        <v>0.2067934013</v>
      </c>
      <c r="D941" s="6">
        <v>2010.0</v>
      </c>
      <c r="E941" s="6" t="s">
        <v>44</v>
      </c>
      <c r="F941" s="6">
        <v>0.206793401316504</v>
      </c>
    </row>
    <row r="942">
      <c r="A942" s="9">
        <f>IFERROR(__xludf.DUMMYFUNCTION("""COMPUTED_VALUE"""),40179.0)</f>
        <v>40179</v>
      </c>
      <c r="B942" s="6" t="str">
        <f>IFERROR(__xludf.DUMMYFUNCTION("""COMPUTED_VALUE"""),"gpc_educacion_cultura_sin_discriminar_pib")</f>
        <v>gpc_educacion_cultura_sin_discriminar_pib</v>
      </c>
      <c r="C942" s="6">
        <f>IFERROR(__xludf.DUMMYFUNCTION("""COMPUTED_VALUE"""),0.495620910207351)</f>
        <v>0.4956209102</v>
      </c>
      <c r="D942" s="6">
        <v>2010.0</v>
      </c>
      <c r="E942" s="6" t="s">
        <v>45</v>
      </c>
      <c r="F942" s="6">
        <v>0.495620910207351</v>
      </c>
    </row>
    <row r="943">
      <c r="A943" s="9">
        <f>IFERROR(__xludf.DUMMYFUNCTION("""COMPUTED_VALUE"""),40179.0)</f>
        <v>40179</v>
      </c>
      <c r="B943" s="6" t="str">
        <f>IFERROR(__xludf.DUMMYFUNCTION("""COMPUTED_VALUE"""),"gpc_atencion_salud_pib")</f>
        <v>gpc_atencion_salud_pib</v>
      </c>
      <c r="C943" s="6">
        <f>IFERROR(__xludf.DUMMYFUNCTION("""COMPUTED_VALUE"""),2.24890858472346)</f>
        <v>2.248908585</v>
      </c>
      <c r="D943" s="6">
        <v>2010.0</v>
      </c>
      <c r="E943" s="6" t="s">
        <v>46</v>
      </c>
      <c r="F943" s="6">
        <v>2.24890858472346</v>
      </c>
    </row>
    <row r="944">
      <c r="A944" s="9">
        <f>IFERROR(__xludf.DUMMYFUNCTION("""COMPUTED_VALUE"""),40179.0)</f>
        <v>40179</v>
      </c>
      <c r="B944" s="6" t="str">
        <f>IFERROR(__xludf.DUMMYFUNCTION("""COMPUTED_VALUE"""),"gpc_obras_sociales_salud_pib")</f>
        <v>gpc_obras_sociales_salud_pib</v>
      </c>
      <c r="C944" s="6">
        <f>IFERROR(__xludf.DUMMYFUNCTION("""COMPUTED_VALUE"""),2.52593312225193)</f>
        <v>2.525933122</v>
      </c>
      <c r="D944" s="6">
        <v>2010.0</v>
      </c>
      <c r="E944" s="6" t="s">
        <v>47</v>
      </c>
      <c r="F944" s="6">
        <v>2.52593312225193</v>
      </c>
    </row>
    <row r="945">
      <c r="A945" s="9">
        <f>IFERROR(__xludf.DUMMYFUNCTION("""COMPUTED_VALUE"""),40179.0)</f>
        <v>40179</v>
      </c>
      <c r="B945" s="6" t="str">
        <f>IFERROR(__xludf.DUMMYFUNCTION("""COMPUTED_VALUE"""),"gpc_inssjyp_salud_pib")</f>
        <v>gpc_inssjyp_salud_pib</v>
      </c>
      <c r="C945" s="6">
        <f>IFERROR(__xludf.DUMMYFUNCTION("""COMPUTED_VALUE"""),0.839372709227616)</f>
        <v>0.8393727092</v>
      </c>
      <c r="D945" s="6">
        <v>2010.0</v>
      </c>
      <c r="E945" s="6" t="s">
        <v>48</v>
      </c>
      <c r="F945" s="6">
        <v>0.839372709227616</v>
      </c>
    </row>
    <row r="946">
      <c r="A946" s="9">
        <f>IFERROR(__xludf.DUMMYFUNCTION("""COMPUTED_VALUE"""),40179.0)</f>
        <v>40179</v>
      </c>
      <c r="B946" s="6" t="str">
        <f>IFERROR(__xludf.DUMMYFUNCTION("""COMPUTED_VALUE"""),"gpc_agua_alcantarillado_pib")</f>
        <v>gpc_agua_alcantarillado_pib</v>
      </c>
      <c r="C946" s="6">
        <f>IFERROR(__xludf.DUMMYFUNCTION("""COMPUTED_VALUE"""),0.520247516453483)</f>
        <v>0.5202475165</v>
      </c>
      <c r="D946" s="6">
        <v>2010.0</v>
      </c>
      <c r="E946" s="6" t="s">
        <v>49</v>
      </c>
      <c r="F946" s="6">
        <v>0.520247516453483</v>
      </c>
    </row>
    <row r="947">
      <c r="A947" s="9">
        <f>IFERROR(__xludf.DUMMYFUNCTION("""COMPUTED_VALUE"""),40179.0)</f>
        <v>40179</v>
      </c>
      <c r="B947" s="6" t="str">
        <f>IFERROR(__xludf.DUMMYFUNCTION("""COMPUTED_VALUE"""),"gpc_vivienda_urbanismo_pib")</f>
        <v>gpc_vivienda_urbanismo_pib</v>
      </c>
      <c r="C947" s="6">
        <f>IFERROR(__xludf.DUMMYFUNCTION("""COMPUTED_VALUE"""),0.935975539257669)</f>
        <v>0.9359755393</v>
      </c>
      <c r="D947" s="6">
        <v>2010.0</v>
      </c>
      <c r="E947" s="6" t="s">
        <v>50</v>
      </c>
      <c r="F947" s="6">
        <v>0.935975539257669</v>
      </c>
    </row>
    <row r="948">
      <c r="A948" s="9">
        <f>IFERROR(__xludf.DUMMYFUNCTION("""COMPUTED_VALUE"""),40179.0)</f>
        <v>40179</v>
      </c>
      <c r="B948" s="6" t="str">
        <f>IFERROR(__xludf.DUMMYFUNCTION("""COMPUTED_VALUE"""),"gpc_promocion_asistencia_social_pib")</f>
        <v>gpc_promocion_asistencia_social_pib</v>
      </c>
      <c r="C948" s="6">
        <f>IFERROR(__xludf.DUMMYFUNCTION("""COMPUTED_VALUE"""),1.33854600554749)</f>
        <v>1.338546006</v>
      </c>
      <c r="D948" s="6">
        <v>2010.0</v>
      </c>
      <c r="E948" s="6" t="s">
        <v>51</v>
      </c>
      <c r="F948" s="6">
        <v>1.33854600554749</v>
      </c>
    </row>
    <row r="949">
      <c r="A949" s="9">
        <f>IFERROR(__xludf.DUMMYFUNCTION("""COMPUTED_VALUE"""),40179.0)</f>
        <v>40179</v>
      </c>
      <c r="B949" s="6" t="str">
        <f>IFERROR(__xludf.DUMMYFUNCTION("""COMPUTED_VALUE"""),"gpc_obras_sociales_prestaciones_pib")</f>
        <v>gpc_obras_sociales_prestaciones_pib</v>
      </c>
      <c r="C949" s="6">
        <f>IFERROR(__xludf.DUMMYFUNCTION("""COMPUTED_VALUE"""),0.124834069276533)</f>
        <v>0.1248340693</v>
      </c>
      <c r="D949" s="6">
        <v>2010.0</v>
      </c>
      <c r="E949" s="6" t="s">
        <v>52</v>
      </c>
      <c r="F949" s="6">
        <v>0.124834069276533</v>
      </c>
    </row>
    <row r="950">
      <c r="A950" s="9">
        <f>IFERROR(__xludf.DUMMYFUNCTION("""COMPUTED_VALUE"""),40179.0)</f>
        <v>40179</v>
      </c>
      <c r="B950" s="6" t="str">
        <f>IFERROR(__xludf.DUMMYFUNCTION("""COMPUTED_VALUE"""),"gpc_inssjyp_prestaciones_pib")</f>
        <v>gpc_inssjyp_prestaciones_pib</v>
      </c>
      <c r="C950" s="6">
        <f>IFERROR(__xludf.DUMMYFUNCTION("""COMPUTED_VALUE"""),0.184114431992099)</f>
        <v>0.184114432</v>
      </c>
      <c r="D950" s="6">
        <v>2010.0</v>
      </c>
      <c r="E950" s="6" t="s">
        <v>53</v>
      </c>
      <c r="F950" s="6">
        <v>0.184114431992099</v>
      </c>
    </row>
    <row r="951">
      <c r="A951" s="9">
        <f>IFERROR(__xludf.DUMMYFUNCTION("""COMPUTED_VALUE"""),40179.0)</f>
        <v>40179</v>
      </c>
      <c r="B951" s="6" t="str">
        <f>IFERROR(__xludf.DUMMYFUNCTION("""COMPUTED_VALUE"""),"gpc_prevision_social_pib")</f>
        <v>gpc_prevision_social_pib</v>
      </c>
      <c r="C951" s="6">
        <f>IFERROR(__xludf.DUMMYFUNCTION("""COMPUTED_VALUE"""),8.41209150218817)</f>
        <v>8.412091502</v>
      </c>
      <c r="D951" s="6">
        <v>2010.0</v>
      </c>
      <c r="E951" s="6" t="s">
        <v>54</v>
      </c>
      <c r="F951" s="6">
        <v>8.41209150218817</v>
      </c>
    </row>
    <row r="952">
      <c r="A952" s="9">
        <f>IFERROR(__xludf.DUMMYFUNCTION("""COMPUTED_VALUE"""),40179.0)</f>
        <v>40179</v>
      </c>
      <c r="B952" s="6" t="str">
        <f>IFERROR(__xludf.DUMMYFUNCTION("""COMPUTED_VALUE"""),"gpc_programas_empleo_pib")</f>
        <v>gpc_programas_empleo_pib</v>
      </c>
      <c r="C952" s="6">
        <f>IFERROR(__xludf.DUMMYFUNCTION("""COMPUTED_VALUE"""),0.285002296584542)</f>
        <v>0.2850022966</v>
      </c>
      <c r="D952" s="6">
        <v>2010.0</v>
      </c>
      <c r="E952" s="6" t="s">
        <v>55</v>
      </c>
      <c r="F952" s="6">
        <v>0.285002296584542</v>
      </c>
    </row>
    <row r="953">
      <c r="A953" s="9">
        <f>IFERROR(__xludf.DUMMYFUNCTION("""COMPUTED_VALUE"""),40179.0)</f>
        <v>40179</v>
      </c>
      <c r="B953" s="6" t="str">
        <f>IFERROR(__xludf.DUMMYFUNCTION("""COMPUTED_VALUE"""),"gpc_asignaciones_familiares_pib")</f>
        <v>gpc_asignaciones_familiares_pib</v>
      </c>
      <c r="C953" s="6">
        <f>IFERROR(__xludf.DUMMYFUNCTION("""COMPUTED_VALUE"""),0.909066790849425)</f>
        <v>0.9090667908</v>
      </c>
      <c r="D953" s="6">
        <v>2010.0</v>
      </c>
      <c r="E953" s="6" t="s">
        <v>56</v>
      </c>
      <c r="F953" s="6">
        <v>0.909066790849425</v>
      </c>
    </row>
    <row r="954">
      <c r="A954" s="9">
        <f>IFERROR(__xludf.DUMMYFUNCTION("""COMPUTED_VALUE"""),40179.0)</f>
        <v>40179</v>
      </c>
      <c r="B954" s="6" t="str">
        <f>IFERROR(__xludf.DUMMYFUNCTION("""COMPUTED_VALUE"""),"gpc_otros_servicios_urbanos_pib")</f>
        <v>gpc_otros_servicios_urbanos_pib</v>
      </c>
      <c r="C954" s="6">
        <f>IFERROR(__xludf.DUMMYFUNCTION("""COMPUTED_VALUE"""),0.826336889373487)</f>
        <v>0.8263368894</v>
      </c>
      <c r="D954" s="6">
        <v>2010.0</v>
      </c>
      <c r="E954" s="6" t="s">
        <v>57</v>
      </c>
      <c r="F954" s="6">
        <v>0.826336889373487</v>
      </c>
    </row>
    <row r="955">
      <c r="A955" s="9">
        <f>IFERROR(__xludf.DUMMYFUNCTION("""COMPUTED_VALUE"""),40179.0)</f>
        <v>40179</v>
      </c>
      <c r="B955" s="6" t="str">
        <f>IFERROR(__xludf.DUMMYFUNCTION("""COMPUTED_VALUE"""),"gpc_servicios_economicos_pib")</f>
        <v>gpc_servicios_economicos_pib</v>
      </c>
      <c r="C955" s="6">
        <f>IFERROR(__xludf.DUMMYFUNCTION("""COMPUTED_VALUE"""),5.7177131812187)</f>
        <v>5.717713181</v>
      </c>
      <c r="D955" s="6">
        <v>2010.0</v>
      </c>
      <c r="E955" s="6" t="s">
        <v>58</v>
      </c>
      <c r="F955" s="6">
        <v>5.7177131812187</v>
      </c>
    </row>
    <row r="956">
      <c r="A956" s="9">
        <f>IFERROR(__xludf.DUMMYFUNCTION("""COMPUTED_VALUE"""),40179.0)</f>
        <v>40179</v>
      </c>
      <c r="B956" s="6" t="str">
        <f>IFERROR(__xludf.DUMMYFUNCTION("""COMPUTED_VALUE"""),"gpc_produccion_primaria_pib")</f>
        <v>gpc_produccion_primaria_pib</v>
      </c>
      <c r="C956" s="6">
        <f>IFERROR(__xludf.DUMMYFUNCTION("""COMPUTED_VALUE"""),0.622283472004678)</f>
        <v>0.622283472</v>
      </c>
      <c r="D956" s="6">
        <v>2010.0</v>
      </c>
      <c r="E956" s="6" t="s">
        <v>59</v>
      </c>
      <c r="F956" s="6">
        <v>0.622283472004678</v>
      </c>
    </row>
    <row r="957">
      <c r="A957" s="9">
        <f>IFERROR(__xludf.DUMMYFUNCTION("""COMPUTED_VALUE"""),40179.0)</f>
        <v>40179</v>
      </c>
      <c r="B957" s="6" t="str">
        <f>IFERROR(__xludf.DUMMYFUNCTION("""COMPUTED_VALUE"""),"gpc_energia_combustible_pib")</f>
        <v>gpc_energia_combustible_pib</v>
      </c>
      <c r="C957" s="6">
        <f>IFERROR(__xludf.DUMMYFUNCTION("""COMPUTED_VALUE"""),1.92577879957479)</f>
        <v>1.9257788</v>
      </c>
      <c r="D957" s="6">
        <v>2010.0</v>
      </c>
      <c r="E957" s="6" t="s">
        <v>60</v>
      </c>
      <c r="F957" s="6">
        <v>1.92577879957479</v>
      </c>
    </row>
    <row r="958">
      <c r="A958" s="9">
        <f>IFERROR(__xludf.DUMMYFUNCTION("""COMPUTED_VALUE"""),40179.0)</f>
        <v>40179</v>
      </c>
      <c r="B958" s="6" t="str">
        <f>IFERROR(__xludf.DUMMYFUNCTION("""COMPUTED_VALUE"""),"gpc_industria_pib")</f>
        <v>gpc_industria_pib</v>
      </c>
      <c r="C958" s="6">
        <f>IFERROR(__xludf.DUMMYFUNCTION("""COMPUTED_VALUE"""),0.113019911356371)</f>
        <v>0.1130199114</v>
      </c>
      <c r="D958" s="6">
        <v>2010.0</v>
      </c>
      <c r="E958" s="6" t="s">
        <v>61</v>
      </c>
      <c r="F958" s="6">
        <v>0.113019911356371</v>
      </c>
    </row>
    <row r="959">
      <c r="A959" s="9">
        <f>IFERROR(__xludf.DUMMYFUNCTION("""COMPUTED_VALUE"""),40179.0)</f>
        <v>40179</v>
      </c>
      <c r="B959" s="6" t="str">
        <f>IFERROR(__xludf.DUMMYFUNCTION("""COMPUTED_VALUE"""),"gpc_transporte_pib")</f>
        <v>gpc_transporte_pib</v>
      </c>
      <c r="C959" s="6">
        <f>IFERROR(__xludf.DUMMYFUNCTION("""COMPUTED_VALUE"""),2.55050434245033)</f>
        <v>2.550504342</v>
      </c>
      <c r="D959" s="6">
        <v>2010.0</v>
      </c>
      <c r="E959" s="6" t="s">
        <v>62</v>
      </c>
      <c r="F959" s="6">
        <v>2.55050434245033</v>
      </c>
    </row>
    <row r="960">
      <c r="A960" s="9">
        <f>IFERROR(__xludf.DUMMYFUNCTION("""COMPUTED_VALUE"""),40179.0)</f>
        <v>40179</v>
      </c>
      <c r="B960" s="6" t="str">
        <f>IFERROR(__xludf.DUMMYFUNCTION("""COMPUTED_VALUE"""),"gpc_comunicaciones_pib")</f>
        <v>gpc_comunicaciones_pib</v>
      </c>
      <c r="C960" s="6">
        <f>IFERROR(__xludf.DUMMYFUNCTION("""COMPUTED_VALUE"""),0.227039106002937)</f>
        <v>0.227039106</v>
      </c>
      <c r="D960" s="6">
        <v>2010.0</v>
      </c>
      <c r="E960" s="6" t="s">
        <v>63</v>
      </c>
      <c r="F960" s="6">
        <v>0.227039106002937</v>
      </c>
    </row>
    <row r="961">
      <c r="A961" s="9">
        <f>IFERROR(__xludf.DUMMYFUNCTION("""COMPUTED_VALUE"""),40179.0)</f>
        <v>40179</v>
      </c>
      <c r="B961" s="6" t="str">
        <f>IFERROR(__xludf.DUMMYFUNCTION("""COMPUTED_VALUE"""),"gpc_otros_servicios_economicos_pib")</f>
        <v>gpc_otros_servicios_economicos_pib</v>
      </c>
      <c r="C961" s="6">
        <f>IFERROR(__xludf.DUMMYFUNCTION("""COMPUTED_VALUE"""),0.279087549829586)</f>
        <v>0.2790875498</v>
      </c>
      <c r="D961" s="6">
        <v>2010.0</v>
      </c>
      <c r="E961" s="6" t="s">
        <v>64</v>
      </c>
      <c r="F961" s="6">
        <v>0.279087549829586</v>
      </c>
    </row>
    <row r="962">
      <c r="A962" s="9">
        <f>IFERROR(__xludf.DUMMYFUNCTION("""COMPUTED_VALUE"""),40179.0)</f>
        <v>40179</v>
      </c>
      <c r="B962" s="6" t="str">
        <f>IFERROR(__xludf.DUMMYFUNCTION("""COMPUTED_VALUE"""),"gpc_servicios_deuda_publica_pib")</f>
        <v>gpc_servicios_deuda_publica_pib</v>
      </c>
      <c r="C962" s="6">
        <f>IFERROR(__xludf.DUMMYFUNCTION("""COMPUTED_VALUE"""),1.59069773167205)</f>
        <v>1.590697732</v>
      </c>
      <c r="D962" s="6">
        <v>2010.0</v>
      </c>
      <c r="E962" s="6" t="s">
        <v>65</v>
      </c>
      <c r="F962" s="6">
        <v>1.59069773167205</v>
      </c>
    </row>
    <row r="963">
      <c r="A963" s="9">
        <f>IFERROR(__xludf.DUMMYFUNCTION("""COMPUTED_VALUE"""),40544.0)</f>
        <v>40544</v>
      </c>
      <c r="B963" s="6" t="str">
        <f>IFERROR(__xludf.DUMMYFUNCTION("""COMPUTED_VALUE"""),"gpc_pib")</f>
        <v>gpc_pib</v>
      </c>
      <c r="C963" s="6">
        <f>IFERROR(__xludf.DUMMYFUNCTION("""COMPUTED_VALUE"""),40.0066990608701)</f>
        <v>40.00669906</v>
      </c>
      <c r="D963" s="6">
        <v>2011.0</v>
      </c>
      <c r="E963" s="6" t="s">
        <v>66</v>
      </c>
      <c r="F963" s="6">
        <v>40.0066990608701</v>
      </c>
    </row>
    <row r="964">
      <c r="A964" s="9">
        <f>IFERROR(__xludf.DUMMYFUNCTION("""COMPUTED_VALUE"""),40544.0)</f>
        <v>40544</v>
      </c>
      <c r="B964" s="6" t="str">
        <f>IFERROR(__xludf.DUMMYFUNCTION("""COMPUTED_VALUE"""),"gpc_funcionamiento_estado_pib")</f>
        <v>gpc_funcionamiento_estado_pib</v>
      </c>
      <c r="C964" s="6">
        <f>IFERROR(__xludf.DUMMYFUNCTION("""COMPUTED_VALUE"""),6.2306996134201)</f>
        <v>6.230699613</v>
      </c>
      <c r="D964" s="6">
        <v>2011.0</v>
      </c>
      <c r="E964" s="6" t="s">
        <v>36</v>
      </c>
      <c r="F964" s="6">
        <v>6.2306996134201</v>
      </c>
    </row>
    <row r="965">
      <c r="A965" s="9">
        <f>IFERROR(__xludf.DUMMYFUNCTION("""COMPUTED_VALUE"""),40544.0)</f>
        <v>40544</v>
      </c>
      <c r="B965" s="6" t="str">
        <f>IFERROR(__xludf.DUMMYFUNCTION("""COMPUTED_VALUE"""),"gpc_administracion_general_pib")</f>
        <v>gpc_administracion_general_pib</v>
      </c>
      <c r="C965" s="6">
        <f>IFERROR(__xludf.DUMMYFUNCTION("""COMPUTED_VALUE"""),2.90777863598195)</f>
        <v>2.907778636</v>
      </c>
      <c r="D965" s="6">
        <v>2011.0</v>
      </c>
      <c r="E965" s="6" t="s">
        <v>37</v>
      </c>
      <c r="F965" s="6">
        <v>2.90777863598195</v>
      </c>
    </row>
    <row r="966">
      <c r="A966" s="9">
        <f>IFERROR(__xludf.DUMMYFUNCTION("""COMPUTED_VALUE"""),40544.0)</f>
        <v>40544</v>
      </c>
      <c r="B966" s="6" t="str">
        <f>IFERROR(__xludf.DUMMYFUNCTION("""COMPUTED_VALUE"""),"gpc_justicia_pib")</f>
        <v>gpc_justicia_pib</v>
      </c>
      <c r="C966" s="6">
        <f>IFERROR(__xludf.DUMMYFUNCTION("""COMPUTED_VALUE"""),0.926321751433171)</f>
        <v>0.9263217514</v>
      </c>
      <c r="D966" s="6">
        <v>2011.0</v>
      </c>
      <c r="E966" s="6" t="s">
        <v>38</v>
      </c>
      <c r="F966" s="6">
        <v>0.926321751433171</v>
      </c>
    </row>
    <row r="967">
      <c r="A967" s="9">
        <f>IFERROR(__xludf.DUMMYFUNCTION("""COMPUTED_VALUE"""),40544.0)</f>
        <v>40544</v>
      </c>
      <c r="B967" s="6" t="str">
        <f>IFERROR(__xludf.DUMMYFUNCTION("""COMPUTED_VALUE"""),"gpc_defensa_seguridad_pib")</f>
        <v>gpc_defensa_seguridad_pib</v>
      </c>
      <c r="C967" s="6">
        <f>IFERROR(__xludf.DUMMYFUNCTION("""COMPUTED_VALUE"""),2.39659922600497)</f>
        <v>2.396599226</v>
      </c>
      <c r="D967" s="6">
        <v>2011.0</v>
      </c>
      <c r="E967" s="6" t="s">
        <v>39</v>
      </c>
      <c r="F967" s="6">
        <v>2.39659922600497</v>
      </c>
    </row>
    <row r="968">
      <c r="A968" s="9">
        <f>IFERROR(__xludf.DUMMYFUNCTION("""COMPUTED_VALUE"""),40544.0)</f>
        <v>40544</v>
      </c>
      <c r="B968" s="6" t="str">
        <f>IFERROR(__xludf.DUMMYFUNCTION("""COMPUTED_VALUE"""),"gpc_servicios_sociales_pib")</f>
        <v>gpc_servicios_sociales_pib</v>
      </c>
      <c r="C968" s="6">
        <f>IFERROR(__xludf.DUMMYFUNCTION("""COMPUTED_VALUE"""),25.6163463695942)</f>
        <v>25.61634637</v>
      </c>
      <c r="D968" s="6">
        <v>2011.0</v>
      </c>
      <c r="E968" s="6" t="s">
        <v>40</v>
      </c>
      <c r="F968" s="6">
        <v>25.6163463695942</v>
      </c>
    </row>
    <row r="969">
      <c r="A969" s="9">
        <f>IFERROR(__xludf.DUMMYFUNCTION("""COMPUTED_VALUE"""),40544.0)</f>
        <v>40544</v>
      </c>
      <c r="B969" s="6" t="str">
        <f>IFERROR(__xludf.DUMMYFUNCTION("""COMPUTED_VALUE"""),"gpc_educacion_basica_pib")</f>
        <v>gpc_educacion_basica_pib</v>
      </c>
      <c r="C969" s="6">
        <f>IFERROR(__xludf.DUMMYFUNCTION("""COMPUTED_VALUE"""),3.79508143173662)</f>
        <v>3.795081432</v>
      </c>
      <c r="D969" s="6">
        <v>2011.0</v>
      </c>
      <c r="E969" s="6" t="s">
        <v>41</v>
      </c>
      <c r="F969" s="6">
        <v>3.79508143173662</v>
      </c>
    </row>
    <row r="970">
      <c r="A970" s="9">
        <f>IFERROR(__xludf.DUMMYFUNCTION("""COMPUTED_VALUE"""),40544.0)</f>
        <v>40544</v>
      </c>
      <c r="B970" s="6" t="str">
        <f>IFERROR(__xludf.DUMMYFUNCTION("""COMPUTED_VALUE"""),"gpc_educacion_universitaria_pib")</f>
        <v>gpc_educacion_universitaria_pib</v>
      </c>
      <c r="C970" s="6">
        <f>IFERROR(__xludf.DUMMYFUNCTION("""COMPUTED_VALUE"""),1.17579132661573)</f>
        <v>1.175791327</v>
      </c>
      <c r="D970" s="6">
        <v>2011.0</v>
      </c>
      <c r="E970" s="6" t="s">
        <v>42</v>
      </c>
      <c r="F970" s="6">
        <v>1.17579132661573</v>
      </c>
    </row>
    <row r="971">
      <c r="A971" s="9">
        <f>IFERROR(__xludf.DUMMYFUNCTION("""COMPUTED_VALUE"""),40544.0)</f>
        <v>40544</v>
      </c>
      <c r="B971" s="6" t="str">
        <f>IFERROR(__xludf.DUMMYFUNCTION("""COMPUTED_VALUE"""),"gpc_ciencia_tecnica_pib")</f>
        <v>gpc_ciencia_tecnica_pib</v>
      </c>
      <c r="C971" s="6">
        <f>IFERROR(__xludf.DUMMYFUNCTION("""COMPUTED_VALUE"""),0.267019808386573)</f>
        <v>0.2670198084</v>
      </c>
      <c r="D971" s="6">
        <v>2011.0</v>
      </c>
      <c r="E971" s="6" t="s">
        <v>43</v>
      </c>
      <c r="F971" s="6">
        <v>0.267019808386573</v>
      </c>
    </row>
    <row r="972">
      <c r="A972" s="9">
        <f>IFERROR(__xludf.DUMMYFUNCTION("""COMPUTED_VALUE"""),40544.0)</f>
        <v>40544</v>
      </c>
      <c r="B972" s="6" t="str">
        <f>IFERROR(__xludf.DUMMYFUNCTION("""COMPUTED_VALUE"""),"gpc_cultura_pib")</f>
        <v>gpc_cultura_pib</v>
      </c>
      <c r="C972" s="6">
        <f>IFERROR(__xludf.DUMMYFUNCTION("""COMPUTED_VALUE"""),0.21060460856473)</f>
        <v>0.2106046086</v>
      </c>
      <c r="D972" s="6">
        <v>2011.0</v>
      </c>
      <c r="E972" s="6" t="s">
        <v>44</v>
      </c>
      <c r="F972" s="6">
        <v>0.21060460856473</v>
      </c>
    </row>
    <row r="973">
      <c r="A973" s="9">
        <f>IFERROR(__xludf.DUMMYFUNCTION("""COMPUTED_VALUE"""),40544.0)</f>
        <v>40544</v>
      </c>
      <c r="B973" s="6" t="str">
        <f>IFERROR(__xludf.DUMMYFUNCTION("""COMPUTED_VALUE"""),"gpc_educacion_cultura_sin_discriminar_pib")</f>
        <v>gpc_educacion_cultura_sin_discriminar_pib</v>
      </c>
      <c r="C973" s="6">
        <f>IFERROR(__xludf.DUMMYFUNCTION("""COMPUTED_VALUE"""),0.533993238017419)</f>
        <v>0.533993238</v>
      </c>
      <c r="D973" s="6">
        <v>2011.0</v>
      </c>
      <c r="E973" s="6" t="s">
        <v>45</v>
      </c>
      <c r="F973" s="6">
        <v>0.533993238017419</v>
      </c>
    </row>
    <row r="974">
      <c r="A974" s="9">
        <f>IFERROR(__xludf.DUMMYFUNCTION("""COMPUTED_VALUE"""),40544.0)</f>
        <v>40544</v>
      </c>
      <c r="B974" s="6" t="str">
        <f>IFERROR(__xludf.DUMMYFUNCTION("""COMPUTED_VALUE"""),"gpc_atencion_salud_pib")</f>
        <v>gpc_atencion_salud_pib</v>
      </c>
      <c r="C974" s="6">
        <f>IFERROR(__xludf.DUMMYFUNCTION("""COMPUTED_VALUE"""),2.33914973035098)</f>
        <v>2.33914973</v>
      </c>
      <c r="D974" s="6">
        <v>2011.0</v>
      </c>
      <c r="E974" s="6" t="s">
        <v>46</v>
      </c>
      <c r="F974" s="6">
        <v>2.33914973035098</v>
      </c>
    </row>
    <row r="975">
      <c r="A975" s="9">
        <f>IFERROR(__xludf.DUMMYFUNCTION("""COMPUTED_VALUE"""),40544.0)</f>
        <v>40544</v>
      </c>
      <c r="B975" s="6" t="str">
        <f>IFERROR(__xludf.DUMMYFUNCTION("""COMPUTED_VALUE"""),"gpc_obras_sociales_salud_pib")</f>
        <v>gpc_obras_sociales_salud_pib</v>
      </c>
      <c r="C975" s="6">
        <f>IFERROR(__xludf.DUMMYFUNCTION("""COMPUTED_VALUE"""),2.63952082092299)</f>
        <v>2.639520821</v>
      </c>
      <c r="D975" s="6">
        <v>2011.0</v>
      </c>
      <c r="E975" s="6" t="s">
        <v>47</v>
      </c>
      <c r="F975" s="6">
        <v>2.63952082092299</v>
      </c>
    </row>
    <row r="976">
      <c r="A976" s="9">
        <f>IFERROR(__xludf.DUMMYFUNCTION("""COMPUTED_VALUE"""),40544.0)</f>
        <v>40544</v>
      </c>
      <c r="B976" s="6" t="str">
        <f>IFERROR(__xludf.DUMMYFUNCTION("""COMPUTED_VALUE"""),"gpc_inssjyp_salud_pib")</f>
        <v>gpc_inssjyp_salud_pib</v>
      </c>
      <c r="C976" s="6">
        <f>IFERROR(__xludf.DUMMYFUNCTION("""COMPUTED_VALUE"""),0.808764763067436)</f>
        <v>0.8087647631</v>
      </c>
      <c r="D976" s="6">
        <v>2011.0</v>
      </c>
      <c r="E976" s="6" t="s">
        <v>48</v>
      </c>
      <c r="F976" s="6">
        <v>0.808764763067436</v>
      </c>
    </row>
    <row r="977">
      <c r="A977" s="9">
        <f>IFERROR(__xludf.DUMMYFUNCTION("""COMPUTED_VALUE"""),40544.0)</f>
        <v>40544</v>
      </c>
      <c r="B977" s="6" t="str">
        <f>IFERROR(__xludf.DUMMYFUNCTION("""COMPUTED_VALUE"""),"gpc_agua_alcantarillado_pib")</f>
        <v>gpc_agua_alcantarillado_pib</v>
      </c>
      <c r="C977" s="6">
        <f>IFERROR(__xludf.DUMMYFUNCTION("""COMPUTED_VALUE"""),0.592376592148648)</f>
        <v>0.5923765921</v>
      </c>
      <c r="D977" s="6">
        <v>2011.0</v>
      </c>
      <c r="E977" s="6" t="s">
        <v>49</v>
      </c>
      <c r="F977" s="6">
        <v>0.592376592148648</v>
      </c>
    </row>
    <row r="978">
      <c r="A978" s="9">
        <f>IFERROR(__xludf.DUMMYFUNCTION("""COMPUTED_VALUE"""),40544.0)</f>
        <v>40544</v>
      </c>
      <c r="B978" s="6" t="str">
        <f>IFERROR(__xludf.DUMMYFUNCTION("""COMPUTED_VALUE"""),"gpc_vivienda_urbanismo_pib")</f>
        <v>gpc_vivienda_urbanismo_pib</v>
      </c>
      <c r="C978" s="6">
        <f>IFERROR(__xludf.DUMMYFUNCTION("""COMPUTED_VALUE"""),0.862152709960091)</f>
        <v>0.86215271</v>
      </c>
      <c r="D978" s="6">
        <v>2011.0</v>
      </c>
      <c r="E978" s="6" t="s">
        <v>50</v>
      </c>
      <c r="F978" s="6">
        <v>0.862152709960091</v>
      </c>
    </row>
    <row r="979">
      <c r="A979" s="9">
        <f>IFERROR(__xludf.DUMMYFUNCTION("""COMPUTED_VALUE"""),40544.0)</f>
        <v>40544</v>
      </c>
      <c r="B979" s="6" t="str">
        <f>IFERROR(__xludf.DUMMYFUNCTION("""COMPUTED_VALUE"""),"gpc_promocion_asistencia_social_pib")</f>
        <v>gpc_promocion_asistencia_social_pib</v>
      </c>
      <c r="C979" s="6">
        <f>IFERROR(__xludf.DUMMYFUNCTION("""COMPUTED_VALUE"""),1.2981177965911)</f>
        <v>1.298117797</v>
      </c>
      <c r="D979" s="6">
        <v>2011.0</v>
      </c>
      <c r="E979" s="6" t="s">
        <v>51</v>
      </c>
      <c r="F979" s="6">
        <v>1.2981177965911</v>
      </c>
    </row>
    <row r="980">
      <c r="A980" s="9">
        <f>IFERROR(__xludf.DUMMYFUNCTION("""COMPUTED_VALUE"""),40544.0)</f>
        <v>40544</v>
      </c>
      <c r="B980" s="6" t="str">
        <f>IFERROR(__xludf.DUMMYFUNCTION("""COMPUTED_VALUE"""),"gpc_obras_sociales_prestaciones_pib")</f>
        <v>gpc_obras_sociales_prestaciones_pib</v>
      </c>
      <c r="C980" s="6">
        <f>IFERROR(__xludf.DUMMYFUNCTION("""COMPUTED_VALUE"""),0.13278916375936)</f>
        <v>0.1327891638</v>
      </c>
      <c r="D980" s="6">
        <v>2011.0</v>
      </c>
      <c r="E980" s="6" t="s">
        <v>52</v>
      </c>
      <c r="F980" s="6">
        <v>0.13278916375936</v>
      </c>
    </row>
    <row r="981">
      <c r="A981" s="9">
        <f>IFERROR(__xludf.DUMMYFUNCTION("""COMPUTED_VALUE"""),40544.0)</f>
        <v>40544</v>
      </c>
      <c r="B981" s="6" t="str">
        <f>IFERROR(__xludf.DUMMYFUNCTION("""COMPUTED_VALUE"""),"gpc_inssjyp_prestaciones_pib")</f>
        <v>gpc_inssjyp_prestaciones_pib</v>
      </c>
      <c r="C981" s="6">
        <f>IFERROR(__xludf.DUMMYFUNCTION("""COMPUTED_VALUE"""),0.267985633941978)</f>
        <v>0.2679856339</v>
      </c>
      <c r="D981" s="6">
        <v>2011.0</v>
      </c>
      <c r="E981" s="6" t="s">
        <v>53</v>
      </c>
      <c r="F981" s="6">
        <v>0.267985633941978</v>
      </c>
    </row>
    <row r="982">
      <c r="A982" s="9">
        <f>IFERROR(__xludf.DUMMYFUNCTION("""COMPUTED_VALUE"""),40544.0)</f>
        <v>40544</v>
      </c>
      <c r="B982" s="6" t="str">
        <f>IFERROR(__xludf.DUMMYFUNCTION("""COMPUTED_VALUE"""),"gpc_prevision_social_pib")</f>
        <v>gpc_prevision_social_pib</v>
      </c>
      <c r="C982" s="6">
        <f>IFERROR(__xludf.DUMMYFUNCTION("""COMPUTED_VALUE"""),8.69429912387795)</f>
        <v>8.694299124</v>
      </c>
      <c r="D982" s="6">
        <v>2011.0</v>
      </c>
      <c r="E982" s="6" t="s">
        <v>54</v>
      </c>
      <c r="F982" s="6">
        <v>8.69429912387795</v>
      </c>
    </row>
    <row r="983">
      <c r="A983" s="9">
        <f>IFERROR(__xludf.DUMMYFUNCTION("""COMPUTED_VALUE"""),40544.0)</f>
        <v>40544</v>
      </c>
      <c r="B983" s="6" t="str">
        <f>IFERROR(__xludf.DUMMYFUNCTION("""COMPUTED_VALUE"""),"gpc_programas_empleo_pib")</f>
        <v>gpc_programas_empleo_pib</v>
      </c>
      <c r="C983" s="6">
        <f>IFERROR(__xludf.DUMMYFUNCTION("""COMPUTED_VALUE"""),0.268481186689189)</f>
        <v>0.2684811867</v>
      </c>
      <c r="D983" s="6">
        <v>2011.0</v>
      </c>
      <c r="E983" s="6" t="s">
        <v>55</v>
      </c>
      <c r="F983" s="6">
        <v>0.268481186689189</v>
      </c>
    </row>
    <row r="984">
      <c r="A984" s="9">
        <f>IFERROR(__xludf.DUMMYFUNCTION("""COMPUTED_VALUE"""),40544.0)</f>
        <v>40544</v>
      </c>
      <c r="B984" s="6" t="str">
        <f>IFERROR(__xludf.DUMMYFUNCTION("""COMPUTED_VALUE"""),"gpc_asignaciones_familiares_pib")</f>
        <v>gpc_asignaciones_familiares_pib</v>
      </c>
      <c r="C984" s="6">
        <f>IFERROR(__xludf.DUMMYFUNCTION("""COMPUTED_VALUE"""),0.920404212129387)</f>
        <v>0.9204042121</v>
      </c>
      <c r="D984" s="6">
        <v>2011.0</v>
      </c>
      <c r="E984" s="6" t="s">
        <v>56</v>
      </c>
      <c r="F984" s="6">
        <v>0.920404212129387</v>
      </c>
    </row>
    <row r="985">
      <c r="A985" s="9">
        <f>IFERROR(__xludf.DUMMYFUNCTION("""COMPUTED_VALUE"""),40544.0)</f>
        <v>40544</v>
      </c>
      <c r="B985" s="6" t="str">
        <f>IFERROR(__xludf.DUMMYFUNCTION("""COMPUTED_VALUE"""),"gpc_otros_servicios_urbanos_pib")</f>
        <v>gpc_otros_servicios_urbanos_pib</v>
      </c>
      <c r="C985" s="6">
        <f>IFERROR(__xludf.DUMMYFUNCTION("""COMPUTED_VALUE"""),0.809814222834028)</f>
        <v>0.8098142228</v>
      </c>
      <c r="D985" s="6">
        <v>2011.0</v>
      </c>
      <c r="E985" s="6" t="s">
        <v>57</v>
      </c>
      <c r="F985" s="6">
        <v>0.809814222834028</v>
      </c>
    </row>
    <row r="986">
      <c r="A986" s="9">
        <f>IFERROR(__xludf.DUMMYFUNCTION("""COMPUTED_VALUE"""),40544.0)</f>
        <v>40544</v>
      </c>
      <c r="B986" s="6" t="str">
        <f>IFERROR(__xludf.DUMMYFUNCTION("""COMPUTED_VALUE"""),"gpc_servicios_economicos_pib")</f>
        <v>gpc_servicios_economicos_pib</v>
      </c>
      <c r="C986" s="6">
        <f>IFERROR(__xludf.DUMMYFUNCTION("""COMPUTED_VALUE"""),6.07026267691545)</f>
        <v>6.070262677</v>
      </c>
      <c r="D986" s="6">
        <v>2011.0</v>
      </c>
      <c r="E986" s="6" t="s">
        <v>58</v>
      </c>
      <c r="F986" s="6">
        <v>6.07026267691545</v>
      </c>
    </row>
    <row r="987">
      <c r="A987" s="9">
        <f>IFERROR(__xludf.DUMMYFUNCTION("""COMPUTED_VALUE"""),40544.0)</f>
        <v>40544</v>
      </c>
      <c r="B987" s="6" t="str">
        <f>IFERROR(__xludf.DUMMYFUNCTION("""COMPUTED_VALUE"""),"gpc_produccion_primaria_pib")</f>
        <v>gpc_produccion_primaria_pib</v>
      </c>
      <c r="C987" s="6">
        <f>IFERROR(__xludf.DUMMYFUNCTION("""COMPUTED_VALUE"""),0.527024819315639)</f>
        <v>0.5270248193</v>
      </c>
      <c r="D987" s="6">
        <v>2011.0</v>
      </c>
      <c r="E987" s="6" t="s">
        <v>59</v>
      </c>
      <c r="F987" s="6">
        <v>0.527024819315639</v>
      </c>
    </row>
    <row r="988">
      <c r="A988" s="9">
        <f>IFERROR(__xludf.DUMMYFUNCTION("""COMPUTED_VALUE"""),40544.0)</f>
        <v>40544</v>
      </c>
      <c r="B988" s="6" t="str">
        <f>IFERROR(__xludf.DUMMYFUNCTION("""COMPUTED_VALUE"""),"gpc_energia_combustible_pib")</f>
        <v>gpc_energia_combustible_pib</v>
      </c>
      <c r="C988" s="6">
        <f>IFERROR(__xludf.DUMMYFUNCTION("""COMPUTED_VALUE"""),2.14082342650323)</f>
        <v>2.140823427</v>
      </c>
      <c r="D988" s="6">
        <v>2011.0</v>
      </c>
      <c r="E988" s="6" t="s">
        <v>60</v>
      </c>
      <c r="F988" s="6">
        <v>2.14082342650323</v>
      </c>
    </row>
    <row r="989">
      <c r="A989" s="9">
        <f>IFERROR(__xludf.DUMMYFUNCTION("""COMPUTED_VALUE"""),40544.0)</f>
        <v>40544</v>
      </c>
      <c r="B989" s="6" t="str">
        <f>IFERROR(__xludf.DUMMYFUNCTION("""COMPUTED_VALUE"""),"gpc_industria_pib")</f>
        <v>gpc_industria_pib</v>
      </c>
      <c r="C989" s="6">
        <f>IFERROR(__xludf.DUMMYFUNCTION("""COMPUTED_VALUE"""),0.106799671204601)</f>
        <v>0.1067996712</v>
      </c>
      <c r="D989" s="6">
        <v>2011.0</v>
      </c>
      <c r="E989" s="6" t="s">
        <v>61</v>
      </c>
      <c r="F989" s="6">
        <v>0.106799671204601</v>
      </c>
    </row>
    <row r="990">
      <c r="A990" s="9">
        <f>IFERROR(__xludf.DUMMYFUNCTION("""COMPUTED_VALUE"""),40544.0)</f>
        <v>40544</v>
      </c>
      <c r="B990" s="6" t="str">
        <f>IFERROR(__xludf.DUMMYFUNCTION("""COMPUTED_VALUE"""),"gpc_transporte_pib")</f>
        <v>gpc_transporte_pib</v>
      </c>
      <c r="C990" s="6">
        <f>IFERROR(__xludf.DUMMYFUNCTION("""COMPUTED_VALUE"""),2.75967541265998)</f>
        <v>2.759675413</v>
      </c>
      <c r="D990" s="6">
        <v>2011.0</v>
      </c>
      <c r="E990" s="6" t="s">
        <v>62</v>
      </c>
      <c r="F990" s="6">
        <v>2.75967541265998</v>
      </c>
    </row>
    <row r="991">
      <c r="A991" s="9">
        <f>IFERROR(__xludf.DUMMYFUNCTION("""COMPUTED_VALUE"""),40544.0)</f>
        <v>40544</v>
      </c>
      <c r="B991" s="6" t="str">
        <f>IFERROR(__xludf.DUMMYFUNCTION("""COMPUTED_VALUE"""),"gpc_comunicaciones_pib")</f>
        <v>gpc_comunicaciones_pib</v>
      </c>
      <c r="C991" s="6">
        <f>IFERROR(__xludf.DUMMYFUNCTION("""COMPUTED_VALUE"""),0.239648743347799)</f>
        <v>0.2396487433</v>
      </c>
      <c r="D991" s="6">
        <v>2011.0</v>
      </c>
      <c r="E991" s="6" t="s">
        <v>63</v>
      </c>
      <c r="F991" s="6">
        <v>0.239648743347799</v>
      </c>
    </row>
    <row r="992">
      <c r="A992" s="9">
        <f>IFERROR(__xludf.DUMMYFUNCTION("""COMPUTED_VALUE"""),40544.0)</f>
        <v>40544</v>
      </c>
      <c r="B992" s="6" t="str">
        <f>IFERROR(__xludf.DUMMYFUNCTION("""COMPUTED_VALUE"""),"gpc_otros_servicios_economicos_pib")</f>
        <v>gpc_otros_servicios_economicos_pib</v>
      </c>
      <c r="C992" s="6">
        <f>IFERROR(__xludf.DUMMYFUNCTION("""COMPUTED_VALUE"""),0.296290603884198)</f>
        <v>0.2962906039</v>
      </c>
      <c r="D992" s="6">
        <v>2011.0</v>
      </c>
      <c r="E992" s="6" t="s">
        <v>64</v>
      </c>
      <c r="F992" s="6">
        <v>0.296290603884198</v>
      </c>
    </row>
    <row r="993">
      <c r="A993" s="9">
        <f>IFERROR(__xludf.DUMMYFUNCTION("""COMPUTED_VALUE"""),40544.0)</f>
        <v>40544</v>
      </c>
      <c r="B993" s="6" t="str">
        <f>IFERROR(__xludf.DUMMYFUNCTION("""COMPUTED_VALUE"""),"gpc_servicios_deuda_publica_pib")</f>
        <v>gpc_servicios_deuda_publica_pib</v>
      </c>
      <c r="C993" s="6">
        <f>IFERROR(__xludf.DUMMYFUNCTION("""COMPUTED_VALUE"""),2.08939040094036)</f>
        <v>2.089390401</v>
      </c>
      <c r="D993" s="6">
        <v>2011.0</v>
      </c>
      <c r="E993" s="6" t="s">
        <v>65</v>
      </c>
      <c r="F993" s="6">
        <v>2.08939040094036</v>
      </c>
    </row>
    <row r="994">
      <c r="A994" s="9">
        <f>IFERROR(__xludf.DUMMYFUNCTION("""COMPUTED_VALUE"""),40909.0)</f>
        <v>40909</v>
      </c>
      <c r="B994" s="6" t="str">
        <f>IFERROR(__xludf.DUMMYFUNCTION("""COMPUTED_VALUE"""),"gpc_pib")</f>
        <v>gpc_pib</v>
      </c>
      <c r="C994" s="6">
        <f>IFERROR(__xludf.DUMMYFUNCTION("""COMPUTED_VALUE"""),41.2792167761168)</f>
        <v>41.27921678</v>
      </c>
      <c r="D994" s="6">
        <v>2012.0</v>
      </c>
      <c r="E994" s="6" t="s">
        <v>66</v>
      </c>
      <c r="F994" s="6">
        <v>41.2792167761168</v>
      </c>
    </row>
    <row r="995">
      <c r="A995" s="9">
        <f>IFERROR(__xludf.DUMMYFUNCTION("""COMPUTED_VALUE"""),40909.0)</f>
        <v>40909</v>
      </c>
      <c r="B995" s="6" t="str">
        <f>IFERROR(__xludf.DUMMYFUNCTION("""COMPUTED_VALUE"""),"gpc_funcionamiento_estado_pib")</f>
        <v>gpc_funcionamiento_estado_pib</v>
      </c>
      <c r="C995" s="6">
        <f>IFERROR(__xludf.DUMMYFUNCTION("""COMPUTED_VALUE"""),6.37354153401644)</f>
        <v>6.373541534</v>
      </c>
      <c r="D995" s="6">
        <v>2012.0</v>
      </c>
      <c r="E995" s="6" t="s">
        <v>36</v>
      </c>
      <c r="F995" s="6">
        <v>6.37354153401644</v>
      </c>
    </row>
    <row r="996">
      <c r="A996" s="9">
        <f>IFERROR(__xludf.DUMMYFUNCTION("""COMPUTED_VALUE"""),40909.0)</f>
        <v>40909</v>
      </c>
      <c r="B996" s="6" t="str">
        <f>IFERROR(__xludf.DUMMYFUNCTION("""COMPUTED_VALUE"""),"gpc_administracion_general_pib")</f>
        <v>gpc_administracion_general_pib</v>
      </c>
      <c r="C996" s="6">
        <f>IFERROR(__xludf.DUMMYFUNCTION("""COMPUTED_VALUE"""),2.87155145028602)</f>
        <v>2.87155145</v>
      </c>
      <c r="D996" s="6">
        <v>2012.0</v>
      </c>
      <c r="E996" s="6" t="s">
        <v>37</v>
      </c>
      <c r="F996" s="6">
        <v>2.87155145028602</v>
      </c>
    </row>
    <row r="997">
      <c r="A997" s="9">
        <f>IFERROR(__xludf.DUMMYFUNCTION("""COMPUTED_VALUE"""),40909.0)</f>
        <v>40909</v>
      </c>
      <c r="B997" s="6" t="str">
        <f>IFERROR(__xludf.DUMMYFUNCTION("""COMPUTED_VALUE"""),"gpc_justicia_pib")</f>
        <v>gpc_justicia_pib</v>
      </c>
      <c r="C997" s="6">
        <f>IFERROR(__xludf.DUMMYFUNCTION("""COMPUTED_VALUE"""),0.999645544939294)</f>
        <v>0.9996455449</v>
      </c>
      <c r="D997" s="6">
        <v>2012.0</v>
      </c>
      <c r="E997" s="6" t="s">
        <v>38</v>
      </c>
      <c r="F997" s="6">
        <v>0.999645544939294</v>
      </c>
    </row>
    <row r="998">
      <c r="A998" s="9">
        <f>IFERROR(__xludf.DUMMYFUNCTION("""COMPUTED_VALUE"""),40909.0)</f>
        <v>40909</v>
      </c>
      <c r="B998" s="6" t="str">
        <f>IFERROR(__xludf.DUMMYFUNCTION("""COMPUTED_VALUE"""),"gpc_defensa_seguridad_pib")</f>
        <v>gpc_defensa_seguridad_pib</v>
      </c>
      <c r="C998" s="6">
        <f>IFERROR(__xludf.DUMMYFUNCTION("""COMPUTED_VALUE"""),2.50234453879113)</f>
        <v>2.502344539</v>
      </c>
      <c r="D998" s="6">
        <v>2012.0</v>
      </c>
      <c r="E998" s="6" t="s">
        <v>39</v>
      </c>
      <c r="F998" s="6">
        <v>2.50234453879113</v>
      </c>
    </row>
    <row r="999">
      <c r="A999" s="9">
        <f>IFERROR(__xludf.DUMMYFUNCTION("""COMPUTED_VALUE"""),40909.0)</f>
        <v>40909</v>
      </c>
      <c r="B999" s="6" t="str">
        <f>IFERROR(__xludf.DUMMYFUNCTION("""COMPUTED_VALUE"""),"gpc_servicios_sociales_pib")</f>
        <v>gpc_servicios_sociales_pib</v>
      </c>
      <c r="C999" s="6">
        <f>IFERROR(__xludf.DUMMYFUNCTION("""COMPUTED_VALUE"""),27.0684219147899)</f>
        <v>27.06842191</v>
      </c>
      <c r="D999" s="6">
        <v>2012.0</v>
      </c>
      <c r="E999" s="6" t="s">
        <v>40</v>
      </c>
      <c r="F999" s="6">
        <v>27.0684219147899</v>
      </c>
    </row>
    <row r="1000">
      <c r="A1000" s="9">
        <f>IFERROR(__xludf.DUMMYFUNCTION("""COMPUTED_VALUE"""),40909.0)</f>
        <v>40909</v>
      </c>
      <c r="B1000" s="6" t="str">
        <f>IFERROR(__xludf.DUMMYFUNCTION("""COMPUTED_VALUE"""),"gpc_educacion_basica_pib")</f>
        <v>gpc_educacion_basica_pib</v>
      </c>
      <c r="C1000" s="6">
        <f>IFERROR(__xludf.DUMMYFUNCTION("""COMPUTED_VALUE"""),3.7857832290915)</f>
        <v>3.785783229</v>
      </c>
      <c r="D1000" s="6">
        <v>2012.0</v>
      </c>
      <c r="E1000" s="6" t="s">
        <v>41</v>
      </c>
      <c r="F1000" s="6">
        <v>3.7857832290915</v>
      </c>
    </row>
    <row r="1001">
      <c r="A1001" s="9">
        <f>IFERROR(__xludf.DUMMYFUNCTION("""COMPUTED_VALUE"""),40909.0)</f>
        <v>40909</v>
      </c>
      <c r="B1001" s="6" t="str">
        <f>IFERROR(__xludf.DUMMYFUNCTION("""COMPUTED_VALUE"""),"gpc_educacion_universitaria_pib")</f>
        <v>gpc_educacion_universitaria_pib</v>
      </c>
      <c r="C1001" s="6">
        <f>IFERROR(__xludf.DUMMYFUNCTION("""COMPUTED_VALUE"""),1.22036220820971)</f>
        <v>1.220362208</v>
      </c>
      <c r="D1001" s="6">
        <v>2012.0</v>
      </c>
      <c r="E1001" s="6" t="s">
        <v>42</v>
      </c>
      <c r="F1001" s="6">
        <v>1.22036220820971</v>
      </c>
    </row>
    <row r="1002">
      <c r="A1002" s="9">
        <f>IFERROR(__xludf.DUMMYFUNCTION("""COMPUTED_VALUE"""),40909.0)</f>
        <v>40909</v>
      </c>
      <c r="B1002" s="6" t="str">
        <f>IFERROR(__xludf.DUMMYFUNCTION("""COMPUTED_VALUE"""),"gpc_ciencia_tecnica_pib")</f>
        <v>gpc_ciencia_tecnica_pib</v>
      </c>
      <c r="C1002" s="6">
        <f>IFERROR(__xludf.DUMMYFUNCTION("""COMPUTED_VALUE"""),0.290250621373112)</f>
        <v>0.2902506214</v>
      </c>
      <c r="D1002" s="6">
        <v>2012.0</v>
      </c>
      <c r="E1002" s="6" t="s">
        <v>43</v>
      </c>
      <c r="F1002" s="6">
        <v>0.290250621373112</v>
      </c>
    </row>
    <row r="1003">
      <c r="A1003" s="9">
        <f>IFERROR(__xludf.DUMMYFUNCTION("""COMPUTED_VALUE"""),40909.0)</f>
        <v>40909</v>
      </c>
      <c r="B1003" s="6" t="str">
        <f>IFERROR(__xludf.DUMMYFUNCTION("""COMPUTED_VALUE"""),"gpc_cultura_pib")</f>
        <v>gpc_cultura_pib</v>
      </c>
      <c r="C1003" s="6">
        <f>IFERROR(__xludf.DUMMYFUNCTION("""COMPUTED_VALUE"""),0.219391165294935)</f>
        <v>0.2193911653</v>
      </c>
      <c r="D1003" s="6">
        <v>2012.0</v>
      </c>
      <c r="E1003" s="6" t="s">
        <v>44</v>
      </c>
      <c r="F1003" s="6">
        <v>0.219391165294935</v>
      </c>
    </row>
    <row r="1004">
      <c r="A1004" s="9">
        <f>IFERROR(__xludf.DUMMYFUNCTION("""COMPUTED_VALUE"""),40909.0)</f>
        <v>40909</v>
      </c>
      <c r="B1004" s="6" t="str">
        <f>IFERROR(__xludf.DUMMYFUNCTION("""COMPUTED_VALUE"""),"gpc_educacion_cultura_sin_discriminar_pib")</f>
        <v>gpc_educacion_cultura_sin_discriminar_pib</v>
      </c>
      <c r="C1004" s="6">
        <f>IFERROR(__xludf.DUMMYFUNCTION("""COMPUTED_VALUE"""),0.552274899587658)</f>
        <v>0.5522748996</v>
      </c>
      <c r="D1004" s="6">
        <v>2012.0</v>
      </c>
      <c r="E1004" s="6" t="s">
        <v>45</v>
      </c>
      <c r="F1004" s="6">
        <v>0.552274899587658</v>
      </c>
    </row>
    <row r="1005">
      <c r="A1005" s="9">
        <f>IFERROR(__xludf.DUMMYFUNCTION("""COMPUTED_VALUE"""),40909.0)</f>
        <v>40909</v>
      </c>
      <c r="B1005" s="6" t="str">
        <f>IFERROR(__xludf.DUMMYFUNCTION("""COMPUTED_VALUE"""),"gpc_atencion_salud_pib")</f>
        <v>gpc_atencion_salud_pib</v>
      </c>
      <c r="C1005" s="6">
        <f>IFERROR(__xludf.DUMMYFUNCTION("""COMPUTED_VALUE"""),2.47746457595547)</f>
        <v>2.477464576</v>
      </c>
      <c r="D1005" s="6">
        <v>2012.0</v>
      </c>
      <c r="E1005" s="6" t="s">
        <v>46</v>
      </c>
      <c r="F1005" s="6">
        <v>2.47746457595547</v>
      </c>
    </row>
    <row r="1006">
      <c r="A1006" s="9">
        <f>IFERROR(__xludf.DUMMYFUNCTION("""COMPUTED_VALUE"""),40909.0)</f>
        <v>40909</v>
      </c>
      <c r="B1006" s="6" t="str">
        <f>IFERROR(__xludf.DUMMYFUNCTION("""COMPUTED_VALUE"""),"gpc_obras_sociales_salud_pib")</f>
        <v>gpc_obras_sociales_salud_pib</v>
      </c>
      <c r="C1006" s="6">
        <f>IFERROR(__xludf.DUMMYFUNCTION("""COMPUTED_VALUE"""),2.86079783039664)</f>
        <v>2.86079783</v>
      </c>
      <c r="D1006" s="6">
        <v>2012.0</v>
      </c>
      <c r="E1006" s="6" t="s">
        <v>47</v>
      </c>
      <c r="F1006" s="6">
        <v>2.86079783039664</v>
      </c>
    </row>
    <row r="1007">
      <c r="A1007" s="9">
        <f>IFERROR(__xludf.DUMMYFUNCTION("""COMPUTED_VALUE"""),40909.0)</f>
        <v>40909</v>
      </c>
      <c r="B1007" s="6" t="str">
        <f>IFERROR(__xludf.DUMMYFUNCTION("""COMPUTED_VALUE"""),"gpc_inssjyp_salud_pib")</f>
        <v>gpc_inssjyp_salud_pib</v>
      </c>
      <c r="C1007" s="6">
        <f>IFERROR(__xludf.DUMMYFUNCTION("""COMPUTED_VALUE"""),0.865388817959243)</f>
        <v>0.865388818</v>
      </c>
      <c r="D1007" s="6">
        <v>2012.0</v>
      </c>
      <c r="E1007" s="6" t="s">
        <v>48</v>
      </c>
      <c r="F1007" s="6">
        <v>0.865388817959243</v>
      </c>
    </row>
    <row r="1008">
      <c r="A1008" s="9">
        <f>IFERROR(__xludf.DUMMYFUNCTION("""COMPUTED_VALUE"""),40909.0)</f>
        <v>40909</v>
      </c>
      <c r="B1008" s="6" t="str">
        <f>IFERROR(__xludf.DUMMYFUNCTION("""COMPUTED_VALUE"""),"gpc_agua_alcantarillado_pib")</f>
        <v>gpc_agua_alcantarillado_pib</v>
      </c>
      <c r="C1008" s="6">
        <f>IFERROR(__xludf.DUMMYFUNCTION("""COMPUTED_VALUE"""),0.549946802605142)</f>
        <v>0.5499468026</v>
      </c>
      <c r="D1008" s="6">
        <v>2012.0</v>
      </c>
      <c r="E1008" s="6" t="s">
        <v>49</v>
      </c>
      <c r="F1008" s="6">
        <v>0.549946802605142</v>
      </c>
    </row>
    <row r="1009">
      <c r="A1009" s="9">
        <f>IFERROR(__xludf.DUMMYFUNCTION("""COMPUTED_VALUE"""),40909.0)</f>
        <v>40909</v>
      </c>
      <c r="B1009" s="6" t="str">
        <f>IFERROR(__xludf.DUMMYFUNCTION("""COMPUTED_VALUE"""),"gpc_vivienda_urbanismo_pib")</f>
        <v>gpc_vivienda_urbanismo_pib</v>
      </c>
      <c r="C1009" s="6">
        <f>IFERROR(__xludf.DUMMYFUNCTION("""COMPUTED_VALUE"""),0.791920216867545)</f>
        <v>0.7919202169</v>
      </c>
      <c r="D1009" s="6">
        <v>2012.0</v>
      </c>
      <c r="E1009" s="6" t="s">
        <v>50</v>
      </c>
      <c r="F1009" s="6">
        <v>0.791920216867545</v>
      </c>
    </row>
    <row r="1010">
      <c r="A1010" s="9">
        <f>IFERROR(__xludf.DUMMYFUNCTION("""COMPUTED_VALUE"""),40909.0)</f>
        <v>40909</v>
      </c>
      <c r="B1010" s="6" t="str">
        <f>IFERROR(__xludf.DUMMYFUNCTION("""COMPUTED_VALUE"""),"gpc_promocion_asistencia_social_pib")</f>
        <v>gpc_promocion_asistencia_social_pib</v>
      </c>
      <c r="C1010" s="6">
        <f>IFERROR(__xludf.DUMMYFUNCTION("""COMPUTED_VALUE"""),1.20952500230108)</f>
        <v>1.209525002</v>
      </c>
      <c r="D1010" s="6">
        <v>2012.0</v>
      </c>
      <c r="E1010" s="6" t="s">
        <v>51</v>
      </c>
      <c r="F1010" s="6">
        <v>1.20952500230108</v>
      </c>
    </row>
    <row r="1011">
      <c r="A1011" s="9">
        <f>IFERROR(__xludf.DUMMYFUNCTION("""COMPUTED_VALUE"""),40909.0)</f>
        <v>40909</v>
      </c>
      <c r="B1011" s="6" t="str">
        <f>IFERROR(__xludf.DUMMYFUNCTION("""COMPUTED_VALUE"""),"gpc_obras_sociales_prestaciones_pib")</f>
        <v>gpc_obras_sociales_prestaciones_pib</v>
      </c>
      <c r="C1011" s="6">
        <f>IFERROR(__xludf.DUMMYFUNCTION("""COMPUTED_VALUE"""),0.14684640913013)</f>
        <v>0.1468464091</v>
      </c>
      <c r="D1011" s="6">
        <v>2012.0</v>
      </c>
      <c r="E1011" s="6" t="s">
        <v>52</v>
      </c>
      <c r="F1011" s="6">
        <v>0.14684640913013</v>
      </c>
    </row>
    <row r="1012">
      <c r="A1012" s="9">
        <f>IFERROR(__xludf.DUMMYFUNCTION("""COMPUTED_VALUE"""),40909.0)</f>
        <v>40909</v>
      </c>
      <c r="B1012" s="6" t="str">
        <f>IFERROR(__xludf.DUMMYFUNCTION("""COMPUTED_VALUE"""),"gpc_inssjyp_prestaciones_pib")</f>
        <v>gpc_inssjyp_prestaciones_pib</v>
      </c>
      <c r="C1012" s="6">
        <f>IFERROR(__xludf.DUMMYFUNCTION("""COMPUTED_VALUE"""),0.283833890458772)</f>
        <v>0.2838338905</v>
      </c>
      <c r="D1012" s="6">
        <v>2012.0</v>
      </c>
      <c r="E1012" s="6" t="s">
        <v>53</v>
      </c>
      <c r="F1012" s="6">
        <v>0.283833890458772</v>
      </c>
    </row>
    <row r="1013">
      <c r="A1013" s="9">
        <f>IFERROR(__xludf.DUMMYFUNCTION("""COMPUTED_VALUE"""),40909.0)</f>
        <v>40909</v>
      </c>
      <c r="B1013" s="6" t="str">
        <f>IFERROR(__xludf.DUMMYFUNCTION("""COMPUTED_VALUE"""),"gpc_prevision_social_pib")</f>
        <v>gpc_prevision_social_pib</v>
      </c>
      <c r="C1013" s="6">
        <f>IFERROR(__xludf.DUMMYFUNCTION("""COMPUTED_VALUE"""),9.85252065200945)</f>
        <v>9.852520652</v>
      </c>
      <c r="D1013" s="6">
        <v>2012.0</v>
      </c>
      <c r="E1013" s="6" t="s">
        <v>54</v>
      </c>
      <c r="F1013" s="6">
        <v>9.85252065200945</v>
      </c>
    </row>
    <row r="1014">
      <c r="A1014" s="9">
        <f>IFERROR(__xludf.DUMMYFUNCTION("""COMPUTED_VALUE"""),40909.0)</f>
        <v>40909</v>
      </c>
      <c r="B1014" s="6" t="str">
        <f>IFERROR(__xludf.DUMMYFUNCTION("""COMPUTED_VALUE"""),"gpc_programas_empleo_pib")</f>
        <v>gpc_programas_empleo_pib</v>
      </c>
      <c r="C1014" s="6">
        <f>IFERROR(__xludf.DUMMYFUNCTION("""COMPUTED_VALUE"""),0.254669584923563)</f>
        <v>0.2546695849</v>
      </c>
      <c r="D1014" s="6">
        <v>2012.0</v>
      </c>
      <c r="E1014" s="6" t="s">
        <v>55</v>
      </c>
      <c r="F1014" s="6">
        <v>0.254669584923563</v>
      </c>
    </row>
    <row r="1015">
      <c r="A1015" s="9">
        <f>IFERROR(__xludf.DUMMYFUNCTION("""COMPUTED_VALUE"""),40909.0)</f>
        <v>40909</v>
      </c>
      <c r="B1015" s="6" t="str">
        <f>IFERROR(__xludf.DUMMYFUNCTION("""COMPUTED_VALUE"""),"gpc_asignaciones_familiares_pib")</f>
        <v>gpc_asignaciones_familiares_pib</v>
      </c>
      <c r="C1015" s="6">
        <f>IFERROR(__xludf.DUMMYFUNCTION("""COMPUTED_VALUE"""),0.864368635182414)</f>
        <v>0.8643686352</v>
      </c>
      <c r="D1015" s="6">
        <v>2012.0</v>
      </c>
      <c r="E1015" s="6" t="s">
        <v>56</v>
      </c>
      <c r="F1015" s="6">
        <v>0.864368635182414</v>
      </c>
    </row>
    <row r="1016">
      <c r="A1016" s="9">
        <f>IFERROR(__xludf.DUMMYFUNCTION("""COMPUTED_VALUE"""),40909.0)</f>
        <v>40909</v>
      </c>
      <c r="B1016" s="6" t="str">
        <f>IFERROR(__xludf.DUMMYFUNCTION("""COMPUTED_VALUE"""),"gpc_otros_servicios_urbanos_pib")</f>
        <v>gpc_otros_servicios_urbanos_pib</v>
      </c>
      <c r="C1016" s="6">
        <f>IFERROR(__xludf.DUMMYFUNCTION("""COMPUTED_VALUE"""),0.843077373443594)</f>
        <v>0.8430773734</v>
      </c>
      <c r="D1016" s="6">
        <v>2012.0</v>
      </c>
      <c r="E1016" s="6" t="s">
        <v>57</v>
      </c>
      <c r="F1016" s="6">
        <v>0.843077373443594</v>
      </c>
    </row>
    <row r="1017">
      <c r="A1017" s="9">
        <f>IFERROR(__xludf.DUMMYFUNCTION("""COMPUTED_VALUE"""),40909.0)</f>
        <v>40909</v>
      </c>
      <c r="B1017" s="6" t="str">
        <f>IFERROR(__xludf.DUMMYFUNCTION("""COMPUTED_VALUE"""),"gpc_servicios_economicos_pib")</f>
        <v>gpc_servicios_economicos_pib</v>
      </c>
      <c r="C1017" s="6">
        <f>IFERROR(__xludf.DUMMYFUNCTION("""COMPUTED_VALUE"""),5.8035798910798)</f>
        <v>5.803579891</v>
      </c>
      <c r="D1017" s="6">
        <v>2012.0</v>
      </c>
      <c r="E1017" s="6" t="s">
        <v>58</v>
      </c>
      <c r="F1017" s="6">
        <v>5.8035798910798</v>
      </c>
    </row>
    <row r="1018">
      <c r="A1018" s="9">
        <f>IFERROR(__xludf.DUMMYFUNCTION("""COMPUTED_VALUE"""),40909.0)</f>
        <v>40909</v>
      </c>
      <c r="B1018" s="6" t="str">
        <f>IFERROR(__xludf.DUMMYFUNCTION("""COMPUTED_VALUE"""),"gpc_produccion_primaria_pib")</f>
        <v>gpc_produccion_primaria_pib</v>
      </c>
      <c r="C1018" s="6">
        <f>IFERROR(__xludf.DUMMYFUNCTION("""COMPUTED_VALUE"""),0.466310013118507)</f>
        <v>0.4663100131</v>
      </c>
      <c r="D1018" s="6">
        <v>2012.0</v>
      </c>
      <c r="E1018" s="6" t="s">
        <v>59</v>
      </c>
      <c r="F1018" s="6">
        <v>0.466310013118507</v>
      </c>
    </row>
    <row r="1019">
      <c r="A1019" s="9">
        <f>IFERROR(__xludf.DUMMYFUNCTION("""COMPUTED_VALUE"""),40909.0)</f>
        <v>40909</v>
      </c>
      <c r="B1019" s="6" t="str">
        <f>IFERROR(__xludf.DUMMYFUNCTION("""COMPUTED_VALUE"""),"gpc_energia_combustible_pib")</f>
        <v>gpc_energia_combustible_pib</v>
      </c>
      <c r="C1019" s="6">
        <f>IFERROR(__xludf.DUMMYFUNCTION("""COMPUTED_VALUE"""),2.27528737263334)</f>
        <v>2.275287373</v>
      </c>
      <c r="D1019" s="6">
        <v>2012.0</v>
      </c>
      <c r="E1019" s="6" t="s">
        <v>60</v>
      </c>
      <c r="F1019" s="6">
        <v>2.27528737263334</v>
      </c>
    </row>
    <row r="1020">
      <c r="A1020" s="9">
        <f>IFERROR(__xludf.DUMMYFUNCTION("""COMPUTED_VALUE"""),40909.0)</f>
        <v>40909</v>
      </c>
      <c r="B1020" s="6" t="str">
        <f>IFERROR(__xludf.DUMMYFUNCTION("""COMPUTED_VALUE"""),"gpc_industria_pib")</f>
        <v>gpc_industria_pib</v>
      </c>
      <c r="C1020" s="6">
        <f>IFERROR(__xludf.DUMMYFUNCTION("""COMPUTED_VALUE"""),0.114741987019433)</f>
        <v>0.114741987</v>
      </c>
      <c r="D1020" s="6">
        <v>2012.0</v>
      </c>
      <c r="E1020" s="6" t="s">
        <v>61</v>
      </c>
      <c r="F1020" s="6">
        <v>0.114741987019433</v>
      </c>
    </row>
    <row r="1021">
      <c r="A1021" s="9">
        <f>IFERROR(__xludf.DUMMYFUNCTION("""COMPUTED_VALUE"""),40909.0)</f>
        <v>40909</v>
      </c>
      <c r="B1021" s="6" t="str">
        <f>IFERROR(__xludf.DUMMYFUNCTION("""COMPUTED_VALUE"""),"gpc_transporte_pib")</f>
        <v>gpc_transporte_pib</v>
      </c>
      <c r="C1021" s="6">
        <f>IFERROR(__xludf.DUMMYFUNCTION("""COMPUTED_VALUE"""),2.46005471937284)</f>
        <v>2.460054719</v>
      </c>
      <c r="D1021" s="6">
        <v>2012.0</v>
      </c>
      <c r="E1021" s="6" t="s">
        <v>62</v>
      </c>
      <c r="F1021" s="6">
        <v>2.46005471937284</v>
      </c>
    </row>
    <row r="1022">
      <c r="A1022" s="9">
        <f>IFERROR(__xludf.DUMMYFUNCTION("""COMPUTED_VALUE"""),40909.0)</f>
        <v>40909</v>
      </c>
      <c r="B1022" s="6" t="str">
        <f>IFERROR(__xludf.DUMMYFUNCTION("""COMPUTED_VALUE"""),"gpc_comunicaciones_pib")</f>
        <v>gpc_comunicaciones_pib</v>
      </c>
      <c r="C1022" s="6">
        <f>IFERROR(__xludf.DUMMYFUNCTION("""COMPUTED_VALUE"""),0.243859872864445)</f>
        <v>0.2438598729</v>
      </c>
      <c r="D1022" s="6">
        <v>2012.0</v>
      </c>
      <c r="E1022" s="6" t="s">
        <v>63</v>
      </c>
      <c r="F1022" s="6">
        <v>0.243859872864445</v>
      </c>
    </row>
    <row r="1023">
      <c r="A1023" s="9">
        <f>IFERROR(__xludf.DUMMYFUNCTION("""COMPUTED_VALUE"""),40909.0)</f>
        <v>40909</v>
      </c>
      <c r="B1023" s="6" t="str">
        <f>IFERROR(__xludf.DUMMYFUNCTION("""COMPUTED_VALUE"""),"gpc_otros_servicios_economicos_pib")</f>
        <v>gpc_otros_servicios_economicos_pib</v>
      </c>
      <c r="C1023" s="6">
        <f>IFERROR(__xludf.DUMMYFUNCTION("""COMPUTED_VALUE"""),0.243325926071235)</f>
        <v>0.2433259261</v>
      </c>
      <c r="D1023" s="6">
        <v>2012.0</v>
      </c>
      <c r="E1023" s="6" t="s">
        <v>64</v>
      </c>
      <c r="F1023" s="6">
        <v>0.243325926071235</v>
      </c>
    </row>
    <row r="1024">
      <c r="A1024" s="9">
        <f>IFERROR(__xludf.DUMMYFUNCTION("""COMPUTED_VALUE"""),40909.0)</f>
        <v>40909</v>
      </c>
      <c r="B1024" s="6" t="str">
        <f>IFERROR(__xludf.DUMMYFUNCTION("""COMPUTED_VALUE"""),"gpc_servicios_deuda_publica_pib")</f>
        <v>gpc_servicios_deuda_publica_pib</v>
      </c>
      <c r="C1024" s="6">
        <f>IFERROR(__xludf.DUMMYFUNCTION("""COMPUTED_VALUE"""),2.03367343623061)</f>
        <v>2.033673436</v>
      </c>
      <c r="D1024" s="6">
        <v>2012.0</v>
      </c>
      <c r="E1024" s="6" t="s">
        <v>65</v>
      </c>
      <c r="F1024" s="6">
        <v>2.03367343623061</v>
      </c>
    </row>
    <row r="1025">
      <c r="A1025" s="9">
        <f>IFERROR(__xludf.DUMMYFUNCTION("""COMPUTED_VALUE"""),41275.0)</f>
        <v>41275</v>
      </c>
      <c r="B1025" s="6" t="str">
        <f>IFERROR(__xludf.DUMMYFUNCTION("""COMPUTED_VALUE"""),"gpc_pib")</f>
        <v>gpc_pib</v>
      </c>
      <c r="C1025" s="6">
        <f>IFERROR(__xludf.DUMMYFUNCTION("""COMPUTED_VALUE"""),42.8562285902841)</f>
        <v>42.85622859</v>
      </c>
      <c r="D1025" s="6">
        <v>2013.0</v>
      </c>
      <c r="E1025" s="6" t="s">
        <v>66</v>
      </c>
      <c r="F1025" s="6">
        <v>42.8562285902841</v>
      </c>
    </row>
    <row r="1026">
      <c r="A1026" s="9">
        <f>IFERROR(__xludf.DUMMYFUNCTION("""COMPUTED_VALUE"""),41275.0)</f>
        <v>41275</v>
      </c>
      <c r="B1026" s="6" t="str">
        <f>IFERROR(__xludf.DUMMYFUNCTION("""COMPUTED_VALUE"""),"gpc_funcionamiento_estado_pib")</f>
        <v>gpc_funcionamiento_estado_pib</v>
      </c>
      <c r="C1026" s="6">
        <f>IFERROR(__xludf.DUMMYFUNCTION("""COMPUTED_VALUE"""),6.71435502866873)</f>
        <v>6.714355029</v>
      </c>
      <c r="D1026" s="6">
        <v>2013.0</v>
      </c>
      <c r="E1026" s="6" t="s">
        <v>36</v>
      </c>
      <c r="F1026" s="6">
        <v>6.71435502866873</v>
      </c>
    </row>
    <row r="1027">
      <c r="A1027" s="9">
        <f>IFERROR(__xludf.DUMMYFUNCTION("""COMPUTED_VALUE"""),41275.0)</f>
        <v>41275</v>
      </c>
      <c r="B1027" s="6" t="str">
        <f>IFERROR(__xludf.DUMMYFUNCTION("""COMPUTED_VALUE"""),"gpc_administracion_general_pib")</f>
        <v>gpc_administracion_general_pib</v>
      </c>
      <c r="C1027" s="6">
        <f>IFERROR(__xludf.DUMMYFUNCTION("""COMPUTED_VALUE"""),3.07813169764686)</f>
        <v>3.078131698</v>
      </c>
      <c r="D1027" s="6">
        <v>2013.0</v>
      </c>
      <c r="E1027" s="6" t="s">
        <v>37</v>
      </c>
      <c r="F1027" s="6">
        <v>3.07813169764686</v>
      </c>
    </row>
    <row r="1028">
      <c r="A1028" s="9">
        <f>IFERROR(__xludf.DUMMYFUNCTION("""COMPUTED_VALUE"""),41275.0)</f>
        <v>41275</v>
      </c>
      <c r="B1028" s="6" t="str">
        <f>IFERROR(__xludf.DUMMYFUNCTION("""COMPUTED_VALUE"""),"gpc_justicia_pib")</f>
        <v>gpc_justicia_pib</v>
      </c>
      <c r="C1028" s="6">
        <f>IFERROR(__xludf.DUMMYFUNCTION("""COMPUTED_VALUE"""),1.05339982574793)</f>
        <v>1.053399826</v>
      </c>
      <c r="D1028" s="6">
        <v>2013.0</v>
      </c>
      <c r="E1028" s="6" t="s">
        <v>38</v>
      </c>
      <c r="F1028" s="6">
        <v>1.05339982574793</v>
      </c>
    </row>
    <row r="1029">
      <c r="A1029" s="9">
        <f>IFERROR(__xludf.DUMMYFUNCTION("""COMPUTED_VALUE"""),41275.0)</f>
        <v>41275</v>
      </c>
      <c r="B1029" s="6" t="str">
        <f>IFERROR(__xludf.DUMMYFUNCTION("""COMPUTED_VALUE"""),"gpc_defensa_seguridad_pib")</f>
        <v>gpc_defensa_seguridad_pib</v>
      </c>
      <c r="C1029" s="6">
        <f>IFERROR(__xludf.DUMMYFUNCTION("""COMPUTED_VALUE"""),2.58282350527393)</f>
        <v>2.582823505</v>
      </c>
      <c r="D1029" s="6">
        <v>2013.0</v>
      </c>
      <c r="E1029" s="6" t="s">
        <v>39</v>
      </c>
      <c r="F1029" s="6">
        <v>2.58282350527393</v>
      </c>
    </row>
    <row r="1030">
      <c r="A1030" s="9">
        <f>IFERROR(__xludf.DUMMYFUNCTION("""COMPUTED_VALUE"""),41275.0)</f>
        <v>41275</v>
      </c>
      <c r="B1030" s="6" t="str">
        <f>IFERROR(__xludf.DUMMYFUNCTION("""COMPUTED_VALUE"""),"gpc_servicios_sociales_pib")</f>
        <v>gpc_servicios_sociales_pib</v>
      </c>
      <c r="C1030" s="6">
        <f>IFERROR(__xludf.DUMMYFUNCTION("""COMPUTED_VALUE"""),28.2194821071402)</f>
        <v>28.21948211</v>
      </c>
      <c r="D1030" s="6">
        <v>2013.0</v>
      </c>
      <c r="E1030" s="6" t="s">
        <v>40</v>
      </c>
      <c r="F1030" s="6">
        <v>28.2194821071402</v>
      </c>
    </row>
    <row r="1031">
      <c r="A1031" s="9">
        <f>IFERROR(__xludf.DUMMYFUNCTION("""COMPUTED_VALUE"""),41275.0)</f>
        <v>41275</v>
      </c>
      <c r="B1031" s="6" t="str">
        <f>IFERROR(__xludf.DUMMYFUNCTION("""COMPUTED_VALUE"""),"gpc_educacion_basica_pib")</f>
        <v>gpc_educacion_basica_pib</v>
      </c>
      <c r="C1031" s="6">
        <f>IFERROR(__xludf.DUMMYFUNCTION("""COMPUTED_VALUE"""),3.92883555795354)</f>
        <v>3.928835558</v>
      </c>
      <c r="D1031" s="6">
        <v>2013.0</v>
      </c>
      <c r="E1031" s="6" t="s">
        <v>41</v>
      </c>
      <c r="F1031" s="6">
        <v>3.92883555795354</v>
      </c>
    </row>
    <row r="1032">
      <c r="A1032" s="9">
        <f>IFERROR(__xludf.DUMMYFUNCTION("""COMPUTED_VALUE"""),41275.0)</f>
        <v>41275</v>
      </c>
      <c r="B1032" s="6" t="str">
        <f>IFERROR(__xludf.DUMMYFUNCTION("""COMPUTED_VALUE"""),"gpc_educacion_universitaria_pib")</f>
        <v>gpc_educacion_universitaria_pib</v>
      </c>
      <c r="C1032" s="6">
        <f>IFERROR(__xludf.DUMMYFUNCTION("""COMPUTED_VALUE"""),1.23515274795896)</f>
        <v>1.235152748</v>
      </c>
      <c r="D1032" s="6">
        <v>2013.0</v>
      </c>
      <c r="E1032" s="6" t="s">
        <v>42</v>
      </c>
      <c r="F1032" s="6">
        <v>1.23515274795896</v>
      </c>
    </row>
    <row r="1033">
      <c r="A1033" s="9">
        <f>IFERROR(__xludf.DUMMYFUNCTION("""COMPUTED_VALUE"""),41275.0)</f>
        <v>41275</v>
      </c>
      <c r="B1033" s="6" t="str">
        <f>IFERROR(__xludf.DUMMYFUNCTION("""COMPUTED_VALUE"""),"gpc_ciencia_tecnica_pib")</f>
        <v>gpc_ciencia_tecnica_pib</v>
      </c>
      <c r="C1033" s="6">
        <f>IFERROR(__xludf.DUMMYFUNCTION("""COMPUTED_VALUE"""),0.310621814330149)</f>
        <v>0.3106218143</v>
      </c>
      <c r="D1033" s="6">
        <v>2013.0</v>
      </c>
      <c r="E1033" s="6" t="s">
        <v>43</v>
      </c>
      <c r="F1033" s="6">
        <v>0.310621814330149</v>
      </c>
    </row>
    <row r="1034">
      <c r="A1034" s="9">
        <f>IFERROR(__xludf.DUMMYFUNCTION("""COMPUTED_VALUE"""),41275.0)</f>
        <v>41275</v>
      </c>
      <c r="B1034" s="6" t="str">
        <f>IFERROR(__xludf.DUMMYFUNCTION("""COMPUTED_VALUE"""),"gpc_cultura_pib")</f>
        <v>gpc_cultura_pib</v>
      </c>
      <c r="C1034" s="6">
        <f>IFERROR(__xludf.DUMMYFUNCTION("""COMPUTED_VALUE"""),0.246371197230376)</f>
        <v>0.2463711972</v>
      </c>
      <c r="D1034" s="6">
        <v>2013.0</v>
      </c>
      <c r="E1034" s="6" t="s">
        <v>44</v>
      </c>
      <c r="F1034" s="6">
        <v>0.246371197230376</v>
      </c>
    </row>
    <row r="1035">
      <c r="A1035" s="9">
        <f>IFERROR(__xludf.DUMMYFUNCTION("""COMPUTED_VALUE"""),41275.0)</f>
        <v>41275</v>
      </c>
      <c r="B1035" s="6" t="str">
        <f>IFERROR(__xludf.DUMMYFUNCTION("""COMPUTED_VALUE"""),"gpc_educacion_cultura_sin_discriminar_pib")</f>
        <v>gpc_educacion_cultura_sin_discriminar_pib</v>
      </c>
      <c r="C1035" s="6">
        <f>IFERROR(__xludf.DUMMYFUNCTION("""COMPUTED_VALUE"""),0.530207299774902)</f>
        <v>0.5302072998</v>
      </c>
      <c r="D1035" s="6">
        <v>2013.0</v>
      </c>
      <c r="E1035" s="6" t="s">
        <v>45</v>
      </c>
      <c r="F1035" s="6">
        <v>0.530207299774902</v>
      </c>
    </row>
    <row r="1036">
      <c r="A1036" s="9">
        <f>IFERROR(__xludf.DUMMYFUNCTION("""COMPUTED_VALUE"""),41275.0)</f>
        <v>41275</v>
      </c>
      <c r="B1036" s="6" t="str">
        <f>IFERROR(__xludf.DUMMYFUNCTION("""COMPUTED_VALUE"""),"gpc_atencion_salud_pib")</f>
        <v>gpc_atencion_salud_pib</v>
      </c>
      <c r="C1036" s="6">
        <f>IFERROR(__xludf.DUMMYFUNCTION("""COMPUTED_VALUE"""),2.58122407520883)</f>
        <v>2.581224075</v>
      </c>
      <c r="D1036" s="6">
        <v>2013.0</v>
      </c>
      <c r="E1036" s="6" t="s">
        <v>46</v>
      </c>
      <c r="F1036" s="6">
        <v>2.58122407520883</v>
      </c>
    </row>
    <row r="1037">
      <c r="A1037" s="9">
        <f>IFERROR(__xludf.DUMMYFUNCTION("""COMPUTED_VALUE"""),41275.0)</f>
        <v>41275</v>
      </c>
      <c r="B1037" s="6" t="str">
        <f>IFERROR(__xludf.DUMMYFUNCTION("""COMPUTED_VALUE"""),"gpc_obras_sociales_salud_pib")</f>
        <v>gpc_obras_sociales_salud_pib</v>
      </c>
      <c r="C1037" s="6">
        <f>IFERROR(__xludf.DUMMYFUNCTION("""COMPUTED_VALUE"""),2.92108408786786)</f>
        <v>2.921084088</v>
      </c>
      <c r="D1037" s="6">
        <v>2013.0</v>
      </c>
      <c r="E1037" s="6" t="s">
        <v>47</v>
      </c>
      <c r="F1037" s="6">
        <v>2.92108408786786</v>
      </c>
    </row>
    <row r="1038">
      <c r="A1038" s="9">
        <f>IFERROR(__xludf.DUMMYFUNCTION("""COMPUTED_VALUE"""),41275.0)</f>
        <v>41275</v>
      </c>
      <c r="B1038" s="6" t="str">
        <f>IFERROR(__xludf.DUMMYFUNCTION("""COMPUTED_VALUE"""),"gpc_inssjyp_salud_pib")</f>
        <v>gpc_inssjyp_salud_pib</v>
      </c>
      <c r="C1038" s="6">
        <f>IFERROR(__xludf.DUMMYFUNCTION("""COMPUTED_VALUE"""),0.874741788392174)</f>
        <v>0.8747417884</v>
      </c>
      <c r="D1038" s="6">
        <v>2013.0</v>
      </c>
      <c r="E1038" s="6" t="s">
        <v>48</v>
      </c>
      <c r="F1038" s="6">
        <v>0.874741788392174</v>
      </c>
    </row>
    <row r="1039">
      <c r="A1039" s="9">
        <f>IFERROR(__xludf.DUMMYFUNCTION("""COMPUTED_VALUE"""),41275.0)</f>
        <v>41275</v>
      </c>
      <c r="B1039" s="6" t="str">
        <f>IFERROR(__xludf.DUMMYFUNCTION("""COMPUTED_VALUE"""),"gpc_agua_alcantarillado_pib")</f>
        <v>gpc_agua_alcantarillado_pib</v>
      </c>
      <c r="C1039" s="6">
        <f>IFERROR(__xludf.DUMMYFUNCTION("""COMPUTED_VALUE"""),0.534331517041921)</f>
        <v>0.534331517</v>
      </c>
      <c r="D1039" s="6">
        <v>2013.0</v>
      </c>
      <c r="E1039" s="6" t="s">
        <v>49</v>
      </c>
      <c r="F1039" s="6">
        <v>0.534331517041921</v>
      </c>
    </row>
    <row r="1040">
      <c r="A1040" s="9">
        <f>IFERROR(__xludf.DUMMYFUNCTION("""COMPUTED_VALUE"""),41275.0)</f>
        <v>41275</v>
      </c>
      <c r="B1040" s="6" t="str">
        <f>IFERROR(__xludf.DUMMYFUNCTION("""COMPUTED_VALUE"""),"gpc_vivienda_urbanismo_pib")</f>
        <v>gpc_vivienda_urbanismo_pib</v>
      </c>
      <c r="C1040" s="6">
        <f>IFERROR(__xludf.DUMMYFUNCTION("""COMPUTED_VALUE"""),1.0495225387391)</f>
        <v>1.049522539</v>
      </c>
      <c r="D1040" s="6">
        <v>2013.0</v>
      </c>
      <c r="E1040" s="6" t="s">
        <v>50</v>
      </c>
      <c r="F1040" s="6">
        <v>1.0495225387391</v>
      </c>
    </row>
    <row r="1041">
      <c r="A1041" s="9">
        <f>IFERROR(__xludf.DUMMYFUNCTION("""COMPUTED_VALUE"""),41275.0)</f>
        <v>41275</v>
      </c>
      <c r="B1041" s="6" t="str">
        <f>IFERROR(__xludf.DUMMYFUNCTION("""COMPUTED_VALUE"""),"gpc_promocion_asistencia_social_pib")</f>
        <v>gpc_promocion_asistencia_social_pib</v>
      </c>
      <c r="C1041" s="6">
        <f>IFERROR(__xludf.DUMMYFUNCTION("""COMPUTED_VALUE"""),1.20231694136732)</f>
        <v>1.202316941</v>
      </c>
      <c r="D1041" s="6">
        <v>2013.0</v>
      </c>
      <c r="E1041" s="6" t="s">
        <v>51</v>
      </c>
      <c r="F1041" s="6">
        <v>1.20231694136732</v>
      </c>
    </row>
    <row r="1042">
      <c r="A1042" s="9">
        <f>IFERROR(__xludf.DUMMYFUNCTION("""COMPUTED_VALUE"""),41275.0)</f>
        <v>41275</v>
      </c>
      <c r="B1042" s="6" t="str">
        <f>IFERROR(__xludf.DUMMYFUNCTION("""COMPUTED_VALUE"""),"gpc_obras_sociales_prestaciones_pib")</f>
        <v>gpc_obras_sociales_prestaciones_pib</v>
      </c>
      <c r="C1042" s="6">
        <f>IFERROR(__xludf.DUMMYFUNCTION("""COMPUTED_VALUE"""),0.14876356597332)</f>
        <v>0.148763566</v>
      </c>
      <c r="D1042" s="6">
        <v>2013.0</v>
      </c>
      <c r="E1042" s="6" t="s">
        <v>52</v>
      </c>
      <c r="F1042" s="6">
        <v>0.14876356597332</v>
      </c>
    </row>
    <row r="1043">
      <c r="A1043" s="9">
        <f>IFERROR(__xludf.DUMMYFUNCTION("""COMPUTED_VALUE"""),41275.0)</f>
        <v>41275</v>
      </c>
      <c r="B1043" s="6" t="str">
        <f>IFERROR(__xludf.DUMMYFUNCTION("""COMPUTED_VALUE"""),"gpc_inssjyp_prestaciones_pib")</f>
        <v>gpc_inssjyp_prestaciones_pib</v>
      </c>
      <c r="C1043" s="6">
        <f>IFERROR(__xludf.DUMMYFUNCTION("""COMPUTED_VALUE"""),0.258637678502808)</f>
        <v>0.2586376785</v>
      </c>
      <c r="D1043" s="6">
        <v>2013.0</v>
      </c>
      <c r="E1043" s="6" t="s">
        <v>53</v>
      </c>
      <c r="F1043" s="6">
        <v>0.258637678502808</v>
      </c>
    </row>
    <row r="1044">
      <c r="A1044" s="9">
        <f>IFERROR(__xludf.DUMMYFUNCTION("""COMPUTED_VALUE"""),41275.0)</f>
        <v>41275</v>
      </c>
      <c r="B1044" s="6" t="str">
        <f>IFERROR(__xludf.DUMMYFUNCTION("""COMPUTED_VALUE"""),"gpc_prevision_social_pib")</f>
        <v>gpc_prevision_social_pib</v>
      </c>
      <c r="C1044" s="6">
        <f>IFERROR(__xludf.DUMMYFUNCTION("""COMPUTED_VALUE"""),10.2788332596298)</f>
        <v>10.27883326</v>
      </c>
      <c r="D1044" s="6">
        <v>2013.0</v>
      </c>
      <c r="E1044" s="6" t="s">
        <v>54</v>
      </c>
      <c r="F1044" s="6">
        <v>10.2788332596298</v>
      </c>
    </row>
    <row r="1045">
      <c r="A1045" s="9">
        <f>IFERROR(__xludf.DUMMYFUNCTION("""COMPUTED_VALUE"""),41275.0)</f>
        <v>41275</v>
      </c>
      <c r="B1045" s="6" t="str">
        <f>IFERROR(__xludf.DUMMYFUNCTION("""COMPUTED_VALUE"""),"gpc_programas_empleo_pib")</f>
        <v>gpc_programas_empleo_pib</v>
      </c>
      <c r="C1045" s="6">
        <f>IFERROR(__xludf.DUMMYFUNCTION("""COMPUTED_VALUE"""),0.247447444746234)</f>
        <v>0.2474474447</v>
      </c>
      <c r="D1045" s="6">
        <v>2013.0</v>
      </c>
      <c r="E1045" s="6" t="s">
        <v>55</v>
      </c>
      <c r="F1045" s="6">
        <v>0.247447444746234</v>
      </c>
    </row>
    <row r="1046">
      <c r="A1046" s="9">
        <f>IFERROR(__xludf.DUMMYFUNCTION("""COMPUTED_VALUE"""),41275.0)</f>
        <v>41275</v>
      </c>
      <c r="B1046" s="6" t="str">
        <f>IFERROR(__xludf.DUMMYFUNCTION("""COMPUTED_VALUE"""),"gpc_asignaciones_familiares_pib")</f>
        <v>gpc_asignaciones_familiares_pib</v>
      </c>
      <c r="C1046" s="6">
        <f>IFERROR(__xludf.DUMMYFUNCTION("""COMPUTED_VALUE"""),0.939759551225438)</f>
        <v>0.9397595512</v>
      </c>
      <c r="D1046" s="6">
        <v>2013.0</v>
      </c>
      <c r="E1046" s="6" t="s">
        <v>56</v>
      </c>
      <c r="F1046" s="6">
        <v>0.939759551225438</v>
      </c>
    </row>
    <row r="1047">
      <c r="A1047" s="9">
        <f>IFERROR(__xludf.DUMMYFUNCTION("""COMPUTED_VALUE"""),41275.0)</f>
        <v>41275</v>
      </c>
      <c r="B1047" s="6" t="str">
        <f>IFERROR(__xludf.DUMMYFUNCTION("""COMPUTED_VALUE"""),"gpc_otros_servicios_urbanos_pib")</f>
        <v>gpc_otros_servicios_urbanos_pib</v>
      </c>
      <c r="C1047" s="6">
        <f>IFERROR(__xludf.DUMMYFUNCTION("""COMPUTED_VALUE"""),0.931631041197384)</f>
        <v>0.9316310412</v>
      </c>
      <c r="D1047" s="6">
        <v>2013.0</v>
      </c>
      <c r="E1047" s="6" t="s">
        <v>57</v>
      </c>
      <c r="F1047" s="6">
        <v>0.931631041197384</v>
      </c>
    </row>
    <row r="1048">
      <c r="A1048" s="9">
        <f>IFERROR(__xludf.DUMMYFUNCTION("""COMPUTED_VALUE"""),41275.0)</f>
        <v>41275</v>
      </c>
      <c r="B1048" s="6" t="str">
        <f>IFERROR(__xludf.DUMMYFUNCTION("""COMPUTED_VALUE"""),"gpc_servicios_economicos_pib")</f>
        <v>gpc_servicios_economicos_pib</v>
      </c>
      <c r="C1048" s="6">
        <f>IFERROR(__xludf.DUMMYFUNCTION("""COMPUTED_VALUE"""),6.36574238972535)</f>
        <v>6.36574239</v>
      </c>
      <c r="D1048" s="6">
        <v>2013.0</v>
      </c>
      <c r="E1048" s="6" t="s">
        <v>58</v>
      </c>
      <c r="F1048" s="6">
        <v>6.36574238972535</v>
      </c>
    </row>
    <row r="1049">
      <c r="A1049" s="9">
        <f>IFERROR(__xludf.DUMMYFUNCTION("""COMPUTED_VALUE"""),41275.0)</f>
        <v>41275</v>
      </c>
      <c r="B1049" s="6" t="str">
        <f>IFERROR(__xludf.DUMMYFUNCTION("""COMPUTED_VALUE"""),"gpc_produccion_primaria_pib")</f>
        <v>gpc_produccion_primaria_pib</v>
      </c>
      <c r="C1049" s="6">
        <f>IFERROR(__xludf.DUMMYFUNCTION("""COMPUTED_VALUE"""),0.47414623459641)</f>
        <v>0.4741462346</v>
      </c>
      <c r="D1049" s="6">
        <v>2013.0</v>
      </c>
      <c r="E1049" s="6" t="s">
        <v>59</v>
      </c>
      <c r="F1049" s="6">
        <v>0.47414623459641</v>
      </c>
    </row>
    <row r="1050">
      <c r="A1050" s="9">
        <f>IFERROR(__xludf.DUMMYFUNCTION("""COMPUTED_VALUE"""),41275.0)</f>
        <v>41275</v>
      </c>
      <c r="B1050" s="6" t="str">
        <f>IFERROR(__xludf.DUMMYFUNCTION("""COMPUTED_VALUE"""),"gpc_energia_combustible_pib")</f>
        <v>gpc_energia_combustible_pib</v>
      </c>
      <c r="C1050" s="6">
        <f>IFERROR(__xludf.DUMMYFUNCTION("""COMPUTED_VALUE"""),2.8321603202579)</f>
        <v>2.83216032</v>
      </c>
      <c r="D1050" s="6">
        <v>2013.0</v>
      </c>
      <c r="E1050" s="6" t="s">
        <v>60</v>
      </c>
      <c r="F1050" s="6">
        <v>2.8321603202579</v>
      </c>
    </row>
    <row r="1051">
      <c r="A1051" s="9">
        <f>IFERROR(__xludf.DUMMYFUNCTION("""COMPUTED_VALUE"""),41275.0)</f>
        <v>41275</v>
      </c>
      <c r="B1051" s="6" t="str">
        <f>IFERROR(__xludf.DUMMYFUNCTION("""COMPUTED_VALUE"""),"gpc_industria_pib")</f>
        <v>gpc_industria_pib</v>
      </c>
      <c r="C1051" s="6">
        <f>IFERROR(__xludf.DUMMYFUNCTION("""COMPUTED_VALUE"""),0.119452344367908)</f>
        <v>0.1194523444</v>
      </c>
      <c r="D1051" s="6">
        <v>2013.0</v>
      </c>
      <c r="E1051" s="6" t="s">
        <v>61</v>
      </c>
      <c r="F1051" s="6">
        <v>0.119452344367908</v>
      </c>
    </row>
    <row r="1052">
      <c r="A1052" s="9">
        <f>IFERROR(__xludf.DUMMYFUNCTION("""COMPUTED_VALUE"""),41275.0)</f>
        <v>41275</v>
      </c>
      <c r="B1052" s="6" t="str">
        <f>IFERROR(__xludf.DUMMYFUNCTION("""COMPUTED_VALUE"""),"gpc_transporte_pib")</f>
        <v>gpc_transporte_pib</v>
      </c>
      <c r="C1052" s="6">
        <f>IFERROR(__xludf.DUMMYFUNCTION("""COMPUTED_VALUE"""),2.43112800339494)</f>
        <v>2.431128003</v>
      </c>
      <c r="D1052" s="6">
        <v>2013.0</v>
      </c>
      <c r="E1052" s="6" t="s">
        <v>62</v>
      </c>
      <c r="F1052" s="6">
        <v>2.43112800339494</v>
      </c>
    </row>
    <row r="1053">
      <c r="A1053" s="9">
        <f>IFERROR(__xludf.DUMMYFUNCTION("""COMPUTED_VALUE"""),41275.0)</f>
        <v>41275</v>
      </c>
      <c r="B1053" s="6" t="str">
        <f>IFERROR(__xludf.DUMMYFUNCTION("""COMPUTED_VALUE"""),"gpc_comunicaciones_pib")</f>
        <v>gpc_comunicaciones_pib</v>
      </c>
      <c r="C1053" s="6">
        <f>IFERROR(__xludf.DUMMYFUNCTION("""COMPUTED_VALUE"""),0.264007221989727)</f>
        <v>0.264007222</v>
      </c>
      <c r="D1053" s="6">
        <v>2013.0</v>
      </c>
      <c r="E1053" s="6" t="s">
        <v>63</v>
      </c>
      <c r="F1053" s="6">
        <v>0.264007221989727</v>
      </c>
    </row>
    <row r="1054">
      <c r="A1054" s="9">
        <f>IFERROR(__xludf.DUMMYFUNCTION("""COMPUTED_VALUE"""),41275.0)</f>
        <v>41275</v>
      </c>
      <c r="B1054" s="6" t="str">
        <f>IFERROR(__xludf.DUMMYFUNCTION("""COMPUTED_VALUE"""),"gpc_otros_servicios_economicos_pib")</f>
        <v>gpc_otros_servicios_economicos_pib</v>
      </c>
      <c r="C1054" s="6">
        <f>IFERROR(__xludf.DUMMYFUNCTION("""COMPUTED_VALUE"""),0.24484826511846)</f>
        <v>0.2448482651</v>
      </c>
      <c r="D1054" s="6">
        <v>2013.0</v>
      </c>
      <c r="E1054" s="6" t="s">
        <v>64</v>
      </c>
      <c r="F1054" s="6">
        <v>0.24484826511846</v>
      </c>
    </row>
    <row r="1055">
      <c r="A1055" s="9">
        <f>IFERROR(__xludf.DUMMYFUNCTION("""COMPUTED_VALUE"""),41275.0)</f>
        <v>41275</v>
      </c>
      <c r="B1055" s="6" t="str">
        <f>IFERROR(__xludf.DUMMYFUNCTION("""COMPUTED_VALUE"""),"gpc_servicios_deuda_publica_pib")</f>
        <v>gpc_servicios_deuda_publica_pib</v>
      </c>
      <c r="C1055" s="6">
        <f>IFERROR(__xludf.DUMMYFUNCTION("""COMPUTED_VALUE"""),1.55664906474987)</f>
        <v>1.556649065</v>
      </c>
      <c r="D1055" s="6">
        <v>2013.0</v>
      </c>
      <c r="E1055" s="6" t="s">
        <v>65</v>
      </c>
      <c r="F1055" s="6">
        <v>1.55664906474987</v>
      </c>
    </row>
    <row r="1056">
      <c r="A1056" s="9">
        <f>IFERROR(__xludf.DUMMYFUNCTION("""COMPUTED_VALUE"""),41640.0)</f>
        <v>41640</v>
      </c>
      <c r="B1056" s="6" t="str">
        <f>IFERROR(__xludf.DUMMYFUNCTION("""COMPUTED_VALUE"""),"gpc_pib")</f>
        <v>gpc_pib</v>
      </c>
      <c r="C1056" s="6">
        <f>IFERROR(__xludf.DUMMYFUNCTION("""COMPUTED_VALUE"""),44.9934368480996)</f>
        <v>44.99343685</v>
      </c>
      <c r="D1056" s="6">
        <v>2014.0</v>
      </c>
      <c r="E1056" s="6" t="s">
        <v>66</v>
      </c>
      <c r="F1056" s="6">
        <v>44.9934368480996</v>
      </c>
    </row>
    <row r="1057">
      <c r="A1057" s="9">
        <f>IFERROR(__xludf.DUMMYFUNCTION("""COMPUTED_VALUE"""),41640.0)</f>
        <v>41640</v>
      </c>
      <c r="B1057" s="6" t="str">
        <f>IFERROR(__xludf.DUMMYFUNCTION("""COMPUTED_VALUE"""),"gpc_funcionamiento_estado_pib")</f>
        <v>gpc_funcionamiento_estado_pib</v>
      </c>
      <c r="C1057" s="6">
        <f>IFERROR(__xludf.DUMMYFUNCTION("""COMPUTED_VALUE"""),6.89700996444676)</f>
        <v>6.897009964</v>
      </c>
      <c r="D1057" s="6">
        <v>2014.0</v>
      </c>
      <c r="E1057" s="6" t="s">
        <v>36</v>
      </c>
      <c r="F1057" s="6">
        <v>6.89700996444676</v>
      </c>
    </row>
    <row r="1058">
      <c r="A1058" s="9">
        <f>IFERROR(__xludf.DUMMYFUNCTION("""COMPUTED_VALUE"""),41640.0)</f>
        <v>41640</v>
      </c>
      <c r="B1058" s="6" t="str">
        <f>IFERROR(__xludf.DUMMYFUNCTION("""COMPUTED_VALUE"""),"gpc_administracion_general_pib")</f>
        <v>gpc_administracion_general_pib</v>
      </c>
      <c r="C1058" s="6">
        <f>IFERROR(__xludf.DUMMYFUNCTION("""COMPUTED_VALUE"""),2.96520895206414)</f>
        <v>2.965208952</v>
      </c>
      <c r="D1058" s="6">
        <v>2014.0</v>
      </c>
      <c r="E1058" s="6" t="s">
        <v>37</v>
      </c>
      <c r="F1058" s="6">
        <v>2.96520895206414</v>
      </c>
    </row>
    <row r="1059">
      <c r="A1059" s="9">
        <f>IFERROR(__xludf.DUMMYFUNCTION("""COMPUTED_VALUE"""),41640.0)</f>
        <v>41640</v>
      </c>
      <c r="B1059" s="6" t="str">
        <f>IFERROR(__xludf.DUMMYFUNCTION("""COMPUTED_VALUE"""),"gpc_justicia_pib")</f>
        <v>gpc_justicia_pib</v>
      </c>
      <c r="C1059" s="6">
        <f>IFERROR(__xludf.DUMMYFUNCTION("""COMPUTED_VALUE"""),1.06879641846102)</f>
        <v>1.068796418</v>
      </c>
      <c r="D1059" s="6">
        <v>2014.0</v>
      </c>
      <c r="E1059" s="6" t="s">
        <v>38</v>
      </c>
      <c r="F1059" s="6">
        <v>1.06879641846102</v>
      </c>
    </row>
    <row r="1060">
      <c r="A1060" s="9">
        <f>IFERROR(__xludf.DUMMYFUNCTION("""COMPUTED_VALUE"""),41640.0)</f>
        <v>41640</v>
      </c>
      <c r="B1060" s="6" t="str">
        <f>IFERROR(__xludf.DUMMYFUNCTION("""COMPUTED_VALUE"""),"gpc_defensa_seguridad_pib")</f>
        <v>gpc_defensa_seguridad_pib</v>
      </c>
      <c r="C1060" s="6">
        <f>IFERROR(__xludf.DUMMYFUNCTION("""COMPUTED_VALUE"""),2.86300459392159)</f>
        <v>2.863004594</v>
      </c>
      <c r="D1060" s="6">
        <v>2014.0</v>
      </c>
      <c r="E1060" s="6" t="s">
        <v>39</v>
      </c>
      <c r="F1060" s="6">
        <v>2.86300459392159</v>
      </c>
    </row>
    <row r="1061">
      <c r="A1061" s="9">
        <f>IFERROR(__xludf.DUMMYFUNCTION("""COMPUTED_VALUE"""),41640.0)</f>
        <v>41640</v>
      </c>
      <c r="B1061" s="6" t="str">
        <f>IFERROR(__xludf.DUMMYFUNCTION("""COMPUTED_VALUE"""),"gpc_servicios_sociales_pib")</f>
        <v>gpc_servicios_sociales_pib</v>
      </c>
      <c r="C1061" s="6">
        <f>IFERROR(__xludf.DUMMYFUNCTION("""COMPUTED_VALUE"""),28.1591030924479)</f>
        <v>28.15910309</v>
      </c>
      <c r="D1061" s="6">
        <v>2014.0</v>
      </c>
      <c r="E1061" s="6" t="s">
        <v>40</v>
      </c>
      <c r="F1061" s="6">
        <v>28.1591030924479</v>
      </c>
    </row>
    <row r="1062">
      <c r="A1062" s="9">
        <f>IFERROR(__xludf.DUMMYFUNCTION("""COMPUTED_VALUE"""),41640.0)</f>
        <v>41640</v>
      </c>
      <c r="B1062" s="6" t="str">
        <f>IFERROR(__xludf.DUMMYFUNCTION("""COMPUTED_VALUE"""),"gpc_educacion_basica_pib")</f>
        <v>gpc_educacion_basica_pib</v>
      </c>
      <c r="C1062" s="6">
        <f>IFERROR(__xludf.DUMMYFUNCTION("""COMPUTED_VALUE"""),3.84417236953944)</f>
        <v>3.84417237</v>
      </c>
      <c r="D1062" s="6">
        <v>2014.0</v>
      </c>
      <c r="E1062" s="6" t="s">
        <v>41</v>
      </c>
      <c r="F1062" s="6">
        <v>3.84417236953944</v>
      </c>
    </row>
    <row r="1063">
      <c r="A1063" s="9">
        <f>IFERROR(__xludf.DUMMYFUNCTION("""COMPUTED_VALUE"""),41640.0)</f>
        <v>41640</v>
      </c>
      <c r="B1063" s="6" t="str">
        <f>IFERROR(__xludf.DUMMYFUNCTION("""COMPUTED_VALUE"""),"gpc_educacion_universitaria_pib")</f>
        <v>gpc_educacion_universitaria_pib</v>
      </c>
      <c r="C1063" s="6">
        <f>IFERROR(__xludf.DUMMYFUNCTION("""COMPUTED_VALUE"""),1.24012165317015)</f>
        <v>1.240121653</v>
      </c>
      <c r="D1063" s="6">
        <v>2014.0</v>
      </c>
      <c r="E1063" s="6" t="s">
        <v>42</v>
      </c>
      <c r="F1063" s="6">
        <v>1.24012165317015</v>
      </c>
    </row>
    <row r="1064">
      <c r="A1064" s="9">
        <f>IFERROR(__xludf.DUMMYFUNCTION("""COMPUTED_VALUE"""),41640.0)</f>
        <v>41640</v>
      </c>
      <c r="B1064" s="6" t="str">
        <f>IFERROR(__xludf.DUMMYFUNCTION("""COMPUTED_VALUE"""),"gpc_ciencia_tecnica_pib")</f>
        <v>gpc_ciencia_tecnica_pib</v>
      </c>
      <c r="C1064" s="6">
        <f>IFERROR(__xludf.DUMMYFUNCTION("""COMPUTED_VALUE"""),0.320104671098529)</f>
        <v>0.3201046711</v>
      </c>
      <c r="D1064" s="6">
        <v>2014.0</v>
      </c>
      <c r="E1064" s="6" t="s">
        <v>43</v>
      </c>
      <c r="F1064" s="6">
        <v>0.320104671098529</v>
      </c>
    </row>
    <row r="1065">
      <c r="A1065" s="9">
        <f>IFERROR(__xludf.DUMMYFUNCTION("""COMPUTED_VALUE"""),41640.0)</f>
        <v>41640</v>
      </c>
      <c r="B1065" s="6" t="str">
        <f>IFERROR(__xludf.DUMMYFUNCTION("""COMPUTED_VALUE"""),"gpc_cultura_pib")</f>
        <v>gpc_cultura_pib</v>
      </c>
      <c r="C1065" s="6">
        <f>IFERROR(__xludf.DUMMYFUNCTION("""COMPUTED_VALUE"""),0.242176620882502)</f>
        <v>0.2421766209</v>
      </c>
      <c r="D1065" s="6">
        <v>2014.0</v>
      </c>
      <c r="E1065" s="6" t="s">
        <v>44</v>
      </c>
      <c r="F1065" s="6">
        <v>0.242176620882502</v>
      </c>
    </row>
    <row r="1066">
      <c r="A1066" s="9">
        <f>IFERROR(__xludf.DUMMYFUNCTION("""COMPUTED_VALUE"""),41640.0)</f>
        <v>41640</v>
      </c>
      <c r="B1066" s="6" t="str">
        <f>IFERROR(__xludf.DUMMYFUNCTION("""COMPUTED_VALUE"""),"gpc_educacion_cultura_sin_discriminar_pib")</f>
        <v>gpc_educacion_cultura_sin_discriminar_pib</v>
      </c>
      <c r="C1066" s="6">
        <f>IFERROR(__xludf.DUMMYFUNCTION("""COMPUTED_VALUE"""),0.582097075405689)</f>
        <v>0.5820970754</v>
      </c>
      <c r="D1066" s="6">
        <v>2014.0</v>
      </c>
      <c r="E1066" s="6" t="s">
        <v>45</v>
      </c>
      <c r="F1066" s="6">
        <v>0.582097075405689</v>
      </c>
    </row>
    <row r="1067">
      <c r="A1067" s="9">
        <f>IFERROR(__xludf.DUMMYFUNCTION("""COMPUTED_VALUE"""),41640.0)</f>
        <v>41640</v>
      </c>
      <c r="B1067" s="6" t="str">
        <f>IFERROR(__xludf.DUMMYFUNCTION("""COMPUTED_VALUE"""),"gpc_atencion_salud_pib")</f>
        <v>gpc_atencion_salud_pib</v>
      </c>
      <c r="C1067" s="6">
        <f>IFERROR(__xludf.DUMMYFUNCTION("""COMPUTED_VALUE"""),2.59061192726714)</f>
        <v>2.590611927</v>
      </c>
      <c r="D1067" s="6">
        <v>2014.0</v>
      </c>
      <c r="E1067" s="6" t="s">
        <v>46</v>
      </c>
      <c r="F1067" s="6">
        <v>2.59061192726714</v>
      </c>
    </row>
    <row r="1068">
      <c r="A1068" s="9">
        <f>IFERROR(__xludf.DUMMYFUNCTION("""COMPUTED_VALUE"""),41640.0)</f>
        <v>41640</v>
      </c>
      <c r="B1068" s="6" t="str">
        <f>IFERROR(__xludf.DUMMYFUNCTION("""COMPUTED_VALUE"""),"gpc_obras_sociales_salud_pib")</f>
        <v>gpc_obras_sociales_salud_pib</v>
      </c>
      <c r="C1068" s="6">
        <f>IFERROR(__xludf.DUMMYFUNCTION("""COMPUTED_VALUE"""),2.8301507867398)</f>
        <v>2.830150787</v>
      </c>
      <c r="D1068" s="6">
        <v>2014.0</v>
      </c>
      <c r="E1068" s="6" t="s">
        <v>47</v>
      </c>
      <c r="F1068" s="6">
        <v>2.8301507867398</v>
      </c>
    </row>
    <row r="1069">
      <c r="A1069" s="9">
        <f>IFERROR(__xludf.DUMMYFUNCTION("""COMPUTED_VALUE"""),41640.0)</f>
        <v>41640</v>
      </c>
      <c r="B1069" s="6" t="str">
        <f>IFERROR(__xludf.DUMMYFUNCTION("""COMPUTED_VALUE"""),"gpc_inssjyp_salud_pib")</f>
        <v>gpc_inssjyp_salud_pib</v>
      </c>
      <c r="C1069" s="6">
        <f>IFERROR(__xludf.DUMMYFUNCTION("""COMPUTED_VALUE"""),1.05082482272118)</f>
        <v>1.050824823</v>
      </c>
      <c r="D1069" s="6">
        <v>2014.0</v>
      </c>
      <c r="E1069" s="6" t="s">
        <v>48</v>
      </c>
      <c r="F1069" s="6">
        <v>1.05082482272118</v>
      </c>
    </row>
    <row r="1070">
      <c r="A1070" s="9">
        <f>IFERROR(__xludf.DUMMYFUNCTION("""COMPUTED_VALUE"""),41640.0)</f>
        <v>41640</v>
      </c>
      <c r="B1070" s="6" t="str">
        <f>IFERROR(__xludf.DUMMYFUNCTION("""COMPUTED_VALUE"""),"gpc_agua_alcantarillado_pib")</f>
        <v>gpc_agua_alcantarillado_pib</v>
      </c>
      <c r="C1070" s="6">
        <f>IFERROR(__xludf.DUMMYFUNCTION("""COMPUTED_VALUE"""),0.587270415234709)</f>
        <v>0.5872704152</v>
      </c>
      <c r="D1070" s="6">
        <v>2014.0</v>
      </c>
      <c r="E1070" s="6" t="s">
        <v>49</v>
      </c>
      <c r="F1070" s="6">
        <v>0.587270415234709</v>
      </c>
    </row>
    <row r="1071">
      <c r="A1071" s="9">
        <f>IFERROR(__xludf.DUMMYFUNCTION("""COMPUTED_VALUE"""),41640.0)</f>
        <v>41640</v>
      </c>
      <c r="B1071" s="6" t="str">
        <f>IFERROR(__xludf.DUMMYFUNCTION("""COMPUTED_VALUE"""),"gpc_vivienda_urbanismo_pib")</f>
        <v>gpc_vivienda_urbanismo_pib</v>
      </c>
      <c r="C1071" s="6">
        <f>IFERROR(__xludf.DUMMYFUNCTION("""COMPUTED_VALUE"""),1.10818676371841)</f>
        <v>1.108186764</v>
      </c>
      <c r="D1071" s="6">
        <v>2014.0</v>
      </c>
      <c r="E1071" s="6" t="s">
        <v>50</v>
      </c>
      <c r="F1071" s="6">
        <v>1.10818676371841</v>
      </c>
    </row>
    <row r="1072">
      <c r="A1072" s="9">
        <f>IFERROR(__xludf.DUMMYFUNCTION("""COMPUTED_VALUE"""),41640.0)</f>
        <v>41640</v>
      </c>
      <c r="B1072" s="6" t="str">
        <f>IFERROR(__xludf.DUMMYFUNCTION("""COMPUTED_VALUE"""),"gpc_promocion_asistencia_social_pib")</f>
        <v>gpc_promocion_asistencia_social_pib</v>
      </c>
      <c r="C1072" s="6">
        <f>IFERROR(__xludf.DUMMYFUNCTION("""COMPUTED_VALUE"""),1.24330871595293)</f>
        <v>1.243308716</v>
      </c>
      <c r="D1072" s="6">
        <v>2014.0</v>
      </c>
      <c r="E1072" s="6" t="s">
        <v>51</v>
      </c>
      <c r="F1072" s="6">
        <v>1.24330871595293</v>
      </c>
    </row>
    <row r="1073">
      <c r="A1073" s="9">
        <f>IFERROR(__xludf.DUMMYFUNCTION("""COMPUTED_VALUE"""),41640.0)</f>
        <v>41640</v>
      </c>
      <c r="B1073" s="6" t="str">
        <f>IFERROR(__xludf.DUMMYFUNCTION("""COMPUTED_VALUE"""),"gpc_obras_sociales_prestaciones_pib")</f>
        <v>gpc_obras_sociales_prestaciones_pib</v>
      </c>
      <c r="C1073" s="6">
        <f>IFERROR(__xludf.DUMMYFUNCTION("""COMPUTED_VALUE"""),0.143194370412969)</f>
        <v>0.1431943704</v>
      </c>
      <c r="D1073" s="6">
        <v>2014.0</v>
      </c>
      <c r="E1073" s="6" t="s">
        <v>52</v>
      </c>
      <c r="F1073" s="6">
        <v>0.143194370412969</v>
      </c>
    </row>
    <row r="1074">
      <c r="A1074" s="9">
        <f>IFERROR(__xludf.DUMMYFUNCTION("""COMPUTED_VALUE"""),41640.0)</f>
        <v>41640</v>
      </c>
      <c r="B1074" s="6" t="str">
        <f>IFERROR(__xludf.DUMMYFUNCTION("""COMPUTED_VALUE"""),"gpc_inssjyp_prestaciones_pib")</f>
        <v>gpc_inssjyp_prestaciones_pib</v>
      </c>
      <c r="C1074" s="6">
        <f>IFERROR(__xludf.DUMMYFUNCTION("""COMPUTED_VALUE"""),0.118256398430384)</f>
        <v>0.1182563984</v>
      </c>
      <c r="D1074" s="6">
        <v>2014.0</v>
      </c>
      <c r="E1074" s="6" t="s">
        <v>53</v>
      </c>
      <c r="F1074" s="6">
        <v>0.118256398430384</v>
      </c>
    </row>
    <row r="1075">
      <c r="A1075" s="9">
        <f>IFERROR(__xludf.DUMMYFUNCTION("""COMPUTED_VALUE"""),41640.0)</f>
        <v>41640</v>
      </c>
      <c r="B1075" s="6" t="str">
        <f>IFERROR(__xludf.DUMMYFUNCTION("""COMPUTED_VALUE"""),"gpc_prevision_social_pib")</f>
        <v>gpc_prevision_social_pib</v>
      </c>
      <c r="C1075" s="6">
        <f>IFERROR(__xludf.DUMMYFUNCTION("""COMPUTED_VALUE"""),10.114980867808)</f>
        <v>10.11498087</v>
      </c>
      <c r="D1075" s="6">
        <v>2014.0</v>
      </c>
      <c r="E1075" s="6" t="s">
        <v>54</v>
      </c>
      <c r="F1075" s="6">
        <v>10.114980867808</v>
      </c>
    </row>
    <row r="1076">
      <c r="A1076" s="9">
        <f>IFERROR(__xludf.DUMMYFUNCTION("""COMPUTED_VALUE"""),41640.0)</f>
        <v>41640</v>
      </c>
      <c r="B1076" s="6" t="str">
        <f>IFERROR(__xludf.DUMMYFUNCTION("""COMPUTED_VALUE"""),"gpc_programas_empleo_pib")</f>
        <v>gpc_programas_empleo_pib</v>
      </c>
      <c r="C1076" s="6">
        <f>IFERROR(__xludf.DUMMYFUNCTION("""COMPUTED_VALUE"""),0.222169319310221)</f>
        <v>0.2221693193</v>
      </c>
      <c r="D1076" s="6">
        <v>2014.0</v>
      </c>
      <c r="E1076" s="6" t="s">
        <v>55</v>
      </c>
      <c r="F1076" s="6">
        <v>0.222169319310221</v>
      </c>
    </row>
    <row r="1077">
      <c r="A1077" s="9">
        <f>IFERROR(__xludf.DUMMYFUNCTION("""COMPUTED_VALUE"""),41640.0)</f>
        <v>41640</v>
      </c>
      <c r="B1077" s="6" t="str">
        <f>IFERROR(__xludf.DUMMYFUNCTION("""COMPUTED_VALUE"""),"gpc_asignaciones_familiares_pib")</f>
        <v>gpc_asignaciones_familiares_pib</v>
      </c>
      <c r="C1077" s="6">
        <f>IFERROR(__xludf.DUMMYFUNCTION("""COMPUTED_VALUE"""),0.96582858869896)</f>
        <v>0.9658285887</v>
      </c>
      <c r="D1077" s="6">
        <v>2014.0</v>
      </c>
      <c r="E1077" s="6" t="s">
        <v>56</v>
      </c>
      <c r="F1077" s="6">
        <v>0.96582858869896</v>
      </c>
    </row>
    <row r="1078">
      <c r="A1078" s="9">
        <f>IFERROR(__xludf.DUMMYFUNCTION("""COMPUTED_VALUE"""),41640.0)</f>
        <v>41640</v>
      </c>
      <c r="B1078" s="6" t="str">
        <f>IFERROR(__xludf.DUMMYFUNCTION("""COMPUTED_VALUE"""),"gpc_otros_servicios_urbanos_pib")</f>
        <v>gpc_otros_servicios_urbanos_pib</v>
      </c>
      <c r="C1078" s="6">
        <f>IFERROR(__xludf.DUMMYFUNCTION("""COMPUTED_VALUE"""),0.955647726056811)</f>
        <v>0.9556477261</v>
      </c>
      <c r="D1078" s="6">
        <v>2014.0</v>
      </c>
      <c r="E1078" s="6" t="s">
        <v>57</v>
      </c>
      <c r="F1078" s="6">
        <v>0.955647726056811</v>
      </c>
    </row>
    <row r="1079">
      <c r="A1079" s="9">
        <f>IFERROR(__xludf.DUMMYFUNCTION("""COMPUTED_VALUE"""),41640.0)</f>
        <v>41640</v>
      </c>
      <c r="B1079" s="6" t="str">
        <f>IFERROR(__xludf.DUMMYFUNCTION("""COMPUTED_VALUE"""),"gpc_servicios_economicos_pib")</f>
        <v>gpc_servicios_economicos_pib</v>
      </c>
      <c r="C1079" s="6">
        <f>IFERROR(__xludf.DUMMYFUNCTION("""COMPUTED_VALUE"""),7.78734782852031)</f>
        <v>7.787347829</v>
      </c>
      <c r="D1079" s="6">
        <v>2014.0</v>
      </c>
      <c r="E1079" s="6" t="s">
        <v>58</v>
      </c>
      <c r="F1079" s="6">
        <v>7.78734782852031</v>
      </c>
    </row>
    <row r="1080">
      <c r="A1080" s="9">
        <f>IFERROR(__xludf.DUMMYFUNCTION("""COMPUTED_VALUE"""),41640.0)</f>
        <v>41640</v>
      </c>
      <c r="B1080" s="6" t="str">
        <f>IFERROR(__xludf.DUMMYFUNCTION("""COMPUTED_VALUE"""),"gpc_produccion_primaria_pib")</f>
        <v>gpc_produccion_primaria_pib</v>
      </c>
      <c r="C1080" s="6">
        <f>IFERROR(__xludf.DUMMYFUNCTION("""COMPUTED_VALUE"""),0.407052737399189)</f>
        <v>0.4070527374</v>
      </c>
      <c r="D1080" s="6">
        <v>2014.0</v>
      </c>
      <c r="E1080" s="6" t="s">
        <v>59</v>
      </c>
      <c r="F1080" s="6">
        <v>0.407052737399189</v>
      </c>
    </row>
    <row r="1081">
      <c r="A1081" s="9">
        <f>IFERROR(__xludf.DUMMYFUNCTION("""COMPUTED_VALUE"""),41640.0)</f>
        <v>41640</v>
      </c>
      <c r="B1081" s="6" t="str">
        <f>IFERROR(__xludf.DUMMYFUNCTION("""COMPUTED_VALUE"""),"gpc_energia_combustible_pib")</f>
        <v>gpc_energia_combustible_pib</v>
      </c>
      <c r="C1081" s="6">
        <f>IFERROR(__xludf.DUMMYFUNCTION("""COMPUTED_VALUE"""),4.38183638943482)</f>
        <v>4.381836389</v>
      </c>
      <c r="D1081" s="6">
        <v>2014.0</v>
      </c>
      <c r="E1081" s="6" t="s">
        <v>60</v>
      </c>
      <c r="F1081" s="6">
        <v>4.38183638943482</v>
      </c>
    </row>
    <row r="1082">
      <c r="A1082" s="9">
        <f>IFERROR(__xludf.DUMMYFUNCTION("""COMPUTED_VALUE"""),41640.0)</f>
        <v>41640</v>
      </c>
      <c r="B1082" s="6" t="str">
        <f>IFERROR(__xludf.DUMMYFUNCTION("""COMPUTED_VALUE"""),"gpc_industria_pib")</f>
        <v>gpc_industria_pib</v>
      </c>
      <c r="C1082" s="6">
        <f>IFERROR(__xludf.DUMMYFUNCTION("""COMPUTED_VALUE"""),0.130930925447883)</f>
        <v>0.1309309254</v>
      </c>
      <c r="D1082" s="6">
        <v>2014.0</v>
      </c>
      <c r="E1082" s="6" t="s">
        <v>61</v>
      </c>
      <c r="F1082" s="6">
        <v>0.130930925447883</v>
      </c>
    </row>
    <row r="1083">
      <c r="A1083" s="9">
        <f>IFERROR(__xludf.DUMMYFUNCTION("""COMPUTED_VALUE"""),41640.0)</f>
        <v>41640</v>
      </c>
      <c r="B1083" s="6" t="str">
        <f>IFERROR(__xludf.DUMMYFUNCTION("""COMPUTED_VALUE"""),"gpc_transporte_pib")</f>
        <v>gpc_transporte_pib</v>
      </c>
      <c r="C1083" s="6">
        <f>IFERROR(__xludf.DUMMYFUNCTION("""COMPUTED_VALUE"""),2.33643400185255)</f>
        <v>2.336434002</v>
      </c>
      <c r="D1083" s="6">
        <v>2014.0</v>
      </c>
      <c r="E1083" s="6" t="s">
        <v>62</v>
      </c>
      <c r="F1083" s="6">
        <v>2.33643400185255</v>
      </c>
    </row>
    <row r="1084">
      <c r="A1084" s="9">
        <f>IFERROR(__xludf.DUMMYFUNCTION("""COMPUTED_VALUE"""),41640.0)</f>
        <v>41640</v>
      </c>
      <c r="B1084" s="6" t="str">
        <f>IFERROR(__xludf.DUMMYFUNCTION("""COMPUTED_VALUE"""),"gpc_comunicaciones_pib")</f>
        <v>gpc_comunicaciones_pib</v>
      </c>
      <c r="C1084" s="6">
        <f>IFERROR(__xludf.DUMMYFUNCTION("""COMPUTED_VALUE"""),0.257348282003854)</f>
        <v>0.257348282</v>
      </c>
      <c r="D1084" s="6">
        <v>2014.0</v>
      </c>
      <c r="E1084" s="6" t="s">
        <v>63</v>
      </c>
      <c r="F1084" s="6">
        <v>0.257348282003854</v>
      </c>
    </row>
    <row r="1085">
      <c r="A1085" s="9">
        <f>IFERROR(__xludf.DUMMYFUNCTION("""COMPUTED_VALUE"""),41640.0)</f>
        <v>41640</v>
      </c>
      <c r="B1085" s="6" t="str">
        <f>IFERROR(__xludf.DUMMYFUNCTION("""COMPUTED_VALUE"""),"gpc_otros_servicios_economicos_pib")</f>
        <v>gpc_otros_servicios_economicos_pib</v>
      </c>
      <c r="C1085" s="6">
        <f>IFERROR(__xludf.DUMMYFUNCTION("""COMPUTED_VALUE"""),0.273745492382007)</f>
        <v>0.2737454924</v>
      </c>
      <c r="D1085" s="6">
        <v>2014.0</v>
      </c>
      <c r="E1085" s="6" t="s">
        <v>64</v>
      </c>
      <c r="F1085" s="6">
        <v>0.273745492382007</v>
      </c>
    </row>
    <row r="1086">
      <c r="A1086" s="9">
        <f>IFERROR(__xludf.DUMMYFUNCTION("""COMPUTED_VALUE"""),41640.0)</f>
        <v>41640</v>
      </c>
      <c r="B1086" s="6" t="str">
        <f>IFERROR(__xludf.DUMMYFUNCTION("""COMPUTED_VALUE"""),"gpc_servicios_deuda_publica_pib")</f>
        <v>gpc_servicios_deuda_publica_pib</v>
      </c>
      <c r="C1086" s="6">
        <f>IFERROR(__xludf.DUMMYFUNCTION("""COMPUTED_VALUE"""),2.14997596268465)</f>
        <v>2.149975963</v>
      </c>
      <c r="D1086" s="6">
        <v>2014.0</v>
      </c>
      <c r="E1086" s="6" t="s">
        <v>65</v>
      </c>
      <c r="F1086" s="6">
        <v>2.14997596268465</v>
      </c>
    </row>
    <row r="1087">
      <c r="A1087" s="9">
        <f>IFERROR(__xludf.DUMMYFUNCTION("""COMPUTED_VALUE"""),42005.0)</f>
        <v>42005</v>
      </c>
      <c r="B1087" s="6" t="str">
        <f>IFERROR(__xludf.DUMMYFUNCTION("""COMPUTED_VALUE"""),"gpc_pib")</f>
        <v>gpc_pib</v>
      </c>
      <c r="C1087" s="6">
        <f>IFERROR(__xludf.DUMMYFUNCTION("""COMPUTED_VALUE"""),46.2994597171992)</f>
        <v>46.29945972</v>
      </c>
      <c r="D1087" s="6">
        <v>2015.0</v>
      </c>
      <c r="E1087" s="6" t="s">
        <v>66</v>
      </c>
      <c r="F1087" s="6">
        <v>46.2994597171992</v>
      </c>
    </row>
    <row r="1088">
      <c r="A1088" s="9">
        <f>IFERROR(__xludf.DUMMYFUNCTION("""COMPUTED_VALUE"""),42005.0)</f>
        <v>42005</v>
      </c>
      <c r="B1088" s="6" t="str">
        <f>IFERROR(__xludf.DUMMYFUNCTION("""COMPUTED_VALUE"""),"gpc_funcionamiento_estado_pib")</f>
        <v>gpc_funcionamiento_estado_pib</v>
      </c>
      <c r="C1088" s="6">
        <f>IFERROR(__xludf.DUMMYFUNCTION("""COMPUTED_VALUE"""),7.35298935358501)</f>
        <v>7.352989354</v>
      </c>
      <c r="D1088" s="6">
        <v>2015.0</v>
      </c>
      <c r="E1088" s="6" t="s">
        <v>36</v>
      </c>
      <c r="F1088" s="6">
        <v>7.35298935358501</v>
      </c>
    </row>
    <row r="1089">
      <c r="A1089" s="9">
        <f>IFERROR(__xludf.DUMMYFUNCTION("""COMPUTED_VALUE"""),42005.0)</f>
        <v>42005</v>
      </c>
      <c r="B1089" s="6" t="str">
        <f>IFERROR(__xludf.DUMMYFUNCTION("""COMPUTED_VALUE"""),"gpc_administracion_general_pib")</f>
        <v>gpc_administracion_general_pib</v>
      </c>
      <c r="C1089" s="6">
        <f>IFERROR(__xludf.DUMMYFUNCTION("""COMPUTED_VALUE"""),3.12401984721486)</f>
        <v>3.124019847</v>
      </c>
      <c r="D1089" s="6">
        <v>2015.0</v>
      </c>
      <c r="E1089" s="6" t="s">
        <v>37</v>
      </c>
      <c r="F1089" s="6">
        <v>3.12401984721486</v>
      </c>
    </row>
    <row r="1090">
      <c r="A1090" s="9">
        <f>IFERROR(__xludf.DUMMYFUNCTION("""COMPUTED_VALUE"""),42005.0)</f>
        <v>42005</v>
      </c>
      <c r="B1090" s="6" t="str">
        <f>IFERROR(__xludf.DUMMYFUNCTION("""COMPUTED_VALUE"""),"gpc_justicia_pib")</f>
        <v>gpc_justicia_pib</v>
      </c>
      <c r="C1090" s="6">
        <f>IFERROR(__xludf.DUMMYFUNCTION("""COMPUTED_VALUE"""),1.18151225086912)</f>
        <v>1.181512251</v>
      </c>
      <c r="D1090" s="6">
        <v>2015.0</v>
      </c>
      <c r="E1090" s="6" t="s">
        <v>38</v>
      </c>
      <c r="F1090" s="6">
        <v>1.18151225086912</v>
      </c>
    </row>
    <row r="1091">
      <c r="A1091" s="9">
        <f>IFERROR(__xludf.DUMMYFUNCTION("""COMPUTED_VALUE"""),42005.0)</f>
        <v>42005</v>
      </c>
      <c r="B1091" s="6" t="str">
        <f>IFERROR(__xludf.DUMMYFUNCTION("""COMPUTED_VALUE"""),"gpc_defensa_seguridad_pib")</f>
        <v>gpc_defensa_seguridad_pib</v>
      </c>
      <c r="C1091" s="6">
        <f>IFERROR(__xludf.DUMMYFUNCTION("""COMPUTED_VALUE"""),3.04745725550101)</f>
        <v>3.047457256</v>
      </c>
      <c r="D1091" s="6">
        <v>2015.0</v>
      </c>
      <c r="E1091" s="6" t="s">
        <v>39</v>
      </c>
      <c r="F1091" s="6">
        <v>3.04745725550101</v>
      </c>
    </row>
    <row r="1092">
      <c r="A1092" s="9">
        <f>IFERROR(__xludf.DUMMYFUNCTION("""COMPUTED_VALUE"""),42005.0)</f>
        <v>42005</v>
      </c>
      <c r="B1092" s="6" t="str">
        <f>IFERROR(__xludf.DUMMYFUNCTION("""COMPUTED_VALUE"""),"gpc_servicios_sociales_pib")</f>
        <v>gpc_servicios_sociales_pib</v>
      </c>
      <c r="C1092" s="6">
        <f>IFERROR(__xludf.DUMMYFUNCTION("""COMPUTED_VALUE"""),30.2670437736309)</f>
        <v>30.26704377</v>
      </c>
      <c r="D1092" s="6">
        <v>2015.0</v>
      </c>
      <c r="E1092" s="6" t="s">
        <v>40</v>
      </c>
      <c r="F1092" s="6">
        <v>30.2670437736309</v>
      </c>
    </row>
    <row r="1093">
      <c r="A1093" s="9">
        <f>IFERROR(__xludf.DUMMYFUNCTION("""COMPUTED_VALUE"""),42005.0)</f>
        <v>42005</v>
      </c>
      <c r="B1093" s="6" t="str">
        <f>IFERROR(__xludf.DUMMYFUNCTION("""COMPUTED_VALUE"""),"gpc_educacion_basica_pib")</f>
        <v>gpc_educacion_basica_pib</v>
      </c>
      <c r="C1093" s="6">
        <f>IFERROR(__xludf.DUMMYFUNCTION("""COMPUTED_VALUE"""),4.14883274236227)</f>
        <v>4.148832742</v>
      </c>
      <c r="D1093" s="6">
        <v>2015.0</v>
      </c>
      <c r="E1093" s="6" t="s">
        <v>41</v>
      </c>
      <c r="F1093" s="6">
        <v>4.14883274236227</v>
      </c>
    </row>
    <row r="1094">
      <c r="A1094" s="9">
        <f>IFERROR(__xludf.DUMMYFUNCTION("""COMPUTED_VALUE"""),42005.0)</f>
        <v>42005</v>
      </c>
      <c r="B1094" s="6" t="str">
        <f>IFERROR(__xludf.DUMMYFUNCTION("""COMPUTED_VALUE"""),"gpc_educacion_universitaria_pib")</f>
        <v>gpc_educacion_universitaria_pib</v>
      </c>
      <c r="C1094" s="6">
        <f>IFERROR(__xludf.DUMMYFUNCTION("""COMPUTED_VALUE"""),1.2958420233838)</f>
        <v>1.295842023</v>
      </c>
      <c r="D1094" s="6">
        <v>2015.0</v>
      </c>
      <c r="E1094" s="6" t="s">
        <v>42</v>
      </c>
      <c r="F1094" s="6">
        <v>1.2958420233838</v>
      </c>
    </row>
    <row r="1095">
      <c r="A1095" s="9">
        <f>IFERROR(__xludf.DUMMYFUNCTION("""COMPUTED_VALUE"""),42005.0)</f>
        <v>42005</v>
      </c>
      <c r="B1095" s="6" t="str">
        <f>IFERROR(__xludf.DUMMYFUNCTION("""COMPUTED_VALUE"""),"gpc_ciencia_tecnica_pib")</f>
        <v>gpc_ciencia_tecnica_pib</v>
      </c>
      <c r="C1095" s="6">
        <f>IFERROR(__xludf.DUMMYFUNCTION("""COMPUTED_VALUE"""),0.315815979583976)</f>
        <v>0.3158159796</v>
      </c>
      <c r="D1095" s="6">
        <v>2015.0</v>
      </c>
      <c r="E1095" s="6" t="s">
        <v>43</v>
      </c>
      <c r="F1095" s="6">
        <v>0.315815979583976</v>
      </c>
    </row>
    <row r="1096">
      <c r="A1096" s="9">
        <f>IFERROR(__xludf.DUMMYFUNCTION("""COMPUTED_VALUE"""),42005.0)</f>
        <v>42005</v>
      </c>
      <c r="B1096" s="6" t="str">
        <f>IFERROR(__xludf.DUMMYFUNCTION("""COMPUTED_VALUE"""),"gpc_cultura_pib")</f>
        <v>gpc_cultura_pib</v>
      </c>
      <c r="C1096" s="6">
        <f>IFERROR(__xludf.DUMMYFUNCTION("""COMPUTED_VALUE"""),0.248241975211193)</f>
        <v>0.2482419752</v>
      </c>
      <c r="D1096" s="6">
        <v>2015.0</v>
      </c>
      <c r="E1096" s="6" t="s">
        <v>44</v>
      </c>
      <c r="F1096" s="6">
        <v>0.248241975211193</v>
      </c>
    </row>
    <row r="1097">
      <c r="A1097" s="9">
        <f>IFERROR(__xludf.DUMMYFUNCTION("""COMPUTED_VALUE"""),42005.0)</f>
        <v>42005</v>
      </c>
      <c r="B1097" s="6" t="str">
        <f>IFERROR(__xludf.DUMMYFUNCTION("""COMPUTED_VALUE"""),"gpc_educacion_cultura_sin_discriminar_pib")</f>
        <v>gpc_educacion_cultura_sin_discriminar_pib</v>
      </c>
      <c r="C1097" s="6">
        <f>IFERROR(__xludf.DUMMYFUNCTION("""COMPUTED_VALUE"""),0.699247965998027)</f>
        <v>0.699247966</v>
      </c>
      <c r="D1097" s="6">
        <v>2015.0</v>
      </c>
      <c r="E1097" s="6" t="s">
        <v>45</v>
      </c>
      <c r="F1097" s="6">
        <v>0.699247965998027</v>
      </c>
    </row>
    <row r="1098">
      <c r="A1098" s="9">
        <f>IFERROR(__xludf.DUMMYFUNCTION("""COMPUTED_VALUE"""),42005.0)</f>
        <v>42005</v>
      </c>
      <c r="B1098" s="6" t="str">
        <f>IFERROR(__xludf.DUMMYFUNCTION("""COMPUTED_VALUE"""),"gpc_atencion_salud_pib")</f>
        <v>gpc_atencion_salud_pib</v>
      </c>
      <c r="C1098" s="6">
        <f>IFERROR(__xludf.DUMMYFUNCTION("""COMPUTED_VALUE"""),2.81177801652627)</f>
        <v>2.811778017</v>
      </c>
      <c r="D1098" s="6">
        <v>2015.0</v>
      </c>
      <c r="E1098" s="6" t="s">
        <v>46</v>
      </c>
      <c r="F1098" s="6">
        <v>2.81177801652627</v>
      </c>
    </row>
    <row r="1099">
      <c r="A1099" s="9">
        <f>IFERROR(__xludf.DUMMYFUNCTION("""COMPUTED_VALUE"""),42005.0)</f>
        <v>42005</v>
      </c>
      <c r="B1099" s="6" t="str">
        <f>IFERROR(__xludf.DUMMYFUNCTION("""COMPUTED_VALUE"""),"gpc_obras_sociales_salud_pib")</f>
        <v>gpc_obras_sociales_salud_pib</v>
      </c>
      <c r="C1099" s="6">
        <f>IFERROR(__xludf.DUMMYFUNCTION("""COMPUTED_VALUE"""),3.01126995320716)</f>
        <v>3.011269953</v>
      </c>
      <c r="D1099" s="6">
        <v>2015.0</v>
      </c>
      <c r="E1099" s="6" t="s">
        <v>47</v>
      </c>
      <c r="F1099" s="6">
        <v>3.01126995320716</v>
      </c>
    </row>
    <row r="1100">
      <c r="A1100" s="9">
        <f>IFERROR(__xludf.DUMMYFUNCTION("""COMPUTED_VALUE"""),42005.0)</f>
        <v>42005</v>
      </c>
      <c r="B1100" s="6" t="str">
        <f>IFERROR(__xludf.DUMMYFUNCTION("""COMPUTED_VALUE"""),"gpc_inssjyp_salud_pib")</f>
        <v>gpc_inssjyp_salud_pib</v>
      </c>
      <c r="C1100" s="6">
        <f>IFERROR(__xludf.DUMMYFUNCTION("""COMPUTED_VALUE"""),1.03199458067129)</f>
        <v>1.031994581</v>
      </c>
      <c r="D1100" s="6">
        <v>2015.0</v>
      </c>
      <c r="E1100" s="6" t="s">
        <v>48</v>
      </c>
      <c r="F1100" s="6">
        <v>1.03199458067129</v>
      </c>
    </row>
    <row r="1101">
      <c r="A1101" s="9">
        <f>IFERROR(__xludf.DUMMYFUNCTION("""COMPUTED_VALUE"""),42005.0)</f>
        <v>42005</v>
      </c>
      <c r="B1101" s="6" t="str">
        <f>IFERROR(__xludf.DUMMYFUNCTION("""COMPUTED_VALUE"""),"gpc_agua_alcantarillado_pib")</f>
        <v>gpc_agua_alcantarillado_pib</v>
      </c>
      <c r="C1101" s="6">
        <f>IFERROR(__xludf.DUMMYFUNCTION("""COMPUTED_VALUE"""),0.60696002432824)</f>
        <v>0.6069600243</v>
      </c>
      <c r="D1101" s="6">
        <v>2015.0</v>
      </c>
      <c r="E1101" s="6" t="s">
        <v>49</v>
      </c>
      <c r="F1101" s="6">
        <v>0.60696002432824</v>
      </c>
    </row>
    <row r="1102">
      <c r="A1102" s="9">
        <f>IFERROR(__xludf.DUMMYFUNCTION("""COMPUTED_VALUE"""),42005.0)</f>
        <v>42005</v>
      </c>
      <c r="B1102" s="6" t="str">
        <f>IFERROR(__xludf.DUMMYFUNCTION("""COMPUTED_VALUE"""),"gpc_vivienda_urbanismo_pib")</f>
        <v>gpc_vivienda_urbanismo_pib</v>
      </c>
      <c r="C1102" s="6">
        <f>IFERROR(__xludf.DUMMYFUNCTION("""COMPUTED_VALUE"""),1.18827175217237)</f>
        <v>1.188271752</v>
      </c>
      <c r="D1102" s="6">
        <v>2015.0</v>
      </c>
      <c r="E1102" s="6" t="s">
        <v>50</v>
      </c>
      <c r="F1102" s="6">
        <v>1.18827175217237</v>
      </c>
    </row>
    <row r="1103">
      <c r="A1103" s="9">
        <f>IFERROR(__xludf.DUMMYFUNCTION("""COMPUTED_VALUE"""),42005.0)</f>
        <v>42005</v>
      </c>
      <c r="B1103" s="6" t="str">
        <f>IFERROR(__xludf.DUMMYFUNCTION("""COMPUTED_VALUE"""),"gpc_promocion_asistencia_social_pib")</f>
        <v>gpc_promocion_asistencia_social_pib</v>
      </c>
      <c r="C1103" s="6">
        <f>IFERROR(__xludf.DUMMYFUNCTION("""COMPUTED_VALUE"""),1.26861980129899)</f>
        <v>1.268619801</v>
      </c>
      <c r="D1103" s="6">
        <v>2015.0</v>
      </c>
      <c r="E1103" s="6" t="s">
        <v>51</v>
      </c>
      <c r="F1103" s="6">
        <v>1.26861980129899</v>
      </c>
    </row>
    <row r="1104">
      <c r="A1104" s="9">
        <f>IFERROR(__xludf.DUMMYFUNCTION("""COMPUTED_VALUE"""),42005.0)</f>
        <v>42005</v>
      </c>
      <c r="B1104" s="6" t="str">
        <f>IFERROR(__xludf.DUMMYFUNCTION("""COMPUTED_VALUE"""),"gpc_obras_sociales_prestaciones_pib")</f>
        <v>gpc_obras_sociales_prestaciones_pib</v>
      </c>
      <c r="C1104" s="6">
        <f>IFERROR(__xludf.DUMMYFUNCTION("""COMPUTED_VALUE"""),0.155443719344218)</f>
        <v>0.1554437193</v>
      </c>
      <c r="D1104" s="6">
        <v>2015.0</v>
      </c>
      <c r="E1104" s="6" t="s">
        <v>52</v>
      </c>
      <c r="F1104" s="6">
        <v>0.155443719344218</v>
      </c>
    </row>
    <row r="1105">
      <c r="A1105" s="9">
        <f>IFERROR(__xludf.DUMMYFUNCTION("""COMPUTED_VALUE"""),42005.0)</f>
        <v>42005</v>
      </c>
      <c r="B1105" s="6" t="str">
        <f>IFERROR(__xludf.DUMMYFUNCTION("""COMPUTED_VALUE"""),"gpc_inssjyp_prestaciones_pib")</f>
        <v>gpc_inssjyp_prestaciones_pib</v>
      </c>
      <c r="C1105" s="6">
        <f>IFERROR(__xludf.DUMMYFUNCTION("""COMPUTED_VALUE"""),0.116786882266581)</f>
        <v>0.1167868823</v>
      </c>
      <c r="D1105" s="6">
        <v>2015.0</v>
      </c>
      <c r="E1105" s="6" t="s">
        <v>53</v>
      </c>
      <c r="F1105" s="6">
        <v>0.116786882266581</v>
      </c>
    </row>
    <row r="1106">
      <c r="A1106" s="9">
        <f>IFERROR(__xludf.DUMMYFUNCTION("""COMPUTED_VALUE"""),42005.0)</f>
        <v>42005</v>
      </c>
      <c r="B1106" s="6" t="str">
        <f>IFERROR(__xludf.DUMMYFUNCTION("""COMPUTED_VALUE"""),"gpc_prevision_social_pib")</f>
        <v>gpc_prevision_social_pib</v>
      </c>
      <c r="C1106" s="6">
        <f>IFERROR(__xludf.DUMMYFUNCTION("""COMPUTED_VALUE"""),11.1386578428514)</f>
        <v>11.13865784</v>
      </c>
      <c r="D1106" s="6">
        <v>2015.0</v>
      </c>
      <c r="E1106" s="6" t="s">
        <v>54</v>
      </c>
      <c r="F1106" s="6">
        <v>11.1386578428514</v>
      </c>
    </row>
    <row r="1107">
      <c r="A1107" s="9">
        <f>IFERROR(__xludf.DUMMYFUNCTION("""COMPUTED_VALUE"""),42005.0)</f>
        <v>42005</v>
      </c>
      <c r="B1107" s="6" t="str">
        <f>IFERROR(__xludf.DUMMYFUNCTION("""COMPUTED_VALUE"""),"gpc_programas_empleo_pib")</f>
        <v>gpc_programas_empleo_pib</v>
      </c>
      <c r="C1107" s="6">
        <f>IFERROR(__xludf.DUMMYFUNCTION("""COMPUTED_VALUE"""),0.224033407129116)</f>
        <v>0.2240334071</v>
      </c>
      <c r="D1107" s="6">
        <v>2015.0</v>
      </c>
      <c r="E1107" s="6" t="s">
        <v>55</v>
      </c>
      <c r="F1107" s="6">
        <v>0.224033407129116</v>
      </c>
    </row>
    <row r="1108">
      <c r="A1108" s="9">
        <f>IFERROR(__xludf.DUMMYFUNCTION("""COMPUTED_VALUE"""),42005.0)</f>
        <v>42005</v>
      </c>
      <c r="B1108" s="6" t="str">
        <f>IFERROR(__xludf.DUMMYFUNCTION("""COMPUTED_VALUE"""),"gpc_asignaciones_familiares_pib")</f>
        <v>gpc_asignaciones_familiares_pib</v>
      </c>
      <c r="C1108" s="6">
        <f>IFERROR(__xludf.DUMMYFUNCTION("""COMPUTED_VALUE"""),1.03646004801647)</f>
        <v>1.036460048</v>
      </c>
      <c r="D1108" s="6">
        <v>2015.0</v>
      </c>
      <c r="E1108" s="6" t="s">
        <v>56</v>
      </c>
      <c r="F1108" s="6">
        <v>1.03646004801647</v>
      </c>
    </row>
    <row r="1109">
      <c r="A1109" s="9">
        <f>IFERROR(__xludf.DUMMYFUNCTION("""COMPUTED_VALUE"""),42005.0)</f>
        <v>42005</v>
      </c>
      <c r="B1109" s="6" t="str">
        <f>IFERROR(__xludf.DUMMYFUNCTION("""COMPUTED_VALUE"""),"gpc_otros_servicios_urbanos_pib")</f>
        <v>gpc_otros_servicios_urbanos_pib</v>
      </c>
      <c r="C1109" s="6">
        <f>IFERROR(__xludf.DUMMYFUNCTION("""COMPUTED_VALUE"""),0.968787059279514)</f>
        <v>0.9687870593</v>
      </c>
      <c r="D1109" s="6">
        <v>2015.0</v>
      </c>
      <c r="E1109" s="6" t="s">
        <v>57</v>
      </c>
      <c r="F1109" s="6">
        <v>0.968787059279514</v>
      </c>
    </row>
    <row r="1110">
      <c r="A1110" s="9">
        <f>IFERROR(__xludf.DUMMYFUNCTION("""COMPUTED_VALUE"""),42005.0)</f>
        <v>42005</v>
      </c>
      <c r="B1110" s="6" t="str">
        <f>IFERROR(__xludf.DUMMYFUNCTION("""COMPUTED_VALUE"""),"gpc_servicios_economicos_pib")</f>
        <v>gpc_servicios_economicos_pib</v>
      </c>
      <c r="C1110" s="6">
        <f>IFERROR(__xludf.DUMMYFUNCTION("""COMPUTED_VALUE"""),6.57567820936392)</f>
        <v>6.575678209</v>
      </c>
      <c r="D1110" s="6">
        <v>2015.0</v>
      </c>
      <c r="E1110" s="6" t="s">
        <v>58</v>
      </c>
      <c r="F1110" s="6">
        <v>6.57567820936392</v>
      </c>
    </row>
    <row r="1111">
      <c r="A1111" s="9">
        <f>IFERROR(__xludf.DUMMYFUNCTION("""COMPUTED_VALUE"""),42005.0)</f>
        <v>42005</v>
      </c>
      <c r="B1111" s="6" t="str">
        <f>IFERROR(__xludf.DUMMYFUNCTION("""COMPUTED_VALUE"""),"gpc_produccion_primaria_pib")</f>
        <v>gpc_produccion_primaria_pib</v>
      </c>
      <c r="C1111" s="6">
        <f>IFERROR(__xludf.DUMMYFUNCTION("""COMPUTED_VALUE"""),0.42997486132832)</f>
        <v>0.4299748613</v>
      </c>
      <c r="D1111" s="6">
        <v>2015.0</v>
      </c>
      <c r="E1111" s="6" t="s">
        <v>59</v>
      </c>
      <c r="F1111" s="6">
        <v>0.42997486132832</v>
      </c>
    </row>
    <row r="1112">
      <c r="A1112" s="9">
        <f>IFERROR(__xludf.DUMMYFUNCTION("""COMPUTED_VALUE"""),42005.0)</f>
        <v>42005</v>
      </c>
      <c r="B1112" s="6" t="str">
        <f>IFERROR(__xludf.DUMMYFUNCTION("""COMPUTED_VALUE"""),"gpc_energia_combustible_pib")</f>
        <v>gpc_energia_combustible_pib</v>
      </c>
      <c r="C1112" s="6">
        <f>IFERROR(__xludf.DUMMYFUNCTION("""COMPUTED_VALUE"""),3.17954966347367)</f>
        <v>3.179549663</v>
      </c>
      <c r="D1112" s="6">
        <v>2015.0</v>
      </c>
      <c r="E1112" s="6" t="s">
        <v>60</v>
      </c>
      <c r="F1112" s="6">
        <v>3.17954966347367</v>
      </c>
    </row>
    <row r="1113">
      <c r="A1113" s="9">
        <f>IFERROR(__xludf.DUMMYFUNCTION("""COMPUTED_VALUE"""),42005.0)</f>
        <v>42005</v>
      </c>
      <c r="B1113" s="6" t="str">
        <f>IFERROR(__xludf.DUMMYFUNCTION("""COMPUTED_VALUE"""),"gpc_industria_pib")</f>
        <v>gpc_industria_pib</v>
      </c>
      <c r="C1113" s="6">
        <f>IFERROR(__xludf.DUMMYFUNCTION("""COMPUTED_VALUE"""),0.167459006308137)</f>
        <v>0.1674590063</v>
      </c>
      <c r="D1113" s="6">
        <v>2015.0</v>
      </c>
      <c r="E1113" s="6" t="s">
        <v>61</v>
      </c>
      <c r="F1113" s="6">
        <v>0.167459006308137</v>
      </c>
    </row>
    <row r="1114">
      <c r="A1114" s="9">
        <f>IFERROR(__xludf.DUMMYFUNCTION("""COMPUTED_VALUE"""),42005.0)</f>
        <v>42005</v>
      </c>
      <c r="B1114" s="6" t="str">
        <f>IFERROR(__xludf.DUMMYFUNCTION("""COMPUTED_VALUE"""),"gpc_transporte_pib")</f>
        <v>gpc_transporte_pib</v>
      </c>
      <c r="C1114" s="6">
        <f>IFERROR(__xludf.DUMMYFUNCTION("""COMPUTED_VALUE"""),2.26872934535424)</f>
        <v>2.268729345</v>
      </c>
      <c r="D1114" s="6">
        <v>2015.0</v>
      </c>
      <c r="E1114" s="6" t="s">
        <v>62</v>
      </c>
      <c r="F1114" s="6">
        <v>2.26872934535424</v>
      </c>
    </row>
    <row r="1115">
      <c r="A1115" s="9">
        <f>IFERROR(__xludf.DUMMYFUNCTION("""COMPUTED_VALUE"""),42005.0)</f>
        <v>42005</v>
      </c>
      <c r="B1115" s="6" t="str">
        <f>IFERROR(__xludf.DUMMYFUNCTION("""COMPUTED_VALUE"""),"gpc_comunicaciones_pib")</f>
        <v>gpc_comunicaciones_pib</v>
      </c>
      <c r="C1115" s="6">
        <f>IFERROR(__xludf.DUMMYFUNCTION("""COMPUTED_VALUE"""),0.252276919639441)</f>
        <v>0.2522769196</v>
      </c>
      <c r="D1115" s="6">
        <v>2015.0</v>
      </c>
      <c r="E1115" s="6" t="s">
        <v>63</v>
      </c>
      <c r="F1115" s="6">
        <v>0.252276919639441</v>
      </c>
    </row>
    <row r="1116">
      <c r="A1116" s="9">
        <f>IFERROR(__xludf.DUMMYFUNCTION("""COMPUTED_VALUE"""),42005.0)</f>
        <v>42005</v>
      </c>
      <c r="B1116" s="6" t="str">
        <f>IFERROR(__xludf.DUMMYFUNCTION("""COMPUTED_VALUE"""),"gpc_otros_servicios_economicos_pib")</f>
        <v>gpc_otros_servicios_economicos_pib</v>
      </c>
      <c r="C1116" s="6">
        <f>IFERROR(__xludf.DUMMYFUNCTION("""COMPUTED_VALUE"""),0.27768841326011)</f>
        <v>0.2776884133</v>
      </c>
      <c r="D1116" s="6">
        <v>2015.0</v>
      </c>
      <c r="E1116" s="6" t="s">
        <v>64</v>
      </c>
      <c r="F1116" s="6">
        <v>0.27768841326011</v>
      </c>
    </row>
    <row r="1117">
      <c r="A1117" s="9">
        <f>IFERROR(__xludf.DUMMYFUNCTION("""COMPUTED_VALUE"""),42005.0)</f>
        <v>42005</v>
      </c>
      <c r="B1117" s="6" t="str">
        <f>IFERROR(__xludf.DUMMYFUNCTION("""COMPUTED_VALUE"""),"gpc_servicios_deuda_publica_pib")</f>
        <v>gpc_servicios_deuda_publica_pib</v>
      </c>
      <c r="C1117" s="6">
        <f>IFERROR(__xludf.DUMMYFUNCTION("""COMPUTED_VALUE"""),2.10374838061928)</f>
        <v>2.103748381</v>
      </c>
      <c r="D1117" s="6">
        <v>2015.0</v>
      </c>
      <c r="E1117" s="6" t="s">
        <v>65</v>
      </c>
      <c r="F1117" s="6">
        <v>2.10374838061928</v>
      </c>
    </row>
    <row r="1118">
      <c r="A1118" s="9">
        <f>IFERROR(__xludf.DUMMYFUNCTION("""COMPUTED_VALUE"""),42370.0)</f>
        <v>42370</v>
      </c>
      <c r="B1118" s="6" t="str">
        <f>IFERROR(__xludf.DUMMYFUNCTION("""COMPUTED_VALUE"""),"gpc_pib")</f>
        <v>gpc_pib</v>
      </c>
      <c r="C1118" s="6">
        <f>IFERROR(__xludf.DUMMYFUNCTION("""COMPUTED_VALUE"""),47.3080114519466)</f>
        <v>47.30801145</v>
      </c>
      <c r="D1118" s="6">
        <v>2016.0</v>
      </c>
      <c r="E1118" s="6" t="s">
        <v>66</v>
      </c>
      <c r="F1118" s="6">
        <v>47.3080114519466</v>
      </c>
    </row>
    <row r="1119">
      <c r="A1119" s="9">
        <f>IFERROR(__xludf.DUMMYFUNCTION("""COMPUTED_VALUE"""),42370.0)</f>
        <v>42370</v>
      </c>
      <c r="B1119" s="6" t="str">
        <f>IFERROR(__xludf.DUMMYFUNCTION("""COMPUTED_VALUE"""),"gpc_funcionamiento_estado_pib")</f>
        <v>gpc_funcionamiento_estado_pib</v>
      </c>
      <c r="C1119" s="6">
        <f>IFERROR(__xludf.DUMMYFUNCTION("""COMPUTED_VALUE"""),7.36883280793289)</f>
        <v>7.368832808</v>
      </c>
      <c r="D1119" s="6">
        <v>2016.0</v>
      </c>
      <c r="E1119" s="6" t="s">
        <v>36</v>
      </c>
      <c r="F1119" s="6">
        <v>7.36883280793289</v>
      </c>
    </row>
    <row r="1120">
      <c r="A1120" s="9">
        <f>IFERROR(__xludf.DUMMYFUNCTION("""COMPUTED_VALUE"""),42370.0)</f>
        <v>42370</v>
      </c>
      <c r="B1120" s="6" t="str">
        <f>IFERROR(__xludf.DUMMYFUNCTION("""COMPUTED_VALUE"""),"gpc_administracion_general_pib")</f>
        <v>gpc_administracion_general_pib</v>
      </c>
      <c r="C1120" s="6">
        <f>IFERROR(__xludf.DUMMYFUNCTION("""COMPUTED_VALUE"""),2.99181024476541)</f>
        <v>2.991810245</v>
      </c>
      <c r="D1120" s="6">
        <v>2016.0</v>
      </c>
      <c r="E1120" s="6" t="s">
        <v>37</v>
      </c>
      <c r="F1120" s="6">
        <v>2.99181024476541</v>
      </c>
    </row>
    <row r="1121">
      <c r="A1121" s="9">
        <f>IFERROR(__xludf.DUMMYFUNCTION("""COMPUTED_VALUE"""),42370.0)</f>
        <v>42370</v>
      </c>
      <c r="B1121" s="6" t="str">
        <f>IFERROR(__xludf.DUMMYFUNCTION("""COMPUTED_VALUE"""),"gpc_justicia_pib")</f>
        <v>gpc_justicia_pib</v>
      </c>
      <c r="C1121" s="6">
        <f>IFERROR(__xludf.DUMMYFUNCTION("""COMPUTED_VALUE"""),1.19360599253469)</f>
        <v>1.193605993</v>
      </c>
      <c r="D1121" s="6">
        <v>2016.0</v>
      </c>
      <c r="E1121" s="6" t="s">
        <v>38</v>
      </c>
      <c r="F1121" s="6">
        <v>1.19360599253469</v>
      </c>
    </row>
    <row r="1122">
      <c r="A1122" s="9">
        <f>IFERROR(__xludf.DUMMYFUNCTION("""COMPUTED_VALUE"""),42370.0)</f>
        <v>42370</v>
      </c>
      <c r="B1122" s="6" t="str">
        <f>IFERROR(__xludf.DUMMYFUNCTION("""COMPUTED_VALUE"""),"gpc_defensa_seguridad_pib")</f>
        <v>gpc_defensa_seguridad_pib</v>
      </c>
      <c r="C1122" s="6">
        <f>IFERROR(__xludf.DUMMYFUNCTION("""COMPUTED_VALUE"""),3.18341657063277)</f>
        <v>3.183416571</v>
      </c>
      <c r="D1122" s="6">
        <v>2016.0</v>
      </c>
      <c r="E1122" s="6" t="s">
        <v>39</v>
      </c>
      <c r="F1122" s="6">
        <v>3.18341657063277</v>
      </c>
    </row>
    <row r="1123">
      <c r="A1123" s="9">
        <f>IFERROR(__xludf.DUMMYFUNCTION("""COMPUTED_VALUE"""),42370.0)</f>
        <v>42370</v>
      </c>
      <c r="B1123" s="6" t="str">
        <f>IFERROR(__xludf.DUMMYFUNCTION("""COMPUTED_VALUE"""),"gpc_servicios_sociales_pib")</f>
        <v>gpc_servicios_sociales_pib</v>
      </c>
      <c r="C1123" s="6">
        <f>IFERROR(__xludf.DUMMYFUNCTION("""COMPUTED_VALUE"""),29.6802113012333)</f>
        <v>29.6802113</v>
      </c>
      <c r="D1123" s="6">
        <v>2016.0</v>
      </c>
      <c r="E1123" s="6" t="s">
        <v>40</v>
      </c>
      <c r="F1123" s="6">
        <v>29.6802113012333</v>
      </c>
    </row>
    <row r="1124">
      <c r="A1124" s="9">
        <f>IFERROR(__xludf.DUMMYFUNCTION("""COMPUTED_VALUE"""),42370.0)</f>
        <v>42370</v>
      </c>
      <c r="B1124" s="6" t="str">
        <f>IFERROR(__xludf.DUMMYFUNCTION("""COMPUTED_VALUE"""),"gpc_educacion_basica_pib")</f>
        <v>gpc_educacion_basica_pib</v>
      </c>
      <c r="C1124" s="6">
        <f>IFERROR(__xludf.DUMMYFUNCTION("""COMPUTED_VALUE"""),3.92444713661508)</f>
        <v>3.924447137</v>
      </c>
      <c r="D1124" s="6">
        <v>2016.0</v>
      </c>
      <c r="E1124" s="6" t="s">
        <v>41</v>
      </c>
      <c r="F1124" s="6">
        <v>3.92444713661508</v>
      </c>
    </row>
    <row r="1125">
      <c r="A1125" s="9">
        <f>IFERROR(__xludf.DUMMYFUNCTION("""COMPUTED_VALUE"""),42370.0)</f>
        <v>42370</v>
      </c>
      <c r="B1125" s="6" t="str">
        <f>IFERROR(__xludf.DUMMYFUNCTION("""COMPUTED_VALUE"""),"gpc_educacion_universitaria_pib")</f>
        <v>gpc_educacion_universitaria_pib</v>
      </c>
      <c r="C1125" s="6">
        <f>IFERROR(__xludf.DUMMYFUNCTION("""COMPUTED_VALUE"""),1.21602087729615)</f>
        <v>1.216020877</v>
      </c>
      <c r="D1125" s="6">
        <v>2016.0</v>
      </c>
      <c r="E1125" s="6" t="s">
        <v>42</v>
      </c>
      <c r="F1125" s="6">
        <v>1.21602087729615</v>
      </c>
    </row>
    <row r="1126">
      <c r="A1126" s="9">
        <f>IFERROR(__xludf.DUMMYFUNCTION("""COMPUTED_VALUE"""),42370.0)</f>
        <v>42370</v>
      </c>
      <c r="B1126" s="6" t="str">
        <f>IFERROR(__xludf.DUMMYFUNCTION("""COMPUTED_VALUE"""),"gpc_ciencia_tecnica_pib")</f>
        <v>gpc_ciencia_tecnica_pib</v>
      </c>
      <c r="C1126" s="6">
        <f>IFERROR(__xludf.DUMMYFUNCTION("""COMPUTED_VALUE"""),0.296098868320141)</f>
        <v>0.2960988683</v>
      </c>
      <c r="D1126" s="6">
        <v>2016.0</v>
      </c>
      <c r="E1126" s="6" t="s">
        <v>43</v>
      </c>
      <c r="F1126" s="6">
        <v>0.296098868320141</v>
      </c>
    </row>
    <row r="1127">
      <c r="A1127" s="9">
        <f>IFERROR(__xludf.DUMMYFUNCTION("""COMPUTED_VALUE"""),42370.0)</f>
        <v>42370</v>
      </c>
      <c r="B1127" s="6" t="str">
        <f>IFERROR(__xludf.DUMMYFUNCTION("""COMPUTED_VALUE"""),"gpc_cultura_pib")</f>
        <v>gpc_cultura_pib</v>
      </c>
      <c r="C1127" s="6">
        <f>IFERROR(__xludf.DUMMYFUNCTION("""COMPUTED_VALUE"""),0.218933360996843)</f>
        <v>0.218933361</v>
      </c>
      <c r="D1127" s="6">
        <v>2016.0</v>
      </c>
      <c r="E1127" s="6" t="s">
        <v>44</v>
      </c>
      <c r="F1127" s="6">
        <v>0.218933360996843</v>
      </c>
    </row>
    <row r="1128">
      <c r="A1128" s="9">
        <f>IFERROR(__xludf.DUMMYFUNCTION("""COMPUTED_VALUE"""),42370.0)</f>
        <v>42370</v>
      </c>
      <c r="B1128" s="6" t="str">
        <f>IFERROR(__xludf.DUMMYFUNCTION("""COMPUTED_VALUE"""),"gpc_educacion_cultura_sin_discriminar_pib")</f>
        <v>gpc_educacion_cultura_sin_discriminar_pib</v>
      </c>
      <c r="C1128" s="6">
        <f>IFERROR(__xludf.DUMMYFUNCTION("""COMPUTED_VALUE"""),0.671937510611495)</f>
        <v>0.6719375106</v>
      </c>
      <c r="D1128" s="6">
        <v>2016.0</v>
      </c>
      <c r="E1128" s="6" t="s">
        <v>45</v>
      </c>
      <c r="F1128" s="6">
        <v>0.671937510611495</v>
      </c>
    </row>
    <row r="1129">
      <c r="A1129" s="9">
        <f>IFERROR(__xludf.DUMMYFUNCTION("""COMPUTED_VALUE"""),42370.0)</f>
        <v>42370</v>
      </c>
      <c r="B1129" s="6" t="str">
        <f>IFERROR(__xludf.DUMMYFUNCTION("""COMPUTED_VALUE"""),"gpc_atencion_salud_pib")</f>
        <v>gpc_atencion_salud_pib</v>
      </c>
      <c r="C1129" s="6">
        <f>IFERROR(__xludf.DUMMYFUNCTION("""COMPUTED_VALUE"""),2.68856816762699)</f>
        <v>2.688568168</v>
      </c>
      <c r="D1129" s="6">
        <v>2016.0</v>
      </c>
      <c r="E1129" s="6" t="s">
        <v>46</v>
      </c>
      <c r="F1129" s="6">
        <v>2.68856816762699</v>
      </c>
    </row>
    <row r="1130">
      <c r="A1130" s="9">
        <f>IFERROR(__xludf.DUMMYFUNCTION("""COMPUTED_VALUE"""),42370.0)</f>
        <v>42370</v>
      </c>
      <c r="B1130" s="6" t="str">
        <f>IFERROR(__xludf.DUMMYFUNCTION("""COMPUTED_VALUE"""),"gpc_obras_sociales_salud_pib")</f>
        <v>gpc_obras_sociales_salud_pib</v>
      </c>
      <c r="C1130" s="6">
        <f>IFERROR(__xludf.DUMMYFUNCTION("""COMPUTED_VALUE"""),2.98492355030355)</f>
        <v>2.98492355</v>
      </c>
      <c r="D1130" s="6">
        <v>2016.0</v>
      </c>
      <c r="E1130" s="6" t="s">
        <v>47</v>
      </c>
      <c r="F1130" s="6">
        <v>2.98492355030355</v>
      </c>
    </row>
    <row r="1131">
      <c r="A1131" s="9">
        <f>IFERROR(__xludf.DUMMYFUNCTION("""COMPUTED_VALUE"""),42370.0)</f>
        <v>42370</v>
      </c>
      <c r="B1131" s="6" t="str">
        <f>IFERROR(__xludf.DUMMYFUNCTION("""COMPUTED_VALUE"""),"gpc_inssjyp_salud_pib")</f>
        <v>gpc_inssjyp_salud_pib</v>
      </c>
      <c r="C1131" s="6">
        <f>IFERROR(__xludf.DUMMYFUNCTION("""COMPUTED_VALUE"""),0.951683539387096)</f>
        <v>0.9516835394</v>
      </c>
      <c r="D1131" s="6">
        <v>2016.0</v>
      </c>
      <c r="E1131" s="6" t="s">
        <v>48</v>
      </c>
      <c r="F1131" s="6">
        <v>0.951683539387096</v>
      </c>
    </row>
    <row r="1132">
      <c r="A1132" s="9">
        <f>IFERROR(__xludf.DUMMYFUNCTION("""COMPUTED_VALUE"""),42370.0)</f>
        <v>42370</v>
      </c>
      <c r="B1132" s="6" t="str">
        <f>IFERROR(__xludf.DUMMYFUNCTION("""COMPUTED_VALUE"""),"gpc_agua_alcantarillado_pib")</f>
        <v>gpc_agua_alcantarillado_pib</v>
      </c>
      <c r="C1132" s="6">
        <f>IFERROR(__xludf.DUMMYFUNCTION("""COMPUTED_VALUE"""),0.519061450410838)</f>
        <v>0.5190614504</v>
      </c>
      <c r="D1132" s="6">
        <v>2016.0</v>
      </c>
      <c r="E1132" s="6" t="s">
        <v>49</v>
      </c>
      <c r="F1132" s="6">
        <v>0.519061450410838</v>
      </c>
    </row>
    <row r="1133">
      <c r="A1133" s="9">
        <f>IFERROR(__xludf.DUMMYFUNCTION("""COMPUTED_VALUE"""),42370.0)</f>
        <v>42370</v>
      </c>
      <c r="B1133" s="6" t="str">
        <f>IFERROR(__xludf.DUMMYFUNCTION("""COMPUTED_VALUE"""),"gpc_vivienda_urbanismo_pib")</f>
        <v>gpc_vivienda_urbanismo_pib</v>
      </c>
      <c r="C1133" s="6">
        <f>IFERROR(__xludf.DUMMYFUNCTION("""COMPUTED_VALUE"""),0.941570220296285)</f>
        <v>0.9415702203</v>
      </c>
      <c r="D1133" s="6">
        <v>2016.0</v>
      </c>
      <c r="E1133" s="6" t="s">
        <v>50</v>
      </c>
      <c r="F1133" s="6">
        <v>0.941570220296285</v>
      </c>
    </row>
    <row r="1134">
      <c r="A1134" s="9">
        <f>IFERROR(__xludf.DUMMYFUNCTION("""COMPUTED_VALUE"""),42370.0)</f>
        <v>42370</v>
      </c>
      <c r="B1134" s="6" t="str">
        <f>IFERROR(__xludf.DUMMYFUNCTION("""COMPUTED_VALUE"""),"gpc_promocion_asistencia_social_pib")</f>
        <v>gpc_promocion_asistencia_social_pib</v>
      </c>
      <c r="C1134" s="6">
        <f>IFERROR(__xludf.DUMMYFUNCTION("""COMPUTED_VALUE"""),1.1974865541497)</f>
        <v>1.197486554</v>
      </c>
      <c r="D1134" s="6">
        <v>2016.0</v>
      </c>
      <c r="E1134" s="6" t="s">
        <v>51</v>
      </c>
      <c r="F1134" s="6">
        <v>1.1974865541497</v>
      </c>
    </row>
    <row r="1135">
      <c r="A1135" s="9">
        <f>IFERROR(__xludf.DUMMYFUNCTION("""COMPUTED_VALUE"""),42370.0)</f>
        <v>42370</v>
      </c>
      <c r="B1135" s="6" t="str">
        <f>IFERROR(__xludf.DUMMYFUNCTION("""COMPUTED_VALUE"""),"gpc_obras_sociales_prestaciones_pib")</f>
        <v>gpc_obras_sociales_prestaciones_pib</v>
      </c>
      <c r="C1135" s="6">
        <f>IFERROR(__xludf.DUMMYFUNCTION("""COMPUTED_VALUE"""),0.153105851697821)</f>
        <v>0.1531058517</v>
      </c>
      <c r="D1135" s="6">
        <v>2016.0</v>
      </c>
      <c r="E1135" s="6" t="s">
        <v>52</v>
      </c>
      <c r="F1135" s="6">
        <v>0.153105851697821</v>
      </c>
    </row>
    <row r="1136">
      <c r="A1136" s="9">
        <f>IFERROR(__xludf.DUMMYFUNCTION("""COMPUTED_VALUE"""),42370.0)</f>
        <v>42370</v>
      </c>
      <c r="B1136" s="6" t="str">
        <f>IFERROR(__xludf.DUMMYFUNCTION("""COMPUTED_VALUE"""),"gpc_inssjyp_prestaciones_pib")</f>
        <v>gpc_inssjyp_prestaciones_pib</v>
      </c>
      <c r="C1136" s="6">
        <f>IFERROR(__xludf.DUMMYFUNCTION("""COMPUTED_VALUE"""),0.247938068844693)</f>
        <v>0.2479380688</v>
      </c>
      <c r="D1136" s="6">
        <v>2016.0</v>
      </c>
      <c r="E1136" s="6" t="s">
        <v>53</v>
      </c>
      <c r="F1136" s="6">
        <v>0.247938068844693</v>
      </c>
    </row>
    <row r="1137">
      <c r="A1137" s="9">
        <f>IFERROR(__xludf.DUMMYFUNCTION("""COMPUTED_VALUE"""),42370.0)</f>
        <v>42370</v>
      </c>
      <c r="B1137" s="6" t="str">
        <f>IFERROR(__xludf.DUMMYFUNCTION("""COMPUTED_VALUE"""),"gpc_prevision_social_pib")</f>
        <v>gpc_prevision_social_pib</v>
      </c>
      <c r="C1137" s="6">
        <f>IFERROR(__xludf.DUMMYFUNCTION("""COMPUTED_VALUE"""),11.266580224456)</f>
        <v>11.26658022</v>
      </c>
      <c r="D1137" s="6">
        <v>2016.0</v>
      </c>
      <c r="E1137" s="6" t="s">
        <v>54</v>
      </c>
      <c r="F1137" s="6">
        <v>11.266580224456</v>
      </c>
    </row>
    <row r="1138">
      <c r="A1138" s="9">
        <f>IFERROR(__xludf.DUMMYFUNCTION("""COMPUTED_VALUE"""),42370.0)</f>
        <v>42370</v>
      </c>
      <c r="B1138" s="6" t="str">
        <f>IFERROR(__xludf.DUMMYFUNCTION("""COMPUTED_VALUE"""),"gpc_programas_empleo_pib")</f>
        <v>gpc_programas_empleo_pib</v>
      </c>
      <c r="C1138" s="6">
        <f>IFERROR(__xludf.DUMMYFUNCTION("""COMPUTED_VALUE"""),0.211871406378167)</f>
        <v>0.2118714064</v>
      </c>
      <c r="D1138" s="6">
        <v>2016.0</v>
      </c>
      <c r="E1138" s="6" t="s">
        <v>55</v>
      </c>
      <c r="F1138" s="6">
        <v>0.211871406378167</v>
      </c>
    </row>
    <row r="1139">
      <c r="A1139" s="9">
        <f>IFERROR(__xludf.DUMMYFUNCTION("""COMPUTED_VALUE"""),42370.0)</f>
        <v>42370</v>
      </c>
      <c r="B1139" s="6" t="str">
        <f>IFERROR(__xludf.DUMMYFUNCTION("""COMPUTED_VALUE"""),"gpc_asignaciones_familiares_pib")</f>
        <v>gpc_asignaciones_familiares_pib</v>
      </c>
      <c r="C1139" s="6">
        <f>IFERROR(__xludf.DUMMYFUNCTION("""COMPUTED_VALUE"""),1.23490641412986)</f>
        <v>1.234906414</v>
      </c>
      <c r="D1139" s="6">
        <v>2016.0</v>
      </c>
      <c r="E1139" s="6" t="s">
        <v>56</v>
      </c>
      <c r="F1139" s="6">
        <v>1.23490641412986</v>
      </c>
    </row>
    <row r="1140">
      <c r="A1140" s="9">
        <f>IFERROR(__xludf.DUMMYFUNCTION("""COMPUTED_VALUE"""),42370.0)</f>
        <v>42370</v>
      </c>
      <c r="B1140" s="6" t="str">
        <f>IFERROR(__xludf.DUMMYFUNCTION("""COMPUTED_VALUE"""),"gpc_otros_servicios_urbanos_pib")</f>
        <v>gpc_otros_servicios_urbanos_pib</v>
      </c>
      <c r="C1140" s="6">
        <f>IFERROR(__xludf.DUMMYFUNCTION("""COMPUTED_VALUE"""),0.95507809971264)</f>
        <v>0.9550780997</v>
      </c>
      <c r="D1140" s="6">
        <v>2016.0</v>
      </c>
      <c r="E1140" s="6" t="s">
        <v>57</v>
      </c>
      <c r="F1140" s="6">
        <v>0.95507809971264</v>
      </c>
    </row>
    <row r="1141">
      <c r="A1141" s="9">
        <f>IFERROR(__xludf.DUMMYFUNCTION("""COMPUTED_VALUE"""),42370.0)</f>
        <v>42370</v>
      </c>
      <c r="B1141" s="6" t="str">
        <f>IFERROR(__xludf.DUMMYFUNCTION("""COMPUTED_VALUE"""),"gpc_servicios_economicos_pib")</f>
        <v>gpc_servicios_economicos_pib</v>
      </c>
      <c r="C1141" s="6">
        <f>IFERROR(__xludf.DUMMYFUNCTION("""COMPUTED_VALUE"""),6.19405187561651)</f>
        <v>6.194051876</v>
      </c>
      <c r="D1141" s="6">
        <v>2016.0</v>
      </c>
      <c r="E1141" s="6" t="s">
        <v>58</v>
      </c>
      <c r="F1141" s="6">
        <v>6.19405187561651</v>
      </c>
    </row>
    <row r="1142">
      <c r="A1142" s="9">
        <f>IFERROR(__xludf.DUMMYFUNCTION("""COMPUTED_VALUE"""),42370.0)</f>
        <v>42370</v>
      </c>
      <c r="B1142" s="6" t="str">
        <f>IFERROR(__xludf.DUMMYFUNCTION("""COMPUTED_VALUE"""),"gpc_produccion_primaria_pib")</f>
        <v>gpc_produccion_primaria_pib</v>
      </c>
      <c r="C1142" s="6">
        <f>IFERROR(__xludf.DUMMYFUNCTION("""COMPUTED_VALUE"""),0.391855393708049)</f>
        <v>0.3918553937</v>
      </c>
      <c r="D1142" s="6">
        <v>2016.0</v>
      </c>
      <c r="E1142" s="6" t="s">
        <v>59</v>
      </c>
      <c r="F1142" s="6">
        <v>0.391855393708049</v>
      </c>
    </row>
    <row r="1143">
      <c r="A1143" s="9">
        <f>IFERROR(__xludf.DUMMYFUNCTION("""COMPUTED_VALUE"""),42370.0)</f>
        <v>42370</v>
      </c>
      <c r="B1143" s="6" t="str">
        <f>IFERROR(__xludf.DUMMYFUNCTION("""COMPUTED_VALUE"""),"gpc_energia_combustible_pib")</f>
        <v>gpc_energia_combustible_pib</v>
      </c>
      <c r="C1143" s="6">
        <f>IFERROR(__xludf.DUMMYFUNCTION("""COMPUTED_VALUE"""),3.12394199300037)</f>
        <v>3.123941993</v>
      </c>
      <c r="D1143" s="6">
        <v>2016.0</v>
      </c>
      <c r="E1143" s="6" t="s">
        <v>60</v>
      </c>
      <c r="F1143" s="6">
        <v>3.12394199300037</v>
      </c>
    </row>
    <row r="1144">
      <c r="A1144" s="9">
        <f>IFERROR(__xludf.DUMMYFUNCTION("""COMPUTED_VALUE"""),42370.0)</f>
        <v>42370</v>
      </c>
      <c r="B1144" s="6" t="str">
        <f>IFERROR(__xludf.DUMMYFUNCTION("""COMPUTED_VALUE"""),"gpc_industria_pib")</f>
        <v>gpc_industria_pib</v>
      </c>
      <c r="C1144" s="6">
        <f>IFERROR(__xludf.DUMMYFUNCTION("""COMPUTED_VALUE"""),0.166264579647046)</f>
        <v>0.1662645796</v>
      </c>
      <c r="D1144" s="6">
        <v>2016.0</v>
      </c>
      <c r="E1144" s="6" t="s">
        <v>61</v>
      </c>
      <c r="F1144" s="6">
        <v>0.166264579647046</v>
      </c>
    </row>
    <row r="1145">
      <c r="A1145" s="9">
        <f>IFERROR(__xludf.DUMMYFUNCTION("""COMPUTED_VALUE"""),42370.0)</f>
        <v>42370</v>
      </c>
      <c r="B1145" s="6" t="str">
        <f>IFERROR(__xludf.DUMMYFUNCTION("""COMPUTED_VALUE"""),"gpc_transporte_pib")</f>
        <v>gpc_transporte_pib</v>
      </c>
      <c r="C1145" s="6">
        <f>IFERROR(__xludf.DUMMYFUNCTION("""COMPUTED_VALUE"""),2.09309369159273)</f>
        <v>2.093093692</v>
      </c>
      <c r="D1145" s="6">
        <v>2016.0</v>
      </c>
      <c r="E1145" s="6" t="s">
        <v>62</v>
      </c>
      <c r="F1145" s="6">
        <v>2.09309369159273</v>
      </c>
    </row>
    <row r="1146">
      <c r="A1146" s="9">
        <f>IFERROR(__xludf.DUMMYFUNCTION("""COMPUTED_VALUE"""),42370.0)</f>
        <v>42370</v>
      </c>
      <c r="B1146" s="6" t="str">
        <f>IFERROR(__xludf.DUMMYFUNCTION("""COMPUTED_VALUE"""),"gpc_comunicaciones_pib")</f>
        <v>gpc_comunicaciones_pib</v>
      </c>
      <c r="C1146" s="6">
        <f>IFERROR(__xludf.DUMMYFUNCTION("""COMPUTED_VALUE"""),0.163723652117353)</f>
        <v>0.1637236521</v>
      </c>
      <c r="D1146" s="6">
        <v>2016.0</v>
      </c>
      <c r="E1146" s="6" t="s">
        <v>63</v>
      </c>
      <c r="F1146" s="6">
        <v>0.163723652117353</v>
      </c>
    </row>
    <row r="1147">
      <c r="A1147" s="9">
        <f>IFERROR(__xludf.DUMMYFUNCTION("""COMPUTED_VALUE"""),42370.0)</f>
        <v>42370</v>
      </c>
      <c r="B1147" s="6" t="str">
        <f>IFERROR(__xludf.DUMMYFUNCTION("""COMPUTED_VALUE"""),"gpc_otros_servicios_economicos_pib")</f>
        <v>gpc_otros_servicios_economicos_pib</v>
      </c>
      <c r="C1147" s="6">
        <f>IFERROR(__xludf.DUMMYFUNCTION("""COMPUTED_VALUE"""),0.255172565550951)</f>
        <v>0.2551725656</v>
      </c>
      <c r="D1147" s="6">
        <v>2016.0</v>
      </c>
      <c r="E1147" s="6" t="s">
        <v>64</v>
      </c>
      <c r="F1147" s="6">
        <v>0.255172565550951</v>
      </c>
    </row>
    <row r="1148">
      <c r="A1148" s="9">
        <f>IFERROR(__xludf.DUMMYFUNCTION("""COMPUTED_VALUE"""),42370.0)</f>
        <v>42370</v>
      </c>
      <c r="B1148" s="6" t="str">
        <f>IFERROR(__xludf.DUMMYFUNCTION("""COMPUTED_VALUE"""),"gpc_servicios_deuda_publica_pib")</f>
        <v>gpc_servicios_deuda_publica_pib</v>
      </c>
      <c r="C1148" s="6">
        <f>IFERROR(__xludf.DUMMYFUNCTION("""COMPUTED_VALUE"""),4.06491546716384)</f>
        <v>4.064915467</v>
      </c>
      <c r="D1148" s="6">
        <v>2016.0</v>
      </c>
      <c r="E1148" s="6" t="s">
        <v>65</v>
      </c>
      <c r="F1148" s="6">
        <v>4.06491546716384</v>
      </c>
    </row>
    <row r="1149">
      <c r="A1149" s="9">
        <f>IFERROR(__xludf.DUMMYFUNCTION("""COMPUTED_VALUE"""),42736.0)</f>
        <v>42736</v>
      </c>
      <c r="B1149" s="6" t="str">
        <f>IFERROR(__xludf.DUMMYFUNCTION("""COMPUTED_VALUE"""),"gpc_pib")</f>
        <v>gpc_pib</v>
      </c>
      <c r="C1149" s="6">
        <f>IFERROR(__xludf.DUMMYFUNCTION("""COMPUTED_VALUE"""),46.2478183091997)</f>
        <v>46.24781831</v>
      </c>
      <c r="D1149" s="6">
        <v>2017.0</v>
      </c>
      <c r="E1149" s="6" t="s">
        <v>66</v>
      </c>
      <c r="F1149" s="6">
        <v>46.2478183091997</v>
      </c>
    </row>
    <row r="1150">
      <c r="A1150" s="9">
        <f>IFERROR(__xludf.DUMMYFUNCTION("""COMPUTED_VALUE"""),42736.0)</f>
        <v>42736</v>
      </c>
      <c r="B1150" s="6" t="str">
        <f>IFERROR(__xludf.DUMMYFUNCTION("""COMPUTED_VALUE"""),"gpc_funcionamiento_estado_pib")</f>
        <v>gpc_funcionamiento_estado_pib</v>
      </c>
      <c r="C1150" s="6">
        <f>IFERROR(__xludf.DUMMYFUNCTION("""COMPUTED_VALUE"""),7.31175566978709)</f>
        <v>7.31175567</v>
      </c>
      <c r="D1150" s="6">
        <v>2017.0</v>
      </c>
      <c r="E1150" s="6" t="s">
        <v>36</v>
      </c>
      <c r="F1150" s="6">
        <v>7.31175566978709</v>
      </c>
    </row>
    <row r="1151">
      <c r="A1151" s="9">
        <f>IFERROR(__xludf.DUMMYFUNCTION("""COMPUTED_VALUE"""),42736.0)</f>
        <v>42736</v>
      </c>
      <c r="B1151" s="6" t="str">
        <f>IFERROR(__xludf.DUMMYFUNCTION("""COMPUTED_VALUE"""),"gpc_administracion_general_pib")</f>
        <v>gpc_administracion_general_pib</v>
      </c>
      <c r="C1151" s="6">
        <f>IFERROR(__xludf.DUMMYFUNCTION("""COMPUTED_VALUE"""),3.00814018909452)</f>
        <v>3.008140189</v>
      </c>
      <c r="D1151" s="6">
        <v>2017.0</v>
      </c>
      <c r="E1151" s="6" t="s">
        <v>37</v>
      </c>
      <c r="F1151" s="6">
        <v>3.00814018909452</v>
      </c>
    </row>
    <row r="1152">
      <c r="A1152" s="9">
        <f>IFERROR(__xludf.DUMMYFUNCTION("""COMPUTED_VALUE"""),42736.0)</f>
        <v>42736</v>
      </c>
      <c r="B1152" s="6" t="str">
        <f>IFERROR(__xludf.DUMMYFUNCTION("""COMPUTED_VALUE"""),"gpc_justicia_pib")</f>
        <v>gpc_justicia_pib</v>
      </c>
      <c r="C1152" s="6">
        <f>IFERROR(__xludf.DUMMYFUNCTION("""COMPUTED_VALUE"""),1.22819249163544)</f>
        <v>1.228192492</v>
      </c>
      <c r="D1152" s="6">
        <v>2017.0</v>
      </c>
      <c r="E1152" s="6" t="s">
        <v>38</v>
      </c>
      <c r="F1152" s="6">
        <v>1.22819249163544</v>
      </c>
    </row>
    <row r="1153">
      <c r="A1153" s="9">
        <f>IFERROR(__xludf.DUMMYFUNCTION("""COMPUTED_VALUE"""),42736.0)</f>
        <v>42736</v>
      </c>
      <c r="B1153" s="6" t="str">
        <f>IFERROR(__xludf.DUMMYFUNCTION("""COMPUTED_VALUE"""),"gpc_defensa_seguridad_pib")</f>
        <v>gpc_defensa_seguridad_pib</v>
      </c>
      <c r="C1153" s="6">
        <f>IFERROR(__xludf.DUMMYFUNCTION("""COMPUTED_VALUE"""),3.07542298905713)</f>
        <v>3.075422989</v>
      </c>
      <c r="D1153" s="6">
        <v>2017.0</v>
      </c>
      <c r="E1153" s="6" t="s">
        <v>39</v>
      </c>
      <c r="F1153" s="6">
        <v>3.07542298905713</v>
      </c>
    </row>
    <row r="1154">
      <c r="A1154" s="9">
        <f>IFERROR(__xludf.DUMMYFUNCTION("""COMPUTED_VALUE"""),42736.0)</f>
        <v>42736</v>
      </c>
      <c r="B1154" s="6" t="str">
        <f>IFERROR(__xludf.DUMMYFUNCTION("""COMPUTED_VALUE"""),"gpc_servicios_sociales_pib")</f>
        <v>gpc_servicios_sociales_pib</v>
      </c>
      <c r="C1154" s="6">
        <f>IFERROR(__xludf.DUMMYFUNCTION("""COMPUTED_VALUE"""),30.6474449825931)</f>
        <v>30.64744498</v>
      </c>
      <c r="D1154" s="6">
        <v>2017.0</v>
      </c>
      <c r="E1154" s="6" t="s">
        <v>40</v>
      </c>
      <c r="F1154" s="6">
        <v>30.6474449825931</v>
      </c>
    </row>
    <row r="1155">
      <c r="A1155" s="9">
        <f>IFERROR(__xludf.DUMMYFUNCTION("""COMPUTED_VALUE"""),42736.0)</f>
        <v>42736</v>
      </c>
      <c r="B1155" s="6" t="str">
        <f>IFERROR(__xludf.DUMMYFUNCTION("""COMPUTED_VALUE"""),"gpc_educacion_basica_pib")</f>
        <v>gpc_educacion_basica_pib</v>
      </c>
      <c r="C1155" s="6">
        <f>IFERROR(__xludf.DUMMYFUNCTION("""COMPUTED_VALUE"""),3.86901752104739)</f>
        <v>3.869017521</v>
      </c>
      <c r="D1155" s="6">
        <v>2017.0</v>
      </c>
      <c r="E1155" s="6" t="s">
        <v>41</v>
      </c>
      <c r="F1155" s="6">
        <v>3.86901752104739</v>
      </c>
    </row>
    <row r="1156">
      <c r="A1156" s="9">
        <f>IFERROR(__xludf.DUMMYFUNCTION("""COMPUTED_VALUE"""),42736.0)</f>
        <v>42736</v>
      </c>
      <c r="B1156" s="6" t="str">
        <f>IFERROR(__xludf.DUMMYFUNCTION("""COMPUTED_VALUE"""),"gpc_educacion_universitaria_pib")</f>
        <v>gpc_educacion_universitaria_pib</v>
      </c>
      <c r="C1156" s="6">
        <f>IFERROR(__xludf.DUMMYFUNCTION("""COMPUTED_VALUE"""),1.26249289024356)</f>
        <v>1.26249289</v>
      </c>
      <c r="D1156" s="6">
        <v>2017.0</v>
      </c>
      <c r="E1156" s="6" t="s">
        <v>42</v>
      </c>
      <c r="F1156" s="6">
        <v>1.26249289024356</v>
      </c>
    </row>
    <row r="1157">
      <c r="A1157" s="9">
        <f>IFERROR(__xludf.DUMMYFUNCTION("""COMPUTED_VALUE"""),42736.0)</f>
        <v>42736</v>
      </c>
      <c r="B1157" s="6" t="str">
        <f>IFERROR(__xludf.DUMMYFUNCTION("""COMPUTED_VALUE"""),"gpc_ciencia_tecnica_pib")</f>
        <v>gpc_ciencia_tecnica_pib</v>
      </c>
      <c r="C1157" s="6">
        <f>IFERROR(__xludf.DUMMYFUNCTION("""COMPUTED_VALUE"""),0.283502036250579)</f>
        <v>0.2835020363</v>
      </c>
      <c r="D1157" s="6">
        <v>2017.0</v>
      </c>
      <c r="E1157" s="6" t="s">
        <v>43</v>
      </c>
      <c r="F1157" s="6">
        <v>0.283502036250579</v>
      </c>
    </row>
    <row r="1158">
      <c r="A1158" s="9">
        <f>IFERROR(__xludf.DUMMYFUNCTION("""COMPUTED_VALUE"""),42736.0)</f>
        <v>42736</v>
      </c>
      <c r="B1158" s="6" t="str">
        <f>IFERROR(__xludf.DUMMYFUNCTION("""COMPUTED_VALUE"""),"gpc_cultura_pib")</f>
        <v>gpc_cultura_pib</v>
      </c>
      <c r="C1158" s="6">
        <f>IFERROR(__xludf.DUMMYFUNCTION("""COMPUTED_VALUE"""),0.236690946765625)</f>
        <v>0.2366909468</v>
      </c>
      <c r="D1158" s="6">
        <v>2017.0</v>
      </c>
      <c r="E1158" s="6" t="s">
        <v>44</v>
      </c>
      <c r="F1158" s="6">
        <v>0.236690946765625</v>
      </c>
    </row>
    <row r="1159">
      <c r="A1159" s="9">
        <f>IFERROR(__xludf.DUMMYFUNCTION("""COMPUTED_VALUE"""),42736.0)</f>
        <v>42736</v>
      </c>
      <c r="B1159" s="6" t="str">
        <f>IFERROR(__xludf.DUMMYFUNCTION("""COMPUTED_VALUE"""),"gpc_educacion_cultura_sin_discriminar_pib")</f>
        <v>gpc_educacion_cultura_sin_discriminar_pib</v>
      </c>
      <c r="C1159" s="6">
        <f>IFERROR(__xludf.DUMMYFUNCTION("""COMPUTED_VALUE"""),0.613888970691831)</f>
        <v>0.6138889707</v>
      </c>
      <c r="D1159" s="6">
        <v>2017.0</v>
      </c>
      <c r="E1159" s="6" t="s">
        <v>45</v>
      </c>
      <c r="F1159" s="6">
        <v>0.613888970691831</v>
      </c>
    </row>
    <row r="1160">
      <c r="A1160" s="9">
        <f>IFERROR(__xludf.DUMMYFUNCTION("""COMPUTED_VALUE"""),42736.0)</f>
        <v>42736</v>
      </c>
      <c r="B1160" s="6" t="str">
        <f>IFERROR(__xludf.DUMMYFUNCTION("""COMPUTED_VALUE"""),"gpc_atencion_salud_pib")</f>
        <v>gpc_atencion_salud_pib</v>
      </c>
      <c r="C1160" s="6">
        <f>IFERROR(__xludf.DUMMYFUNCTION("""COMPUTED_VALUE"""),2.72766388635881)</f>
        <v>2.727663886</v>
      </c>
      <c r="D1160" s="6">
        <v>2017.0</v>
      </c>
      <c r="E1160" s="6" t="s">
        <v>46</v>
      </c>
      <c r="F1160" s="6">
        <v>2.72766388635881</v>
      </c>
    </row>
    <row r="1161">
      <c r="A1161" s="9">
        <f>IFERROR(__xludf.DUMMYFUNCTION("""COMPUTED_VALUE"""),42736.0)</f>
        <v>42736</v>
      </c>
      <c r="B1161" s="6" t="str">
        <f>IFERROR(__xludf.DUMMYFUNCTION("""COMPUTED_VALUE"""),"gpc_obras_sociales_salud_pib")</f>
        <v>gpc_obras_sociales_salud_pib</v>
      </c>
      <c r="C1161" s="6">
        <f>IFERROR(__xludf.DUMMYFUNCTION("""COMPUTED_VALUE"""),3.10753620955683)</f>
        <v>3.10753621</v>
      </c>
      <c r="D1161" s="6">
        <v>2017.0</v>
      </c>
      <c r="E1161" s="6" t="s">
        <v>47</v>
      </c>
      <c r="F1161" s="6">
        <v>3.10753620955683</v>
      </c>
    </row>
    <row r="1162">
      <c r="A1162" s="9">
        <f>IFERROR(__xludf.DUMMYFUNCTION("""COMPUTED_VALUE"""),42736.0)</f>
        <v>42736</v>
      </c>
      <c r="B1162" s="6" t="str">
        <f>IFERROR(__xludf.DUMMYFUNCTION("""COMPUTED_VALUE"""),"gpc_inssjyp_salud_pib")</f>
        <v>gpc_inssjyp_salud_pib</v>
      </c>
      <c r="C1162" s="6">
        <f>IFERROR(__xludf.DUMMYFUNCTION("""COMPUTED_VALUE"""),0.904487881276515)</f>
        <v>0.9044878813</v>
      </c>
      <c r="D1162" s="6">
        <v>2017.0</v>
      </c>
      <c r="E1162" s="6" t="s">
        <v>48</v>
      </c>
      <c r="F1162" s="6">
        <v>0.904487881276515</v>
      </c>
    </row>
    <row r="1163">
      <c r="A1163" s="9">
        <f>IFERROR(__xludf.DUMMYFUNCTION("""COMPUTED_VALUE"""),42736.0)</f>
        <v>42736</v>
      </c>
      <c r="B1163" s="6" t="str">
        <f>IFERROR(__xludf.DUMMYFUNCTION("""COMPUTED_VALUE"""),"gpc_agua_alcantarillado_pib")</f>
        <v>gpc_agua_alcantarillado_pib</v>
      </c>
      <c r="C1163" s="6">
        <f>IFERROR(__xludf.DUMMYFUNCTION("""COMPUTED_VALUE"""),0.559556246712744)</f>
        <v>0.5595562467</v>
      </c>
      <c r="D1163" s="6">
        <v>2017.0</v>
      </c>
      <c r="E1163" s="6" t="s">
        <v>49</v>
      </c>
      <c r="F1163" s="6">
        <v>0.559556246712744</v>
      </c>
    </row>
    <row r="1164">
      <c r="A1164" s="9">
        <f>IFERROR(__xludf.DUMMYFUNCTION("""COMPUTED_VALUE"""),42736.0)</f>
        <v>42736</v>
      </c>
      <c r="B1164" s="6" t="str">
        <f>IFERROR(__xludf.DUMMYFUNCTION("""COMPUTED_VALUE"""),"gpc_vivienda_urbanismo_pib")</f>
        <v>gpc_vivienda_urbanismo_pib</v>
      </c>
      <c r="C1164" s="6">
        <f>IFERROR(__xludf.DUMMYFUNCTION("""COMPUTED_VALUE"""),1.02289401557416)</f>
        <v>1.022894016</v>
      </c>
      <c r="D1164" s="6">
        <v>2017.0</v>
      </c>
      <c r="E1164" s="6" t="s">
        <v>50</v>
      </c>
      <c r="F1164" s="6">
        <v>1.02289401557416</v>
      </c>
    </row>
    <row r="1165">
      <c r="A1165" s="9">
        <f>IFERROR(__xludf.DUMMYFUNCTION("""COMPUTED_VALUE"""),42736.0)</f>
        <v>42736</v>
      </c>
      <c r="B1165" s="6" t="str">
        <f>IFERROR(__xludf.DUMMYFUNCTION("""COMPUTED_VALUE"""),"gpc_promocion_asistencia_social_pib")</f>
        <v>gpc_promocion_asistencia_social_pib</v>
      </c>
      <c r="C1165" s="6">
        <f>IFERROR(__xludf.DUMMYFUNCTION("""COMPUTED_VALUE"""),1.38200371378809)</f>
        <v>1.382003714</v>
      </c>
      <c r="D1165" s="6">
        <v>2017.0</v>
      </c>
      <c r="E1165" s="6" t="s">
        <v>51</v>
      </c>
      <c r="F1165" s="6">
        <v>1.38200371378809</v>
      </c>
    </row>
    <row r="1166">
      <c r="A1166" s="9">
        <f>IFERROR(__xludf.DUMMYFUNCTION("""COMPUTED_VALUE"""),42736.0)</f>
        <v>42736</v>
      </c>
      <c r="B1166" s="6" t="str">
        <f>IFERROR(__xludf.DUMMYFUNCTION("""COMPUTED_VALUE"""),"gpc_obras_sociales_prestaciones_pib")</f>
        <v>gpc_obras_sociales_prestaciones_pib</v>
      </c>
      <c r="C1166" s="6">
        <f>IFERROR(__xludf.DUMMYFUNCTION("""COMPUTED_VALUE"""),0.160530040000907)</f>
        <v>0.16053004</v>
      </c>
      <c r="D1166" s="6">
        <v>2017.0</v>
      </c>
      <c r="E1166" s="6" t="s">
        <v>52</v>
      </c>
      <c r="F1166" s="6">
        <v>0.160530040000907</v>
      </c>
    </row>
    <row r="1167">
      <c r="A1167" s="9">
        <f>IFERROR(__xludf.DUMMYFUNCTION("""COMPUTED_VALUE"""),42736.0)</f>
        <v>42736</v>
      </c>
      <c r="B1167" s="6" t="str">
        <f>IFERROR(__xludf.DUMMYFUNCTION("""COMPUTED_VALUE"""),"gpc_inssjyp_prestaciones_pib")</f>
        <v>gpc_inssjyp_prestaciones_pib</v>
      </c>
      <c r="C1167" s="6">
        <f>IFERROR(__xludf.DUMMYFUNCTION("""COMPUTED_VALUE"""),0.228060647910213)</f>
        <v>0.2280606479</v>
      </c>
      <c r="D1167" s="6">
        <v>2017.0</v>
      </c>
      <c r="E1167" s="6" t="s">
        <v>53</v>
      </c>
      <c r="F1167" s="6">
        <v>0.228060647910213</v>
      </c>
    </row>
    <row r="1168">
      <c r="A1168" s="9">
        <f>IFERROR(__xludf.DUMMYFUNCTION("""COMPUTED_VALUE"""),42736.0)</f>
        <v>42736</v>
      </c>
      <c r="B1168" s="6" t="str">
        <f>IFERROR(__xludf.DUMMYFUNCTION("""COMPUTED_VALUE"""),"gpc_prevision_social_pib")</f>
        <v>gpc_prevision_social_pib</v>
      </c>
      <c r="C1168" s="6">
        <f>IFERROR(__xludf.DUMMYFUNCTION("""COMPUTED_VALUE"""),11.7874932566281)</f>
        <v>11.78749326</v>
      </c>
      <c r="D1168" s="6">
        <v>2017.0</v>
      </c>
      <c r="E1168" s="6" t="s">
        <v>54</v>
      </c>
      <c r="F1168" s="6">
        <v>11.7874932566281</v>
      </c>
    </row>
    <row r="1169">
      <c r="A1169" s="9">
        <f>IFERROR(__xludf.DUMMYFUNCTION("""COMPUTED_VALUE"""),42736.0)</f>
        <v>42736</v>
      </c>
      <c r="B1169" s="6" t="str">
        <f>IFERROR(__xludf.DUMMYFUNCTION("""COMPUTED_VALUE"""),"gpc_programas_empleo_pib")</f>
        <v>gpc_programas_empleo_pib</v>
      </c>
      <c r="C1169" s="6">
        <f>IFERROR(__xludf.DUMMYFUNCTION("""COMPUTED_VALUE"""),0.244754694540347)</f>
        <v>0.2447546945</v>
      </c>
      <c r="D1169" s="6">
        <v>2017.0</v>
      </c>
      <c r="E1169" s="6" t="s">
        <v>55</v>
      </c>
      <c r="F1169" s="6">
        <v>0.244754694540347</v>
      </c>
    </row>
    <row r="1170">
      <c r="A1170" s="9">
        <f>IFERROR(__xludf.DUMMYFUNCTION("""COMPUTED_VALUE"""),42736.0)</f>
        <v>42736</v>
      </c>
      <c r="B1170" s="6" t="str">
        <f>IFERROR(__xludf.DUMMYFUNCTION("""COMPUTED_VALUE"""),"gpc_asignaciones_familiares_pib")</f>
        <v>gpc_asignaciones_familiares_pib</v>
      </c>
      <c r="C1170" s="6">
        <f>IFERROR(__xludf.DUMMYFUNCTION("""COMPUTED_VALUE"""),1.25082988232968)</f>
        <v>1.250829882</v>
      </c>
      <c r="D1170" s="6">
        <v>2017.0</v>
      </c>
      <c r="E1170" s="6" t="s">
        <v>56</v>
      </c>
      <c r="F1170" s="6">
        <v>1.25082988232968</v>
      </c>
    </row>
    <row r="1171">
      <c r="A1171" s="9">
        <f>IFERROR(__xludf.DUMMYFUNCTION("""COMPUTED_VALUE"""),42736.0)</f>
        <v>42736</v>
      </c>
      <c r="B1171" s="6" t="str">
        <f>IFERROR(__xludf.DUMMYFUNCTION("""COMPUTED_VALUE"""),"gpc_otros_servicios_urbanos_pib")</f>
        <v>gpc_otros_servicios_urbanos_pib</v>
      </c>
      <c r="C1171" s="6">
        <f>IFERROR(__xludf.DUMMYFUNCTION("""COMPUTED_VALUE"""),1.00604214291774)</f>
        <v>1.006042143</v>
      </c>
      <c r="D1171" s="6">
        <v>2017.0</v>
      </c>
      <c r="E1171" s="6" t="s">
        <v>57</v>
      </c>
      <c r="F1171" s="6">
        <v>1.00604214291774</v>
      </c>
    </row>
    <row r="1172">
      <c r="A1172" s="9">
        <f>IFERROR(__xludf.DUMMYFUNCTION("""COMPUTED_VALUE"""),42736.0)</f>
        <v>42736</v>
      </c>
      <c r="B1172" s="6" t="str">
        <f>IFERROR(__xludf.DUMMYFUNCTION("""COMPUTED_VALUE"""),"gpc_servicios_economicos_pib")</f>
        <v>gpc_servicios_economicos_pib</v>
      </c>
      <c r="C1172" s="6">
        <f>IFERROR(__xludf.DUMMYFUNCTION("""COMPUTED_VALUE"""),4.87773305724704)</f>
        <v>4.877733057</v>
      </c>
      <c r="D1172" s="6">
        <v>2017.0</v>
      </c>
      <c r="E1172" s="6" t="s">
        <v>58</v>
      </c>
      <c r="F1172" s="6">
        <v>4.87773305724704</v>
      </c>
    </row>
    <row r="1173">
      <c r="A1173" s="9">
        <f>IFERROR(__xludf.DUMMYFUNCTION("""COMPUTED_VALUE"""),42736.0)</f>
        <v>42736</v>
      </c>
      <c r="B1173" s="6" t="str">
        <f>IFERROR(__xludf.DUMMYFUNCTION("""COMPUTED_VALUE"""),"gpc_produccion_primaria_pib")</f>
        <v>gpc_produccion_primaria_pib</v>
      </c>
      <c r="C1173" s="6">
        <f>IFERROR(__xludf.DUMMYFUNCTION("""COMPUTED_VALUE"""),0.417780435374059)</f>
        <v>0.4177804354</v>
      </c>
      <c r="D1173" s="6">
        <v>2017.0</v>
      </c>
      <c r="E1173" s="6" t="s">
        <v>59</v>
      </c>
      <c r="F1173" s="6">
        <v>0.417780435374059</v>
      </c>
    </row>
    <row r="1174">
      <c r="A1174" s="9">
        <f>IFERROR(__xludf.DUMMYFUNCTION("""COMPUTED_VALUE"""),42736.0)</f>
        <v>42736</v>
      </c>
      <c r="B1174" s="6" t="str">
        <f>IFERROR(__xludf.DUMMYFUNCTION("""COMPUTED_VALUE"""),"gpc_energia_combustible_pib")</f>
        <v>gpc_energia_combustible_pib</v>
      </c>
      <c r="C1174" s="6">
        <f>IFERROR(__xludf.DUMMYFUNCTION("""COMPUTED_VALUE"""),1.72437885965963)</f>
        <v>1.72437886</v>
      </c>
      <c r="D1174" s="6">
        <v>2017.0</v>
      </c>
      <c r="E1174" s="6" t="s">
        <v>60</v>
      </c>
      <c r="F1174" s="6">
        <v>1.72437885965963</v>
      </c>
    </row>
    <row r="1175">
      <c r="A1175" s="9">
        <f>IFERROR(__xludf.DUMMYFUNCTION("""COMPUTED_VALUE"""),42736.0)</f>
        <v>42736</v>
      </c>
      <c r="B1175" s="6" t="str">
        <f>IFERROR(__xludf.DUMMYFUNCTION("""COMPUTED_VALUE"""),"gpc_industria_pib")</f>
        <v>gpc_industria_pib</v>
      </c>
      <c r="C1175" s="6">
        <f>IFERROR(__xludf.DUMMYFUNCTION("""COMPUTED_VALUE"""),0.139620772355604)</f>
        <v>0.1396207724</v>
      </c>
      <c r="D1175" s="6">
        <v>2017.0</v>
      </c>
      <c r="E1175" s="6" t="s">
        <v>61</v>
      </c>
      <c r="F1175" s="6">
        <v>0.139620772355604</v>
      </c>
    </row>
    <row r="1176">
      <c r="A1176" s="9">
        <f>IFERROR(__xludf.DUMMYFUNCTION("""COMPUTED_VALUE"""),42736.0)</f>
        <v>42736</v>
      </c>
      <c r="B1176" s="6" t="str">
        <f>IFERROR(__xludf.DUMMYFUNCTION("""COMPUTED_VALUE"""),"gpc_transporte_pib")</f>
        <v>gpc_transporte_pib</v>
      </c>
      <c r="C1176" s="6">
        <f>IFERROR(__xludf.DUMMYFUNCTION("""COMPUTED_VALUE"""),2.16212979849254)</f>
        <v>2.162129798</v>
      </c>
      <c r="D1176" s="6">
        <v>2017.0</v>
      </c>
      <c r="E1176" s="6" t="s">
        <v>62</v>
      </c>
      <c r="F1176" s="6">
        <v>2.16212979849254</v>
      </c>
    </row>
    <row r="1177">
      <c r="A1177" s="9">
        <f>IFERROR(__xludf.DUMMYFUNCTION("""COMPUTED_VALUE"""),42736.0)</f>
        <v>42736</v>
      </c>
      <c r="B1177" s="6" t="str">
        <f>IFERROR(__xludf.DUMMYFUNCTION("""COMPUTED_VALUE"""),"gpc_comunicaciones_pib")</f>
        <v>gpc_comunicaciones_pib</v>
      </c>
      <c r="C1177" s="6">
        <f>IFERROR(__xludf.DUMMYFUNCTION("""COMPUTED_VALUE"""),0.152416996357582)</f>
        <v>0.1524169964</v>
      </c>
      <c r="D1177" s="6">
        <v>2017.0</v>
      </c>
      <c r="E1177" s="6" t="s">
        <v>63</v>
      </c>
      <c r="F1177" s="6">
        <v>0.152416996357582</v>
      </c>
    </row>
    <row r="1178">
      <c r="A1178" s="9">
        <f>IFERROR(__xludf.DUMMYFUNCTION("""COMPUTED_VALUE"""),42736.0)</f>
        <v>42736</v>
      </c>
      <c r="B1178" s="6" t="str">
        <f>IFERROR(__xludf.DUMMYFUNCTION("""COMPUTED_VALUE"""),"gpc_otros_servicios_economicos_pib")</f>
        <v>gpc_otros_servicios_economicos_pib</v>
      </c>
      <c r="C1178" s="6">
        <f>IFERROR(__xludf.DUMMYFUNCTION("""COMPUTED_VALUE"""),0.281406195007616)</f>
        <v>0.281406195</v>
      </c>
      <c r="D1178" s="6">
        <v>2017.0</v>
      </c>
      <c r="E1178" s="6" t="s">
        <v>64</v>
      </c>
      <c r="F1178" s="6">
        <v>0.281406195007616</v>
      </c>
    </row>
    <row r="1179">
      <c r="A1179" s="9">
        <f>IFERROR(__xludf.DUMMYFUNCTION("""COMPUTED_VALUE"""),42736.0)</f>
        <v>42736</v>
      </c>
      <c r="B1179" s="6" t="str">
        <f>IFERROR(__xludf.DUMMYFUNCTION("""COMPUTED_VALUE"""),"gpc_servicios_deuda_publica_pib")</f>
        <v>gpc_servicios_deuda_publica_pib</v>
      </c>
      <c r="C1179" s="6">
        <f>IFERROR(__xludf.DUMMYFUNCTION("""COMPUTED_VALUE"""),3.41088459957246)</f>
        <v>3.4108846</v>
      </c>
      <c r="D1179" s="6">
        <v>2017.0</v>
      </c>
      <c r="E1179" s="6" t="s">
        <v>65</v>
      </c>
      <c r="F1179" s="6">
        <v>3.41088459957246</v>
      </c>
    </row>
    <row r="1180">
      <c r="A1180" s="9">
        <f>IFERROR(__xludf.DUMMYFUNCTION("""COMPUTED_VALUE"""),43101.0)</f>
        <v>43101</v>
      </c>
      <c r="B1180" s="6" t="str">
        <f>IFERROR(__xludf.DUMMYFUNCTION("""COMPUTED_VALUE"""),"gpc_pib")</f>
        <v>gpc_pib</v>
      </c>
      <c r="C1180" s="6">
        <f>IFERROR(__xludf.DUMMYFUNCTION("""COMPUTED_VALUE"""),43.5896246770766)</f>
        <v>43.58962468</v>
      </c>
      <c r="D1180" s="6">
        <v>2018.0</v>
      </c>
      <c r="E1180" s="6" t="s">
        <v>66</v>
      </c>
      <c r="F1180" s="6">
        <v>43.5896246770766</v>
      </c>
    </row>
    <row r="1181">
      <c r="A1181" s="9">
        <f>IFERROR(__xludf.DUMMYFUNCTION("""COMPUTED_VALUE"""),43101.0)</f>
        <v>43101</v>
      </c>
      <c r="B1181" s="6" t="str">
        <f>IFERROR(__xludf.DUMMYFUNCTION("""COMPUTED_VALUE"""),"gpc_funcionamiento_estado_pib")</f>
        <v>gpc_funcionamiento_estado_pib</v>
      </c>
      <c r="C1181" s="6">
        <f>IFERROR(__xludf.DUMMYFUNCTION("""COMPUTED_VALUE"""),6.59364789079859)</f>
        <v>6.593647891</v>
      </c>
      <c r="D1181" s="6">
        <v>2018.0</v>
      </c>
      <c r="E1181" s="6" t="s">
        <v>36</v>
      </c>
      <c r="F1181" s="6">
        <v>6.59364789079859</v>
      </c>
    </row>
    <row r="1182">
      <c r="A1182" s="9">
        <f>IFERROR(__xludf.DUMMYFUNCTION("""COMPUTED_VALUE"""),43101.0)</f>
        <v>43101</v>
      </c>
      <c r="B1182" s="6" t="str">
        <f>IFERROR(__xludf.DUMMYFUNCTION("""COMPUTED_VALUE"""),"gpc_administracion_general_pib")</f>
        <v>gpc_administracion_general_pib</v>
      </c>
      <c r="C1182" s="6">
        <f>IFERROR(__xludf.DUMMYFUNCTION("""COMPUTED_VALUE"""),2.70729817548758)</f>
        <v>2.707298175</v>
      </c>
      <c r="D1182" s="6">
        <v>2018.0</v>
      </c>
      <c r="E1182" s="6" t="s">
        <v>37</v>
      </c>
      <c r="F1182" s="6">
        <v>2.70729817548758</v>
      </c>
    </row>
    <row r="1183">
      <c r="A1183" s="9">
        <f>IFERROR(__xludf.DUMMYFUNCTION("""COMPUTED_VALUE"""),43101.0)</f>
        <v>43101</v>
      </c>
      <c r="B1183" s="6" t="str">
        <f>IFERROR(__xludf.DUMMYFUNCTION("""COMPUTED_VALUE"""),"gpc_justicia_pib")</f>
        <v>gpc_justicia_pib</v>
      </c>
      <c r="C1183" s="6">
        <f>IFERROR(__xludf.DUMMYFUNCTION("""COMPUTED_VALUE"""),1.15428006658827)</f>
        <v>1.154280067</v>
      </c>
      <c r="D1183" s="6">
        <v>2018.0</v>
      </c>
      <c r="E1183" s="6" t="s">
        <v>38</v>
      </c>
      <c r="F1183" s="6">
        <v>1.15428006658827</v>
      </c>
    </row>
    <row r="1184">
      <c r="A1184" s="9">
        <f>IFERROR(__xludf.DUMMYFUNCTION("""COMPUTED_VALUE"""),43101.0)</f>
        <v>43101</v>
      </c>
      <c r="B1184" s="6" t="str">
        <f>IFERROR(__xludf.DUMMYFUNCTION("""COMPUTED_VALUE"""),"gpc_defensa_seguridad_pib")</f>
        <v>gpc_defensa_seguridad_pib</v>
      </c>
      <c r="C1184" s="6">
        <f>IFERROR(__xludf.DUMMYFUNCTION("""COMPUTED_VALUE"""),2.73206964872273)</f>
        <v>2.732069649</v>
      </c>
      <c r="D1184" s="6">
        <v>2018.0</v>
      </c>
      <c r="E1184" s="6" t="s">
        <v>39</v>
      </c>
      <c r="F1184" s="6">
        <v>2.73206964872273</v>
      </c>
    </row>
    <row r="1185">
      <c r="A1185" s="9">
        <f>IFERROR(__xludf.DUMMYFUNCTION("""COMPUTED_VALUE"""),43101.0)</f>
        <v>43101</v>
      </c>
      <c r="B1185" s="6" t="str">
        <f>IFERROR(__xludf.DUMMYFUNCTION("""COMPUTED_VALUE"""),"gpc_servicios_sociales_pib")</f>
        <v>gpc_servicios_sociales_pib</v>
      </c>
      <c r="C1185" s="6">
        <f>IFERROR(__xludf.DUMMYFUNCTION("""COMPUTED_VALUE"""),28.0923843273443)</f>
        <v>28.09238433</v>
      </c>
      <c r="D1185" s="6">
        <v>2018.0</v>
      </c>
      <c r="E1185" s="6" t="s">
        <v>40</v>
      </c>
      <c r="F1185" s="6">
        <v>28.0923843273443</v>
      </c>
    </row>
    <row r="1186">
      <c r="A1186" s="9">
        <f>IFERROR(__xludf.DUMMYFUNCTION("""COMPUTED_VALUE"""),43101.0)</f>
        <v>43101</v>
      </c>
      <c r="B1186" s="6" t="str">
        <f>IFERROR(__xludf.DUMMYFUNCTION("""COMPUTED_VALUE"""),"gpc_educacion_basica_pib")</f>
        <v>gpc_educacion_basica_pib</v>
      </c>
      <c r="C1186" s="6">
        <f>IFERROR(__xludf.DUMMYFUNCTION("""COMPUTED_VALUE"""),3.47423580480618)</f>
        <v>3.474235805</v>
      </c>
      <c r="D1186" s="6">
        <v>2018.0</v>
      </c>
      <c r="E1186" s="6" t="s">
        <v>41</v>
      </c>
      <c r="F1186" s="6">
        <v>3.47423580480618</v>
      </c>
    </row>
    <row r="1187">
      <c r="A1187" s="9">
        <f>IFERROR(__xludf.DUMMYFUNCTION("""COMPUTED_VALUE"""),43101.0)</f>
        <v>43101</v>
      </c>
      <c r="B1187" s="6" t="str">
        <f>IFERROR(__xludf.DUMMYFUNCTION("""COMPUTED_VALUE"""),"gpc_educacion_universitaria_pib")</f>
        <v>gpc_educacion_universitaria_pib</v>
      </c>
      <c r="C1187" s="6">
        <f>IFERROR(__xludf.DUMMYFUNCTION("""COMPUTED_VALUE"""),1.19688968791896)</f>
        <v>1.196889688</v>
      </c>
      <c r="D1187" s="6">
        <v>2018.0</v>
      </c>
      <c r="E1187" s="6" t="s">
        <v>42</v>
      </c>
      <c r="F1187" s="6">
        <v>1.19688968791896</v>
      </c>
    </row>
    <row r="1188">
      <c r="A1188" s="9">
        <f>IFERROR(__xludf.DUMMYFUNCTION("""COMPUTED_VALUE"""),43101.0)</f>
        <v>43101</v>
      </c>
      <c r="B1188" s="6" t="str">
        <f>IFERROR(__xludf.DUMMYFUNCTION("""COMPUTED_VALUE"""),"gpc_ciencia_tecnica_pib")</f>
        <v>gpc_ciencia_tecnica_pib</v>
      </c>
      <c r="C1188" s="6">
        <f>IFERROR(__xludf.DUMMYFUNCTION("""COMPUTED_VALUE"""),0.227936774479841)</f>
        <v>0.2279367745</v>
      </c>
      <c r="D1188" s="6">
        <v>2018.0</v>
      </c>
      <c r="E1188" s="6" t="s">
        <v>43</v>
      </c>
      <c r="F1188" s="6">
        <v>0.227936774479841</v>
      </c>
    </row>
    <row r="1189">
      <c r="A1189" s="9">
        <f>IFERROR(__xludf.DUMMYFUNCTION("""COMPUTED_VALUE"""),43101.0)</f>
        <v>43101</v>
      </c>
      <c r="B1189" s="6" t="str">
        <f>IFERROR(__xludf.DUMMYFUNCTION("""COMPUTED_VALUE"""),"gpc_cultura_pib")</f>
        <v>gpc_cultura_pib</v>
      </c>
      <c r="C1189" s="6">
        <f>IFERROR(__xludf.DUMMYFUNCTION("""COMPUTED_VALUE"""),0.20861679836099)</f>
        <v>0.2086167984</v>
      </c>
      <c r="D1189" s="6">
        <v>2018.0</v>
      </c>
      <c r="E1189" s="6" t="s">
        <v>44</v>
      </c>
      <c r="F1189" s="6">
        <v>0.20861679836099</v>
      </c>
    </row>
    <row r="1190">
      <c r="A1190" s="9">
        <f>IFERROR(__xludf.DUMMYFUNCTION("""COMPUTED_VALUE"""),43101.0)</f>
        <v>43101</v>
      </c>
      <c r="B1190" s="6" t="str">
        <f>IFERROR(__xludf.DUMMYFUNCTION("""COMPUTED_VALUE"""),"gpc_educacion_cultura_sin_discriminar_pib")</f>
        <v>gpc_educacion_cultura_sin_discriminar_pib</v>
      </c>
      <c r="C1190" s="6">
        <f>IFERROR(__xludf.DUMMYFUNCTION("""COMPUTED_VALUE"""),0.495446996286636)</f>
        <v>0.4954469963</v>
      </c>
      <c r="D1190" s="6">
        <v>2018.0</v>
      </c>
      <c r="E1190" s="6" t="s">
        <v>45</v>
      </c>
      <c r="F1190" s="6">
        <v>0.495446996286636</v>
      </c>
    </row>
    <row r="1191">
      <c r="A1191" s="9">
        <f>IFERROR(__xludf.DUMMYFUNCTION("""COMPUTED_VALUE"""),43101.0)</f>
        <v>43101</v>
      </c>
      <c r="B1191" s="6" t="str">
        <f>IFERROR(__xludf.DUMMYFUNCTION("""COMPUTED_VALUE"""),"gpc_atencion_salud_pib")</f>
        <v>gpc_atencion_salud_pib</v>
      </c>
      <c r="C1191" s="6">
        <f>IFERROR(__xludf.DUMMYFUNCTION("""COMPUTED_VALUE"""),2.52516873941891)</f>
        <v>2.525168739</v>
      </c>
      <c r="D1191" s="6">
        <v>2018.0</v>
      </c>
      <c r="E1191" s="6" t="s">
        <v>46</v>
      </c>
      <c r="F1191" s="6">
        <v>2.52516873941891</v>
      </c>
    </row>
    <row r="1192">
      <c r="A1192" s="9">
        <f>IFERROR(__xludf.DUMMYFUNCTION("""COMPUTED_VALUE"""),43101.0)</f>
        <v>43101</v>
      </c>
      <c r="B1192" s="6" t="str">
        <f>IFERROR(__xludf.DUMMYFUNCTION("""COMPUTED_VALUE"""),"gpc_obras_sociales_salud_pib")</f>
        <v>gpc_obras_sociales_salud_pib</v>
      </c>
      <c r="C1192" s="6">
        <f>IFERROR(__xludf.DUMMYFUNCTION("""COMPUTED_VALUE"""),2.8790509265424)</f>
        <v>2.879050927</v>
      </c>
      <c r="D1192" s="6">
        <v>2018.0</v>
      </c>
      <c r="E1192" s="6" t="s">
        <v>47</v>
      </c>
      <c r="F1192" s="6">
        <v>2.8790509265424</v>
      </c>
    </row>
    <row r="1193">
      <c r="A1193" s="9">
        <f>IFERROR(__xludf.DUMMYFUNCTION("""COMPUTED_VALUE"""),43101.0)</f>
        <v>43101</v>
      </c>
      <c r="B1193" s="6" t="str">
        <f>IFERROR(__xludf.DUMMYFUNCTION("""COMPUTED_VALUE"""),"gpc_inssjyp_salud_pib")</f>
        <v>gpc_inssjyp_salud_pib</v>
      </c>
      <c r="C1193" s="6">
        <f>IFERROR(__xludf.DUMMYFUNCTION("""COMPUTED_VALUE"""),0.747251265599453)</f>
        <v>0.7472512656</v>
      </c>
      <c r="D1193" s="6">
        <v>2018.0</v>
      </c>
      <c r="E1193" s="6" t="s">
        <v>48</v>
      </c>
      <c r="F1193" s="6">
        <v>0.747251265599453</v>
      </c>
    </row>
    <row r="1194">
      <c r="A1194" s="9">
        <f>IFERROR(__xludf.DUMMYFUNCTION("""COMPUTED_VALUE"""),43101.0)</f>
        <v>43101</v>
      </c>
      <c r="B1194" s="6" t="str">
        <f>IFERROR(__xludf.DUMMYFUNCTION("""COMPUTED_VALUE"""),"gpc_agua_alcantarillado_pib")</f>
        <v>gpc_agua_alcantarillado_pib</v>
      </c>
      <c r="C1194" s="6">
        <f>IFERROR(__xludf.DUMMYFUNCTION("""COMPUTED_VALUE"""),0.475161680868284)</f>
        <v>0.4751616809</v>
      </c>
      <c r="D1194" s="6">
        <v>2018.0</v>
      </c>
      <c r="E1194" s="6" t="s">
        <v>49</v>
      </c>
      <c r="F1194" s="6">
        <v>0.475161680868284</v>
      </c>
    </row>
    <row r="1195">
      <c r="A1195" s="9">
        <f>IFERROR(__xludf.DUMMYFUNCTION("""COMPUTED_VALUE"""),43101.0)</f>
        <v>43101</v>
      </c>
      <c r="B1195" s="6" t="str">
        <f>IFERROR(__xludf.DUMMYFUNCTION("""COMPUTED_VALUE"""),"gpc_vivienda_urbanismo_pib")</f>
        <v>gpc_vivienda_urbanismo_pib</v>
      </c>
      <c r="C1195" s="6">
        <f>IFERROR(__xludf.DUMMYFUNCTION("""COMPUTED_VALUE"""),0.903323480578039)</f>
        <v>0.9033234806</v>
      </c>
      <c r="D1195" s="6">
        <v>2018.0</v>
      </c>
      <c r="E1195" s="6" t="s">
        <v>50</v>
      </c>
      <c r="F1195" s="6">
        <v>0.903323480578039</v>
      </c>
    </row>
    <row r="1196">
      <c r="A1196" s="9">
        <f>IFERROR(__xludf.DUMMYFUNCTION("""COMPUTED_VALUE"""),43101.0)</f>
        <v>43101</v>
      </c>
      <c r="B1196" s="6" t="str">
        <f>IFERROR(__xludf.DUMMYFUNCTION("""COMPUTED_VALUE"""),"gpc_promocion_asistencia_social_pib")</f>
        <v>gpc_promocion_asistencia_social_pib</v>
      </c>
      <c r="C1196" s="6">
        <f>IFERROR(__xludf.DUMMYFUNCTION("""COMPUTED_VALUE"""),1.3346844571651)</f>
        <v>1.334684457</v>
      </c>
      <c r="D1196" s="6">
        <v>2018.0</v>
      </c>
      <c r="E1196" s="6" t="s">
        <v>51</v>
      </c>
      <c r="F1196" s="6">
        <v>1.3346844571651</v>
      </c>
    </row>
    <row r="1197">
      <c r="A1197" s="9">
        <f>IFERROR(__xludf.DUMMYFUNCTION("""COMPUTED_VALUE"""),43101.0)</f>
        <v>43101</v>
      </c>
      <c r="B1197" s="6" t="str">
        <f>IFERROR(__xludf.DUMMYFUNCTION("""COMPUTED_VALUE"""),"gpc_obras_sociales_prestaciones_pib")</f>
        <v>gpc_obras_sociales_prestaciones_pib</v>
      </c>
      <c r="C1197" s="6">
        <f>IFERROR(__xludf.DUMMYFUNCTION("""COMPUTED_VALUE"""),0.148335040723779)</f>
        <v>0.1483350407</v>
      </c>
      <c r="D1197" s="6">
        <v>2018.0</v>
      </c>
      <c r="E1197" s="6" t="s">
        <v>52</v>
      </c>
      <c r="F1197" s="6">
        <v>0.148335040723779</v>
      </c>
    </row>
    <row r="1198">
      <c r="A1198" s="9">
        <f>IFERROR(__xludf.DUMMYFUNCTION("""COMPUTED_VALUE"""),43101.0)</f>
        <v>43101</v>
      </c>
      <c r="B1198" s="6" t="str">
        <f>IFERROR(__xludf.DUMMYFUNCTION("""COMPUTED_VALUE"""),"gpc_inssjyp_prestaciones_pib")</f>
        <v>gpc_inssjyp_prestaciones_pib</v>
      </c>
      <c r="C1198" s="6">
        <f>IFERROR(__xludf.DUMMYFUNCTION("""COMPUTED_VALUE"""),0.16396597846632)</f>
        <v>0.1639659785</v>
      </c>
      <c r="D1198" s="6">
        <v>2018.0</v>
      </c>
      <c r="E1198" s="6" t="s">
        <v>53</v>
      </c>
      <c r="F1198" s="6">
        <v>0.16396597846632</v>
      </c>
    </row>
    <row r="1199">
      <c r="A1199" s="9">
        <f>IFERROR(__xludf.DUMMYFUNCTION("""COMPUTED_VALUE"""),43101.0)</f>
        <v>43101</v>
      </c>
      <c r="B1199" s="6" t="str">
        <f>IFERROR(__xludf.DUMMYFUNCTION("""COMPUTED_VALUE"""),"gpc_prevision_social_pib")</f>
        <v>gpc_prevision_social_pib</v>
      </c>
      <c r="C1199" s="6">
        <f>IFERROR(__xludf.DUMMYFUNCTION("""COMPUTED_VALUE"""),10.95250485343)</f>
        <v>10.95250485</v>
      </c>
      <c r="D1199" s="6">
        <v>2018.0</v>
      </c>
      <c r="E1199" s="6" t="s">
        <v>54</v>
      </c>
      <c r="F1199" s="6">
        <v>10.95250485343</v>
      </c>
    </row>
    <row r="1200">
      <c r="A1200" s="9">
        <f>IFERROR(__xludf.DUMMYFUNCTION("""COMPUTED_VALUE"""),43101.0)</f>
        <v>43101</v>
      </c>
      <c r="B1200" s="6" t="str">
        <f>IFERROR(__xludf.DUMMYFUNCTION("""COMPUTED_VALUE"""),"gpc_programas_empleo_pib")</f>
        <v>gpc_programas_empleo_pib</v>
      </c>
      <c r="C1200" s="6">
        <f>IFERROR(__xludf.DUMMYFUNCTION("""COMPUTED_VALUE"""),0.191596240696081)</f>
        <v>0.1915962407</v>
      </c>
      <c r="D1200" s="6">
        <v>2018.0</v>
      </c>
      <c r="E1200" s="6" t="s">
        <v>55</v>
      </c>
      <c r="F1200" s="6">
        <v>0.191596240696081</v>
      </c>
    </row>
    <row r="1201">
      <c r="A1201" s="9">
        <f>IFERROR(__xludf.DUMMYFUNCTION("""COMPUTED_VALUE"""),43101.0)</f>
        <v>43101</v>
      </c>
      <c r="B1201" s="6" t="str">
        <f>IFERROR(__xludf.DUMMYFUNCTION("""COMPUTED_VALUE"""),"gpc_asignaciones_familiares_pib")</f>
        <v>gpc_asignaciones_familiares_pib</v>
      </c>
      <c r="C1201" s="6">
        <f>IFERROR(__xludf.DUMMYFUNCTION("""COMPUTED_VALUE"""),1.19282271152916)</f>
        <v>1.192822712</v>
      </c>
      <c r="D1201" s="6">
        <v>2018.0</v>
      </c>
      <c r="E1201" s="6" t="s">
        <v>56</v>
      </c>
      <c r="F1201" s="6">
        <v>1.19282271152916</v>
      </c>
    </row>
    <row r="1202">
      <c r="A1202" s="9">
        <f>IFERROR(__xludf.DUMMYFUNCTION("""COMPUTED_VALUE"""),43101.0)</f>
        <v>43101</v>
      </c>
      <c r="B1202" s="6" t="str">
        <f>IFERROR(__xludf.DUMMYFUNCTION("""COMPUTED_VALUE"""),"gpc_otros_servicios_urbanos_pib")</f>
        <v>gpc_otros_servicios_urbanos_pib</v>
      </c>
      <c r="C1202" s="6">
        <f>IFERROR(__xludf.DUMMYFUNCTION("""COMPUTED_VALUE"""),0.975392890474161)</f>
        <v>0.9753928905</v>
      </c>
      <c r="D1202" s="6">
        <v>2018.0</v>
      </c>
      <c r="E1202" s="6" t="s">
        <v>57</v>
      </c>
      <c r="F1202" s="6">
        <v>0.975392890474161</v>
      </c>
    </row>
    <row r="1203">
      <c r="A1203" s="9">
        <f>IFERROR(__xludf.DUMMYFUNCTION("""COMPUTED_VALUE"""),43101.0)</f>
        <v>43101</v>
      </c>
      <c r="B1203" s="6" t="str">
        <f>IFERROR(__xludf.DUMMYFUNCTION("""COMPUTED_VALUE"""),"gpc_servicios_economicos_pib")</f>
        <v>gpc_servicios_economicos_pib</v>
      </c>
      <c r="C1203" s="6">
        <f>IFERROR(__xludf.DUMMYFUNCTION("""COMPUTED_VALUE"""),4.58464514392888)</f>
        <v>4.584645144</v>
      </c>
      <c r="D1203" s="6">
        <v>2018.0</v>
      </c>
      <c r="E1203" s="6" t="s">
        <v>58</v>
      </c>
      <c r="F1203" s="6">
        <v>4.58464514392888</v>
      </c>
    </row>
    <row r="1204">
      <c r="A1204" s="9">
        <f>IFERROR(__xludf.DUMMYFUNCTION("""COMPUTED_VALUE"""),43101.0)</f>
        <v>43101</v>
      </c>
      <c r="B1204" s="6" t="str">
        <f>IFERROR(__xludf.DUMMYFUNCTION("""COMPUTED_VALUE"""),"gpc_produccion_primaria_pib")</f>
        <v>gpc_produccion_primaria_pib</v>
      </c>
      <c r="C1204" s="6">
        <f>IFERROR(__xludf.DUMMYFUNCTION("""COMPUTED_VALUE"""),0.371508277626083)</f>
        <v>0.3715082776</v>
      </c>
      <c r="D1204" s="6">
        <v>2018.0</v>
      </c>
      <c r="E1204" s="6" t="s">
        <v>59</v>
      </c>
      <c r="F1204" s="6">
        <v>0.371508277626083</v>
      </c>
    </row>
    <row r="1205">
      <c r="A1205" s="9">
        <f>IFERROR(__xludf.DUMMYFUNCTION("""COMPUTED_VALUE"""),43101.0)</f>
        <v>43101</v>
      </c>
      <c r="B1205" s="6" t="str">
        <f>IFERROR(__xludf.DUMMYFUNCTION("""COMPUTED_VALUE"""),"gpc_energia_combustible_pib")</f>
        <v>gpc_energia_combustible_pib</v>
      </c>
      <c r="C1205" s="6">
        <f>IFERROR(__xludf.DUMMYFUNCTION("""COMPUTED_VALUE"""),1.55874515298174)</f>
        <v>1.558745153</v>
      </c>
      <c r="D1205" s="6">
        <v>2018.0</v>
      </c>
      <c r="E1205" s="6" t="s">
        <v>60</v>
      </c>
      <c r="F1205" s="6">
        <v>1.55874515298174</v>
      </c>
    </row>
    <row r="1206">
      <c r="A1206" s="9">
        <f>IFERROR(__xludf.DUMMYFUNCTION("""COMPUTED_VALUE"""),43101.0)</f>
        <v>43101</v>
      </c>
      <c r="B1206" s="6" t="str">
        <f>IFERROR(__xludf.DUMMYFUNCTION("""COMPUTED_VALUE"""),"gpc_industria_pib")</f>
        <v>gpc_industria_pib</v>
      </c>
      <c r="C1206" s="6">
        <f>IFERROR(__xludf.DUMMYFUNCTION("""COMPUTED_VALUE"""),0.11163938935535)</f>
        <v>0.1116393894</v>
      </c>
      <c r="D1206" s="6">
        <v>2018.0</v>
      </c>
      <c r="E1206" s="6" t="s">
        <v>61</v>
      </c>
      <c r="F1206" s="6">
        <v>0.11163938935535</v>
      </c>
    </row>
    <row r="1207">
      <c r="A1207" s="9">
        <f>IFERROR(__xludf.DUMMYFUNCTION("""COMPUTED_VALUE"""),43101.0)</f>
        <v>43101</v>
      </c>
      <c r="B1207" s="6" t="str">
        <f>IFERROR(__xludf.DUMMYFUNCTION("""COMPUTED_VALUE"""),"gpc_transporte_pib")</f>
        <v>gpc_transporte_pib</v>
      </c>
      <c r="C1207" s="6">
        <f>IFERROR(__xludf.DUMMYFUNCTION("""COMPUTED_VALUE"""),2.19357112489835)</f>
        <v>2.193571125</v>
      </c>
      <c r="D1207" s="6">
        <v>2018.0</v>
      </c>
      <c r="E1207" s="6" t="s">
        <v>62</v>
      </c>
      <c r="F1207" s="6">
        <v>2.19357112489835</v>
      </c>
    </row>
    <row r="1208">
      <c r="A1208" s="9">
        <f>IFERROR(__xludf.DUMMYFUNCTION("""COMPUTED_VALUE"""),43101.0)</f>
        <v>43101</v>
      </c>
      <c r="B1208" s="6" t="str">
        <f>IFERROR(__xludf.DUMMYFUNCTION("""COMPUTED_VALUE"""),"gpc_comunicaciones_pib")</f>
        <v>gpc_comunicaciones_pib</v>
      </c>
      <c r="C1208" s="6">
        <f>IFERROR(__xludf.DUMMYFUNCTION("""COMPUTED_VALUE"""),0.123576983572242)</f>
        <v>0.1235769836</v>
      </c>
      <c r="D1208" s="6">
        <v>2018.0</v>
      </c>
      <c r="E1208" s="6" t="s">
        <v>63</v>
      </c>
      <c r="F1208" s="6">
        <v>0.123576983572242</v>
      </c>
    </row>
    <row r="1209">
      <c r="A1209" s="9">
        <f>IFERROR(__xludf.DUMMYFUNCTION("""COMPUTED_VALUE"""),43101.0)</f>
        <v>43101</v>
      </c>
      <c r="B1209" s="6" t="str">
        <f>IFERROR(__xludf.DUMMYFUNCTION("""COMPUTED_VALUE"""),"gpc_otros_servicios_economicos_pib")</f>
        <v>gpc_otros_servicios_economicos_pib</v>
      </c>
      <c r="C1209" s="6">
        <f>IFERROR(__xludf.DUMMYFUNCTION("""COMPUTED_VALUE"""),0.225604215495101)</f>
        <v>0.2256042155</v>
      </c>
      <c r="D1209" s="6">
        <v>2018.0</v>
      </c>
      <c r="E1209" s="6" t="s">
        <v>64</v>
      </c>
      <c r="F1209" s="6">
        <v>0.225604215495101</v>
      </c>
    </row>
    <row r="1210">
      <c r="A1210" s="9">
        <f>IFERROR(__xludf.DUMMYFUNCTION("""COMPUTED_VALUE"""),43101.0)</f>
        <v>43101</v>
      </c>
      <c r="B1210" s="6" t="str">
        <f>IFERROR(__xludf.DUMMYFUNCTION("""COMPUTED_VALUE"""),"gpc_servicios_deuda_publica_pib")</f>
        <v>gpc_servicios_deuda_publica_pib</v>
      </c>
      <c r="C1210" s="6">
        <f>IFERROR(__xludf.DUMMYFUNCTION("""COMPUTED_VALUE"""),4.31894731500475)</f>
        <v>4.318947315</v>
      </c>
      <c r="D1210" s="6">
        <v>2018.0</v>
      </c>
      <c r="E1210" s="6" t="s">
        <v>65</v>
      </c>
      <c r="F1210" s="6">
        <v>4.31894731500475</v>
      </c>
    </row>
    <row r="1211">
      <c r="A1211" s="9">
        <f>IFERROR(__xludf.DUMMYFUNCTION("""COMPUTED_VALUE"""),43466.0)</f>
        <v>43466</v>
      </c>
      <c r="B1211" s="6" t="str">
        <f>IFERROR(__xludf.DUMMYFUNCTION("""COMPUTED_VALUE"""),"gpc_pib")</f>
        <v>gpc_pib</v>
      </c>
      <c r="C1211" s="6">
        <f>IFERROR(__xludf.DUMMYFUNCTION("""COMPUTED_VALUE"""),43.4633946794305)</f>
        <v>43.46339468</v>
      </c>
      <c r="D1211" s="6">
        <v>2019.0</v>
      </c>
      <c r="E1211" s="6" t="s">
        <v>66</v>
      </c>
      <c r="F1211" s="6">
        <v>43.4633946794305</v>
      </c>
    </row>
    <row r="1212">
      <c r="A1212" s="9">
        <f>IFERROR(__xludf.DUMMYFUNCTION("""COMPUTED_VALUE"""),43466.0)</f>
        <v>43466</v>
      </c>
      <c r="B1212" s="6" t="str">
        <f>IFERROR(__xludf.DUMMYFUNCTION("""COMPUTED_VALUE"""),"gpc_funcionamiento_estado_pib")</f>
        <v>gpc_funcionamiento_estado_pib</v>
      </c>
      <c r="C1212" s="6">
        <f>IFERROR(__xludf.DUMMYFUNCTION("""COMPUTED_VALUE"""),6.41411495124781)</f>
        <v>6.414114951</v>
      </c>
      <c r="D1212" s="6">
        <v>2019.0</v>
      </c>
      <c r="E1212" s="6" t="s">
        <v>36</v>
      </c>
      <c r="F1212" s="6">
        <v>6.41411495124781</v>
      </c>
    </row>
    <row r="1213">
      <c r="A1213" s="9">
        <f>IFERROR(__xludf.DUMMYFUNCTION("""COMPUTED_VALUE"""),43466.0)</f>
        <v>43466</v>
      </c>
      <c r="B1213" s="6" t="str">
        <f>IFERROR(__xludf.DUMMYFUNCTION("""COMPUTED_VALUE"""),"gpc_administracion_general_pib")</f>
        <v>gpc_administracion_general_pib</v>
      </c>
      <c r="C1213" s="6">
        <f>IFERROR(__xludf.DUMMYFUNCTION("""COMPUTED_VALUE"""),2.67367666421877)</f>
        <v>2.673676664</v>
      </c>
      <c r="D1213" s="6">
        <v>2019.0</v>
      </c>
      <c r="E1213" s="6" t="s">
        <v>37</v>
      </c>
      <c r="F1213" s="6">
        <v>2.67367666421877</v>
      </c>
    </row>
    <row r="1214">
      <c r="A1214" s="9">
        <f>IFERROR(__xludf.DUMMYFUNCTION("""COMPUTED_VALUE"""),43466.0)</f>
        <v>43466</v>
      </c>
      <c r="B1214" s="6" t="str">
        <f>IFERROR(__xludf.DUMMYFUNCTION("""COMPUTED_VALUE"""),"gpc_justicia_pib")</f>
        <v>gpc_justicia_pib</v>
      </c>
      <c r="C1214" s="6">
        <f>IFERROR(__xludf.DUMMYFUNCTION("""COMPUTED_VALUE"""),1.18597006067803)</f>
        <v>1.185970061</v>
      </c>
      <c r="D1214" s="6">
        <v>2019.0</v>
      </c>
      <c r="E1214" s="6" t="s">
        <v>38</v>
      </c>
      <c r="F1214" s="6">
        <v>1.18597006067803</v>
      </c>
    </row>
    <row r="1215">
      <c r="A1215" s="9">
        <f>IFERROR(__xludf.DUMMYFUNCTION("""COMPUTED_VALUE"""),43466.0)</f>
        <v>43466</v>
      </c>
      <c r="B1215" s="6" t="str">
        <f>IFERROR(__xludf.DUMMYFUNCTION("""COMPUTED_VALUE"""),"gpc_defensa_seguridad_pib")</f>
        <v>gpc_defensa_seguridad_pib</v>
      </c>
      <c r="C1215" s="6">
        <f>IFERROR(__xludf.DUMMYFUNCTION("""COMPUTED_VALUE"""),2.55446822635101)</f>
        <v>2.554468226</v>
      </c>
      <c r="D1215" s="6">
        <v>2019.0</v>
      </c>
      <c r="E1215" s="6" t="s">
        <v>39</v>
      </c>
      <c r="F1215" s="6">
        <v>2.55446822635101</v>
      </c>
    </row>
    <row r="1216">
      <c r="A1216" s="9">
        <f>IFERROR(__xludf.DUMMYFUNCTION("""COMPUTED_VALUE"""),43466.0)</f>
        <v>43466</v>
      </c>
      <c r="B1216" s="6" t="str">
        <f>IFERROR(__xludf.DUMMYFUNCTION("""COMPUTED_VALUE"""),"gpc_servicios_sociales_pib")</f>
        <v>gpc_servicios_sociales_pib</v>
      </c>
      <c r="C1216" s="6">
        <f>IFERROR(__xludf.DUMMYFUNCTION("""COMPUTED_VALUE"""),27.9022394993136)</f>
        <v>27.9022395</v>
      </c>
      <c r="D1216" s="6">
        <v>2019.0</v>
      </c>
      <c r="E1216" s="6" t="s">
        <v>40</v>
      </c>
      <c r="F1216" s="6">
        <v>27.9022394993136</v>
      </c>
    </row>
    <row r="1217">
      <c r="A1217" s="9">
        <f>IFERROR(__xludf.DUMMYFUNCTION("""COMPUTED_VALUE"""),43466.0)</f>
        <v>43466</v>
      </c>
      <c r="B1217" s="6" t="str">
        <f>IFERROR(__xludf.DUMMYFUNCTION("""COMPUTED_VALUE"""),"gpc_educacion_basica_pib")</f>
        <v>gpc_educacion_basica_pib</v>
      </c>
      <c r="C1217" s="6">
        <f>IFERROR(__xludf.DUMMYFUNCTION("""COMPUTED_VALUE"""),3.43473747747339)</f>
        <v>3.434737477</v>
      </c>
      <c r="D1217" s="6">
        <v>2019.0</v>
      </c>
      <c r="E1217" s="6" t="s">
        <v>41</v>
      </c>
      <c r="F1217" s="6">
        <v>3.43473747747339</v>
      </c>
    </row>
    <row r="1218">
      <c r="A1218" s="9">
        <f>IFERROR(__xludf.DUMMYFUNCTION("""COMPUTED_VALUE"""),43466.0)</f>
        <v>43466</v>
      </c>
      <c r="B1218" s="6" t="str">
        <f>IFERROR(__xludf.DUMMYFUNCTION("""COMPUTED_VALUE"""),"gpc_educacion_universitaria_pib")</f>
        <v>gpc_educacion_universitaria_pib</v>
      </c>
      <c r="C1218" s="6">
        <f>IFERROR(__xludf.DUMMYFUNCTION("""COMPUTED_VALUE"""),1.08072261252812)</f>
        <v>1.080722613</v>
      </c>
      <c r="D1218" s="6">
        <v>2019.0</v>
      </c>
      <c r="E1218" s="6" t="s">
        <v>42</v>
      </c>
      <c r="F1218" s="6">
        <v>1.08072261252812</v>
      </c>
    </row>
    <row r="1219">
      <c r="A1219" s="9">
        <f>IFERROR(__xludf.DUMMYFUNCTION("""COMPUTED_VALUE"""),43466.0)</f>
        <v>43466</v>
      </c>
      <c r="B1219" s="6" t="str">
        <f>IFERROR(__xludf.DUMMYFUNCTION("""COMPUTED_VALUE"""),"gpc_ciencia_tecnica_pib")</f>
        <v>gpc_ciencia_tecnica_pib</v>
      </c>
      <c r="C1219" s="6">
        <f>IFERROR(__xludf.DUMMYFUNCTION("""COMPUTED_VALUE"""),0.199623818934709)</f>
        <v>0.1996238189</v>
      </c>
      <c r="D1219" s="6">
        <v>2019.0</v>
      </c>
      <c r="E1219" s="6" t="s">
        <v>43</v>
      </c>
      <c r="F1219" s="6">
        <v>0.199623818934709</v>
      </c>
    </row>
    <row r="1220">
      <c r="A1220" s="9">
        <f>IFERROR(__xludf.DUMMYFUNCTION("""COMPUTED_VALUE"""),43466.0)</f>
        <v>43466</v>
      </c>
      <c r="B1220" s="6" t="str">
        <f>IFERROR(__xludf.DUMMYFUNCTION("""COMPUTED_VALUE"""),"gpc_cultura_pib")</f>
        <v>gpc_cultura_pib</v>
      </c>
      <c r="C1220" s="6">
        <f>IFERROR(__xludf.DUMMYFUNCTION("""COMPUTED_VALUE"""),0.188516779160338)</f>
        <v>0.1885167792</v>
      </c>
      <c r="D1220" s="6">
        <v>2019.0</v>
      </c>
      <c r="E1220" s="6" t="s">
        <v>44</v>
      </c>
      <c r="F1220" s="6">
        <v>0.188516779160338</v>
      </c>
    </row>
    <row r="1221">
      <c r="A1221" s="9">
        <f>IFERROR(__xludf.DUMMYFUNCTION("""COMPUTED_VALUE"""),43466.0)</f>
        <v>43466</v>
      </c>
      <c r="B1221" s="6" t="str">
        <f>IFERROR(__xludf.DUMMYFUNCTION("""COMPUTED_VALUE"""),"gpc_educacion_cultura_sin_discriminar_pib")</f>
        <v>gpc_educacion_cultura_sin_discriminar_pib</v>
      </c>
      <c r="C1221" s="6">
        <f>IFERROR(__xludf.DUMMYFUNCTION("""COMPUTED_VALUE"""),0.523823622511627)</f>
        <v>0.5238236225</v>
      </c>
      <c r="D1221" s="6">
        <v>2019.0</v>
      </c>
      <c r="E1221" s="6" t="s">
        <v>45</v>
      </c>
      <c r="F1221" s="6">
        <v>0.523823622511627</v>
      </c>
    </row>
    <row r="1222">
      <c r="A1222" s="9">
        <f>IFERROR(__xludf.DUMMYFUNCTION("""COMPUTED_VALUE"""),43466.0)</f>
        <v>43466</v>
      </c>
      <c r="B1222" s="6" t="str">
        <f>IFERROR(__xludf.DUMMYFUNCTION("""COMPUTED_VALUE"""),"gpc_atencion_salud_pib")</f>
        <v>gpc_atencion_salud_pib</v>
      </c>
      <c r="C1222" s="6">
        <f>IFERROR(__xludf.DUMMYFUNCTION("""COMPUTED_VALUE"""),2.52916043668613)</f>
        <v>2.529160437</v>
      </c>
      <c r="D1222" s="6">
        <v>2019.0</v>
      </c>
      <c r="E1222" s="6" t="s">
        <v>46</v>
      </c>
      <c r="F1222" s="6">
        <v>2.52916043668613</v>
      </c>
    </row>
    <row r="1223">
      <c r="A1223" s="9">
        <f>IFERROR(__xludf.DUMMYFUNCTION("""COMPUTED_VALUE"""),43466.0)</f>
        <v>43466</v>
      </c>
      <c r="B1223" s="6" t="str">
        <f>IFERROR(__xludf.DUMMYFUNCTION("""COMPUTED_VALUE"""),"gpc_obras_sociales_salud_pib")</f>
        <v>gpc_obras_sociales_salud_pib</v>
      </c>
      <c r="C1223" s="6">
        <f>IFERROR(__xludf.DUMMYFUNCTION("""COMPUTED_VALUE"""),2.89709491029367)</f>
        <v>2.89709491</v>
      </c>
      <c r="D1223" s="6">
        <v>2019.0</v>
      </c>
      <c r="E1223" s="6" t="s">
        <v>47</v>
      </c>
      <c r="F1223" s="6">
        <v>2.89709491029367</v>
      </c>
    </row>
    <row r="1224">
      <c r="A1224" s="9">
        <f>IFERROR(__xludf.DUMMYFUNCTION("""COMPUTED_VALUE"""),43466.0)</f>
        <v>43466</v>
      </c>
      <c r="B1224" s="6" t="str">
        <f>IFERROR(__xludf.DUMMYFUNCTION("""COMPUTED_VALUE"""),"gpc_inssjyp_salud_pib")</f>
        <v>gpc_inssjyp_salud_pib</v>
      </c>
      <c r="C1224" s="6">
        <f>IFERROR(__xludf.DUMMYFUNCTION("""COMPUTED_VALUE"""),0.819035881362264)</f>
        <v>0.8190358814</v>
      </c>
      <c r="D1224" s="6">
        <v>2019.0</v>
      </c>
      <c r="E1224" s="6" t="s">
        <v>48</v>
      </c>
      <c r="F1224" s="6">
        <v>0.819035881362264</v>
      </c>
    </row>
    <row r="1225">
      <c r="A1225" s="9">
        <f>IFERROR(__xludf.DUMMYFUNCTION("""COMPUTED_VALUE"""),43466.0)</f>
        <v>43466</v>
      </c>
      <c r="B1225" s="6" t="str">
        <f>IFERROR(__xludf.DUMMYFUNCTION("""COMPUTED_VALUE"""),"gpc_agua_alcantarillado_pib")</f>
        <v>gpc_agua_alcantarillado_pib</v>
      </c>
      <c r="C1225" s="6">
        <f>IFERROR(__xludf.DUMMYFUNCTION("""COMPUTED_VALUE"""),0.382790615139843)</f>
        <v>0.3827906151</v>
      </c>
      <c r="D1225" s="6">
        <v>2019.0</v>
      </c>
      <c r="E1225" s="6" t="s">
        <v>49</v>
      </c>
      <c r="F1225" s="6">
        <v>0.382790615139843</v>
      </c>
    </row>
    <row r="1226">
      <c r="A1226" s="9">
        <f>IFERROR(__xludf.DUMMYFUNCTION("""COMPUTED_VALUE"""),43466.0)</f>
        <v>43466</v>
      </c>
      <c r="B1226" s="6" t="str">
        <f>IFERROR(__xludf.DUMMYFUNCTION("""COMPUTED_VALUE"""),"gpc_vivienda_urbanismo_pib")</f>
        <v>gpc_vivienda_urbanismo_pib</v>
      </c>
      <c r="C1226" s="6">
        <f>IFERROR(__xludf.DUMMYFUNCTION("""COMPUTED_VALUE"""),0.850467910254129)</f>
        <v>0.8504679103</v>
      </c>
      <c r="D1226" s="6">
        <v>2019.0</v>
      </c>
      <c r="E1226" s="6" t="s">
        <v>50</v>
      </c>
      <c r="F1226" s="6">
        <v>0.850467910254129</v>
      </c>
    </row>
    <row r="1227">
      <c r="A1227" s="9">
        <f>IFERROR(__xludf.DUMMYFUNCTION("""COMPUTED_VALUE"""),43466.0)</f>
        <v>43466</v>
      </c>
      <c r="B1227" s="6" t="str">
        <f>IFERROR(__xludf.DUMMYFUNCTION("""COMPUTED_VALUE"""),"gpc_promocion_asistencia_social_pib")</f>
        <v>gpc_promocion_asistencia_social_pib</v>
      </c>
      <c r="C1227" s="6">
        <f>IFERROR(__xludf.DUMMYFUNCTION("""COMPUTED_VALUE"""),1.40331429583695)</f>
        <v>1.403314296</v>
      </c>
      <c r="D1227" s="6">
        <v>2019.0</v>
      </c>
      <c r="E1227" s="6" t="s">
        <v>51</v>
      </c>
      <c r="F1227" s="6">
        <v>1.40331429583695</v>
      </c>
    </row>
    <row r="1228">
      <c r="A1228" s="9">
        <f>IFERROR(__xludf.DUMMYFUNCTION("""COMPUTED_VALUE"""),43466.0)</f>
        <v>43466</v>
      </c>
      <c r="B1228" s="6" t="str">
        <f>IFERROR(__xludf.DUMMYFUNCTION("""COMPUTED_VALUE"""),"gpc_obras_sociales_prestaciones_pib")</f>
        <v>gpc_obras_sociales_prestaciones_pib</v>
      </c>
      <c r="C1228" s="6">
        <f>IFERROR(__xludf.DUMMYFUNCTION("""COMPUTED_VALUE"""),0.149128393828054)</f>
        <v>0.1491283938</v>
      </c>
      <c r="D1228" s="6">
        <v>2019.0</v>
      </c>
      <c r="E1228" s="6" t="s">
        <v>52</v>
      </c>
      <c r="F1228" s="6">
        <v>0.149128393828054</v>
      </c>
    </row>
    <row r="1229">
      <c r="A1229" s="9">
        <f>IFERROR(__xludf.DUMMYFUNCTION("""COMPUTED_VALUE"""),43466.0)</f>
        <v>43466</v>
      </c>
      <c r="B1229" s="6" t="str">
        <f>IFERROR(__xludf.DUMMYFUNCTION("""COMPUTED_VALUE"""),"gpc_inssjyp_prestaciones_pib")</f>
        <v>gpc_inssjyp_prestaciones_pib</v>
      </c>
      <c r="C1229" s="6">
        <f>IFERROR(__xludf.DUMMYFUNCTION("""COMPUTED_VALUE"""),0.179717353020512)</f>
        <v>0.179717353</v>
      </c>
      <c r="D1229" s="6">
        <v>2019.0</v>
      </c>
      <c r="E1229" s="6" t="s">
        <v>53</v>
      </c>
      <c r="F1229" s="6">
        <v>0.179717353020512</v>
      </c>
    </row>
    <row r="1230">
      <c r="A1230" s="9">
        <f>IFERROR(__xludf.DUMMYFUNCTION("""COMPUTED_VALUE"""),43466.0)</f>
        <v>43466</v>
      </c>
      <c r="B1230" s="6" t="str">
        <f>IFERROR(__xludf.DUMMYFUNCTION("""COMPUTED_VALUE"""),"gpc_prevision_social_pib")</f>
        <v>gpc_prevision_social_pib</v>
      </c>
      <c r="C1230" s="6">
        <f>IFERROR(__xludf.DUMMYFUNCTION("""COMPUTED_VALUE"""),10.918835478277)</f>
        <v>10.91883548</v>
      </c>
      <c r="D1230" s="6">
        <v>2019.0</v>
      </c>
      <c r="E1230" s="6" t="s">
        <v>54</v>
      </c>
      <c r="F1230" s="6">
        <v>10.918835478277</v>
      </c>
    </row>
    <row r="1231">
      <c r="A1231" s="9">
        <f>IFERROR(__xludf.DUMMYFUNCTION("""COMPUTED_VALUE"""),43466.0)</f>
        <v>43466</v>
      </c>
      <c r="B1231" s="6" t="str">
        <f>IFERROR(__xludf.DUMMYFUNCTION("""COMPUTED_VALUE"""),"gpc_programas_empleo_pib")</f>
        <v>gpc_programas_empleo_pib</v>
      </c>
      <c r="C1231" s="6">
        <f>IFERROR(__xludf.DUMMYFUNCTION("""COMPUTED_VALUE"""),0.200787355136752)</f>
        <v>0.2007873551</v>
      </c>
      <c r="D1231" s="6">
        <v>2019.0</v>
      </c>
      <c r="E1231" s="6" t="s">
        <v>55</v>
      </c>
      <c r="F1231" s="6">
        <v>0.200787355136752</v>
      </c>
    </row>
    <row r="1232">
      <c r="A1232" s="9">
        <f>IFERROR(__xludf.DUMMYFUNCTION("""COMPUTED_VALUE"""),43466.0)</f>
        <v>43466</v>
      </c>
      <c r="B1232" s="6" t="str">
        <f>IFERROR(__xludf.DUMMYFUNCTION("""COMPUTED_VALUE"""),"gpc_asignaciones_familiares_pib")</f>
        <v>gpc_asignaciones_familiares_pib</v>
      </c>
      <c r="C1232" s="6">
        <f>IFERROR(__xludf.DUMMYFUNCTION("""COMPUTED_VALUE"""),1.16034732847089)</f>
        <v>1.160347328</v>
      </c>
      <c r="D1232" s="6">
        <v>2019.0</v>
      </c>
      <c r="E1232" s="6" t="s">
        <v>56</v>
      </c>
      <c r="F1232" s="6">
        <v>1.16034732847089</v>
      </c>
    </row>
    <row r="1233">
      <c r="A1233" s="9">
        <f>IFERROR(__xludf.DUMMYFUNCTION("""COMPUTED_VALUE"""),43466.0)</f>
        <v>43466</v>
      </c>
      <c r="B1233" s="6" t="str">
        <f>IFERROR(__xludf.DUMMYFUNCTION("""COMPUTED_VALUE"""),"gpc_otros_servicios_urbanos_pib")</f>
        <v>gpc_otros_servicios_urbanos_pib</v>
      </c>
      <c r="C1233" s="6">
        <f>IFERROR(__xludf.DUMMYFUNCTION("""COMPUTED_VALUE"""),0.98413523039915)</f>
        <v>0.9841352304</v>
      </c>
      <c r="D1233" s="6">
        <v>2019.0</v>
      </c>
      <c r="E1233" s="6" t="s">
        <v>57</v>
      </c>
      <c r="F1233" s="6">
        <v>0.98413523039915</v>
      </c>
    </row>
    <row r="1234">
      <c r="A1234" s="9">
        <f>IFERROR(__xludf.DUMMYFUNCTION("""COMPUTED_VALUE"""),43466.0)</f>
        <v>43466</v>
      </c>
      <c r="B1234" s="6" t="str">
        <f>IFERROR(__xludf.DUMMYFUNCTION("""COMPUTED_VALUE"""),"gpc_servicios_economicos_pib")</f>
        <v>gpc_servicios_economicos_pib</v>
      </c>
      <c r="C1234" s="6">
        <f>IFERROR(__xludf.DUMMYFUNCTION("""COMPUTED_VALUE"""),4.10162526502528)</f>
        <v>4.101625265</v>
      </c>
      <c r="D1234" s="6">
        <v>2019.0</v>
      </c>
      <c r="E1234" s="6" t="s">
        <v>58</v>
      </c>
      <c r="F1234" s="6">
        <v>4.10162526502528</v>
      </c>
    </row>
    <row r="1235">
      <c r="A1235" s="9">
        <f>IFERROR(__xludf.DUMMYFUNCTION("""COMPUTED_VALUE"""),43466.0)</f>
        <v>43466</v>
      </c>
      <c r="B1235" s="6" t="str">
        <f>IFERROR(__xludf.DUMMYFUNCTION("""COMPUTED_VALUE"""),"gpc_produccion_primaria_pib")</f>
        <v>gpc_produccion_primaria_pib</v>
      </c>
      <c r="C1235" s="6">
        <f>IFERROR(__xludf.DUMMYFUNCTION("""COMPUTED_VALUE"""),0.346857576055794)</f>
        <v>0.3468575761</v>
      </c>
      <c r="D1235" s="6">
        <v>2019.0</v>
      </c>
      <c r="E1235" s="6" t="s">
        <v>59</v>
      </c>
      <c r="F1235" s="6">
        <v>0.346857576055794</v>
      </c>
    </row>
    <row r="1236">
      <c r="A1236" s="9">
        <f>IFERROR(__xludf.DUMMYFUNCTION("""COMPUTED_VALUE"""),43466.0)</f>
        <v>43466</v>
      </c>
      <c r="B1236" s="6" t="str">
        <f>IFERROR(__xludf.DUMMYFUNCTION("""COMPUTED_VALUE"""),"gpc_energia_combustible_pib")</f>
        <v>gpc_energia_combustible_pib</v>
      </c>
      <c r="C1236" s="6">
        <f>IFERROR(__xludf.DUMMYFUNCTION("""COMPUTED_VALUE"""),1.31656877890772)</f>
        <v>1.316568779</v>
      </c>
      <c r="D1236" s="6">
        <v>2019.0</v>
      </c>
      <c r="E1236" s="6" t="s">
        <v>60</v>
      </c>
      <c r="F1236" s="6">
        <v>1.31656877890772</v>
      </c>
    </row>
    <row r="1237">
      <c r="A1237" s="9">
        <f>IFERROR(__xludf.DUMMYFUNCTION("""COMPUTED_VALUE"""),43466.0)</f>
        <v>43466</v>
      </c>
      <c r="B1237" s="6" t="str">
        <f>IFERROR(__xludf.DUMMYFUNCTION("""COMPUTED_VALUE"""),"gpc_industria_pib")</f>
        <v>gpc_industria_pib</v>
      </c>
      <c r="C1237" s="6">
        <f>IFERROR(__xludf.DUMMYFUNCTION("""COMPUTED_VALUE"""),0.0832317430766983)</f>
        <v>0.08323174308</v>
      </c>
      <c r="D1237" s="6">
        <v>2019.0</v>
      </c>
      <c r="E1237" s="6" t="s">
        <v>61</v>
      </c>
      <c r="F1237" s="6">
        <v>0.0832317430766983</v>
      </c>
    </row>
    <row r="1238">
      <c r="A1238" s="9">
        <f>IFERROR(__xludf.DUMMYFUNCTION("""COMPUTED_VALUE"""),43466.0)</f>
        <v>43466</v>
      </c>
      <c r="B1238" s="6" t="str">
        <f>IFERROR(__xludf.DUMMYFUNCTION("""COMPUTED_VALUE"""),"gpc_transporte_pib")</f>
        <v>gpc_transporte_pib</v>
      </c>
      <c r="C1238" s="6">
        <f>IFERROR(__xludf.DUMMYFUNCTION("""COMPUTED_VALUE"""),2.00919306807633)</f>
        <v>2.009193068</v>
      </c>
      <c r="D1238" s="6">
        <v>2019.0</v>
      </c>
      <c r="E1238" s="6" t="s">
        <v>62</v>
      </c>
      <c r="F1238" s="6">
        <v>2.00919306807633</v>
      </c>
    </row>
    <row r="1239">
      <c r="A1239" s="9">
        <f>IFERROR(__xludf.DUMMYFUNCTION("""COMPUTED_VALUE"""),43466.0)</f>
        <v>43466</v>
      </c>
      <c r="B1239" s="6" t="str">
        <f>IFERROR(__xludf.DUMMYFUNCTION("""COMPUTED_VALUE"""),"gpc_comunicaciones_pib")</f>
        <v>gpc_comunicaciones_pib</v>
      </c>
      <c r="C1239" s="6">
        <f>IFERROR(__xludf.DUMMYFUNCTION("""COMPUTED_VALUE"""),0.11179326997791)</f>
        <v>0.11179327</v>
      </c>
      <c r="D1239" s="6">
        <v>2019.0</v>
      </c>
      <c r="E1239" s="6" t="s">
        <v>63</v>
      </c>
      <c r="F1239" s="6">
        <v>0.11179326997791</v>
      </c>
    </row>
    <row r="1240">
      <c r="A1240" s="9">
        <f>IFERROR(__xludf.DUMMYFUNCTION("""COMPUTED_VALUE"""),43466.0)</f>
        <v>43466</v>
      </c>
      <c r="B1240" s="6" t="str">
        <f>IFERROR(__xludf.DUMMYFUNCTION("""COMPUTED_VALUE"""),"gpc_otros_servicios_economicos_pib")</f>
        <v>gpc_otros_servicios_economicos_pib</v>
      </c>
      <c r="C1240" s="6">
        <f>IFERROR(__xludf.DUMMYFUNCTION("""COMPUTED_VALUE"""),0.233980828930816)</f>
        <v>0.2339808289</v>
      </c>
      <c r="D1240" s="6">
        <v>2019.0</v>
      </c>
      <c r="E1240" s="6" t="s">
        <v>64</v>
      </c>
      <c r="F1240" s="6">
        <v>0.233980828930816</v>
      </c>
    </row>
    <row r="1241">
      <c r="A1241" s="9">
        <f>IFERROR(__xludf.DUMMYFUNCTION("""COMPUTED_VALUE"""),43466.0)</f>
        <v>43466</v>
      </c>
      <c r="B1241" s="6" t="str">
        <f>IFERROR(__xludf.DUMMYFUNCTION("""COMPUTED_VALUE"""),"gpc_servicios_deuda_publica_pib")</f>
        <v>gpc_servicios_deuda_publica_pib</v>
      </c>
      <c r="C1241" s="6">
        <f>IFERROR(__xludf.DUMMYFUNCTION("""COMPUTED_VALUE"""),5.04541496384379)</f>
        <v>5.045414964</v>
      </c>
      <c r="D1241" s="6">
        <v>2019.0</v>
      </c>
      <c r="E1241" s="6" t="s">
        <v>65</v>
      </c>
      <c r="F1241" s="6">
        <v>5.04541496384379</v>
      </c>
    </row>
    <row r="1242">
      <c r="A1242" s="9">
        <f>IFERROR(__xludf.DUMMYFUNCTION("""COMPUTED_VALUE"""),43831.0)</f>
        <v>43831</v>
      </c>
      <c r="B1242" s="6" t="str">
        <f>IFERROR(__xludf.DUMMYFUNCTION("""COMPUTED_VALUE"""),"gpc_pib")</f>
        <v>gpc_pib</v>
      </c>
      <c r="C1242" s="6">
        <f>IFERROR(__xludf.DUMMYFUNCTION("""COMPUTED_VALUE"""),47.3533215588776)</f>
        <v>47.35332156</v>
      </c>
      <c r="D1242" s="6">
        <v>2020.0</v>
      </c>
      <c r="E1242" s="6" t="s">
        <v>66</v>
      </c>
      <c r="F1242" s="6">
        <v>47.3533215588776</v>
      </c>
    </row>
    <row r="1243">
      <c r="A1243" s="9">
        <f>IFERROR(__xludf.DUMMYFUNCTION("""COMPUTED_VALUE"""),43831.0)</f>
        <v>43831</v>
      </c>
      <c r="B1243" s="6" t="str">
        <f>IFERROR(__xludf.DUMMYFUNCTION("""COMPUTED_VALUE"""),"gpc_funcionamiento_estado_pib")</f>
        <v>gpc_funcionamiento_estado_pib</v>
      </c>
      <c r="C1243" s="6">
        <f>IFERROR(__xludf.DUMMYFUNCTION("""COMPUTED_VALUE"""),6.54626437196523)</f>
        <v>6.546264372</v>
      </c>
      <c r="D1243" s="6">
        <v>2020.0</v>
      </c>
      <c r="E1243" s="6" t="s">
        <v>36</v>
      </c>
      <c r="F1243" s="6">
        <v>6.54626437196523</v>
      </c>
    </row>
    <row r="1244">
      <c r="A1244" s="9">
        <f>IFERROR(__xludf.DUMMYFUNCTION("""COMPUTED_VALUE"""),43831.0)</f>
        <v>43831</v>
      </c>
      <c r="B1244" s="6" t="str">
        <f>IFERROR(__xludf.DUMMYFUNCTION("""COMPUTED_VALUE"""),"gpc_administracion_general_pib")</f>
        <v>gpc_administracion_general_pib</v>
      </c>
      <c r="C1244" s="6">
        <f>IFERROR(__xludf.DUMMYFUNCTION("""COMPUTED_VALUE"""),2.66397257850066)</f>
        <v>2.663972579</v>
      </c>
      <c r="D1244" s="6">
        <v>2020.0</v>
      </c>
      <c r="E1244" s="6" t="s">
        <v>37</v>
      </c>
      <c r="F1244" s="6">
        <v>2.66397257850066</v>
      </c>
    </row>
    <row r="1245">
      <c r="A1245" s="9">
        <f>IFERROR(__xludf.DUMMYFUNCTION("""COMPUTED_VALUE"""),43831.0)</f>
        <v>43831</v>
      </c>
      <c r="B1245" s="6" t="str">
        <f>IFERROR(__xludf.DUMMYFUNCTION("""COMPUTED_VALUE"""),"gpc_justicia_pib")</f>
        <v>gpc_justicia_pib</v>
      </c>
      <c r="C1245" s="6">
        <f>IFERROR(__xludf.DUMMYFUNCTION("""COMPUTED_VALUE"""),1.24157156776526)</f>
        <v>1.241571568</v>
      </c>
      <c r="D1245" s="6">
        <v>2020.0</v>
      </c>
      <c r="E1245" s="6" t="s">
        <v>38</v>
      </c>
      <c r="F1245" s="6">
        <v>1.24157156776526</v>
      </c>
    </row>
    <row r="1246">
      <c r="A1246" s="9">
        <f>IFERROR(__xludf.DUMMYFUNCTION("""COMPUTED_VALUE"""),43831.0)</f>
        <v>43831</v>
      </c>
      <c r="B1246" s="6" t="str">
        <f>IFERROR(__xludf.DUMMYFUNCTION("""COMPUTED_VALUE"""),"gpc_defensa_seguridad_pib")</f>
        <v>gpc_defensa_seguridad_pib</v>
      </c>
      <c r="C1246" s="6">
        <f>IFERROR(__xludf.DUMMYFUNCTION("""COMPUTED_VALUE"""),2.64072022569929)</f>
        <v>2.640720226</v>
      </c>
      <c r="D1246" s="6">
        <v>2020.0</v>
      </c>
      <c r="E1246" s="6" t="s">
        <v>39</v>
      </c>
      <c r="F1246" s="6">
        <v>2.64072022569929</v>
      </c>
    </row>
    <row r="1247">
      <c r="A1247" s="9">
        <f>IFERROR(__xludf.DUMMYFUNCTION("""COMPUTED_VALUE"""),43831.0)</f>
        <v>43831</v>
      </c>
      <c r="B1247" s="6" t="str">
        <f>IFERROR(__xludf.DUMMYFUNCTION("""COMPUTED_VALUE"""),"gpc_servicios_sociales_pib")</f>
        <v>gpc_servicios_sociales_pib</v>
      </c>
      <c r="C1247" s="6">
        <f>IFERROR(__xludf.DUMMYFUNCTION("""COMPUTED_VALUE"""),32.8186791121317)</f>
        <v>32.81867911</v>
      </c>
      <c r="D1247" s="6">
        <v>2020.0</v>
      </c>
      <c r="E1247" s="6" t="s">
        <v>40</v>
      </c>
      <c r="F1247" s="6">
        <v>32.8186791121317</v>
      </c>
    </row>
    <row r="1248">
      <c r="A1248" s="9">
        <f>IFERROR(__xludf.DUMMYFUNCTION("""COMPUTED_VALUE"""),43831.0)</f>
        <v>43831</v>
      </c>
      <c r="B1248" s="6" t="str">
        <f>IFERROR(__xludf.DUMMYFUNCTION("""COMPUTED_VALUE"""),"gpc_educacion_basica_pib")</f>
        <v>gpc_educacion_basica_pib</v>
      </c>
      <c r="C1248" s="6">
        <f>IFERROR(__xludf.DUMMYFUNCTION("""COMPUTED_VALUE"""),3.66754927336669)</f>
        <v>3.667549273</v>
      </c>
      <c r="D1248" s="6">
        <v>2020.0</v>
      </c>
      <c r="E1248" s="6" t="s">
        <v>41</v>
      </c>
      <c r="F1248" s="6">
        <v>3.66754927336669</v>
      </c>
    </row>
    <row r="1249">
      <c r="A1249" s="9">
        <f>IFERROR(__xludf.DUMMYFUNCTION("""COMPUTED_VALUE"""),43831.0)</f>
        <v>43831</v>
      </c>
      <c r="B1249" s="6" t="str">
        <f>IFERROR(__xludf.DUMMYFUNCTION("""COMPUTED_VALUE"""),"gpc_educacion_universitaria_pib")</f>
        <v>gpc_educacion_universitaria_pib</v>
      </c>
      <c r="C1249" s="6">
        <f>IFERROR(__xludf.DUMMYFUNCTION("""COMPUTED_VALUE"""),1.1778968432375)</f>
        <v>1.177896843</v>
      </c>
      <c r="D1249" s="6">
        <v>2020.0</v>
      </c>
      <c r="E1249" s="6" t="s">
        <v>42</v>
      </c>
      <c r="F1249" s="6">
        <v>1.1778968432375</v>
      </c>
    </row>
    <row r="1250">
      <c r="A1250" s="9">
        <f>IFERROR(__xludf.DUMMYFUNCTION("""COMPUTED_VALUE"""),43831.0)</f>
        <v>43831</v>
      </c>
      <c r="B1250" s="6" t="str">
        <f>IFERROR(__xludf.DUMMYFUNCTION("""COMPUTED_VALUE"""),"gpc_ciencia_tecnica_pib")</f>
        <v>gpc_ciencia_tecnica_pib</v>
      </c>
      <c r="C1250" s="6">
        <f>IFERROR(__xludf.DUMMYFUNCTION("""COMPUTED_VALUE"""),0.204468297067695)</f>
        <v>0.2044682971</v>
      </c>
      <c r="D1250" s="6">
        <v>2020.0</v>
      </c>
      <c r="E1250" s="6" t="s">
        <v>43</v>
      </c>
      <c r="F1250" s="6">
        <v>0.204468297067695</v>
      </c>
    </row>
    <row r="1251">
      <c r="A1251" s="9">
        <f>IFERROR(__xludf.DUMMYFUNCTION("""COMPUTED_VALUE"""),43831.0)</f>
        <v>43831</v>
      </c>
      <c r="B1251" s="6" t="str">
        <f>IFERROR(__xludf.DUMMYFUNCTION("""COMPUTED_VALUE"""),"gpc_cultura_pib")</f>
        <v>gpc_cultura_pib</v>
      </c>
      <c r="C1251" s="6">
        <f>IFERROR(__xludf.DUMMYFUNCTION("""COMPUTED_VALUE"""),0.185666679813651)</f>
        <v>0.1856666798</v>
      </c>
      <c r="D1251" s="6">
        <v>2020.0</v>
      </c>
      <c r="E1251" s="6" t="s">
        <v>44</v>
      </c>
      <c r="F1251" s="6">
        <v>0.185666679813651</v>
      </c>
    </row>
    <row r="1252">
      <c r="A1252" s="9">
        <f>IFERROR(__xludf.DUMMYFUNCTION("""COMPUTED_VALUE"""),43831.0)</f>
        <v>43831</v>
      </c>
      <c r="B1252" s="6" t="str">
        <f>IFERROR(__xludf.DUMMYFUNCTION("""COMPUTED_VALUE"""),"gpc_educacion_cultura_sin_discriminar_pib")</f>
        <v>gpc_educacion_cultura_sin_discriminar_pib</v>
      </c>
      <c r="C1252" s="6">
        <f>IFERROR(__xludf.DUMMYFUNCTION("""COMPUTED_VALUE"""),0.528711020209212)</f>
        <v>0.5287110202</v>
      </c>
      <c r="D1252" s="6">
        <v>2020.0</v>
      </c>
      <c r="E1252" s="6" t="s">
        <v>45</v>
      </c>
      <c r="F1252" s="6">
        <v>0.528711020209212</v>
      </c>
    </row>
    <row r="1253">
      <c r="A1253" s="9">
        <f>IFERROR(__xludf.DUMMYFUNCTION("""COMPUTED_VALUE"""),43831.0)</f>
        <v>43831</v>
      </c>
      <c r="B1253" s="6" t="str">
        <f>IFERROR(__xludf.DUMMYFUNCTION("""COMPUTED_VALUE"""),"gpc_atencion_salud_pib")</f>
        <v>gpc_atencion_salud_pib</v>
      </c>
      <c r="C1253" s="6">
        <f>IFERROR(__xludf.DUMMYFUNCTION("""COMPUTED_VALUE"""),3.07362728651143)</f>
        <v>3.073627287</v>
      </c>
      <c r="D1253" s="6">
        <v>2020.0</v>
      </c>
      <c r="E1253" s="6" t="s">
        <v>46</v>
      </c>
      <c r="F1253" s="6">
        <v>3.07362728651143</v>
      </c>
    </row>
    <row r="1254">
      <c r="A1254" s="9">
        <f>IFERROR(__xludf.DUMMYFUNCTION("""COMPUTED_VALUE"""),43831.0)</f>
        <v>43831</v>
      </c>
      <c r="B1254" s="6" t="str">
        <f>IFERROR(__xludf.DUMMYFUNCTION("""COMPUTED_VALUE"""),"gpc_obras_sociales_salud_pib")</f>
        <v>gpc_obras_sociales_salud_pib</v>
      </c>
      <c r="C1254" s="6">
        <f>IFERROR(__xludf.DUMMYFUNCTION("""COMPUTED_VALUE"""),3.11798900577642)</f>
        <v>3.117989006</v>
      </c>
      <c r="D1254" s="6">
        <v>2020.0</v>
      </c>
      <c r="E1254" s="6" t="s">
        <v>47</v>
      </c>
      <c r="F1254" s="6">
        <v>3.11798900577642</v>
      </c>
    </row>
    <row r="1255">
      <c r="A1255" s="9">
        <f>IFERROR(__xludf.DUMMYFUNCTION("""COMPUTED_VALUE"""),43831.0)</f>
        <v>43831</v>
      </c>
      <c r="B1255" s="6" t="str">
        <f>IFERROR(__xludf.DUMMYFUNCTION("""COMPUTED_VALUE"""),"gpc_inssjyp_salud_pib")</f>
        <v>gpc_inssjyp_salud_pib</v>
      </c>
      <c r="C1255" s="6">
        <f>IFERROR(__xludf.DUMMYFUNCTION("""COMPUTED_VALUE"""),0.886428561861281)</f>
        <v>0.8864285619</v>
      </c>
      <c r="D1255" s="6">
        <v>2020.0</v>
      </c>
      <c r="E1255" s="6" t="s">
        <v>48</v>
      </c>
      <c r="F1255" s="6">
        <v>0.886428561861281</v>
      </c>
    </row>
    <row r="1256">
      <c r="A1256" s="9">
        <f>IFERROR(__xludf.DUMMYFUNCTION("""COMPUTED_VALUE"""),43831.0)</f>
        <v>43831</v>
      </c>
      <c r="B1256" s="6" t="str">
        <f>IFERROR(__xludf.DUMMYFUNCTION("""COMPUTED_VALUE"""),"gpc_agua_alcantarillado_pib")</f>
        <v>gpc_agua_alcantarillado_pib</v>
      </c>
      <c r="C1256" s="6">
        <f>IFERROR(__xludf.DUMMYFUNCTION("""COMPUTED_VALUE"""),0.542350361349046)</f>
        <v>0.5423503613</v>
      </c>
      <c r="D1256" s="6">
        <v>2020.0</v>
      </c>
      <c r="E1256" s="6" t="s">
        <v>49</v>
      </c>
      <c r="F1256" s="6">
        <v>0.542350361349046</v>
      </c>
    </row>
    <row r="1257">
      <c r="A1257" s="9">
        <f>IFERROR(__xludf.DUMMYFUNCTION("""COMPUTED_VALUE"""),43831.0)</f>
        <v>43831</v>
      </c>
      <c r="B1257" s="6" t="str">
        <f>IFERROR(__xludf.DUMMYFUNCTION("""COMPUTED_VALUE"""),"gpc_vivienda_urbanismo_pib")</f>
        <v>gpc_vivienda_urbanismo_pib</v>
      </c>
      <c r="C1257" s="6">
        <f>IFERROR(__xludf.DUMMYFUNCTION("""COMPUTED_VALUE"""),0.774726269854473)</f>
        <v>0.7747262699</v>
      </c>
      <c r="D1257" s="6">
        <v>2020.0</v>
      </c>
      <c r="E1257" s="6" t="s">
        <v>50</v>
      </c>
      <c r="F1257" s="6">
        <v>0.774726269854473</v>
      </c>
    </row>
    <row r="1258">
      <c r="A1258" s="9">
        <f>IFERROR(__xludf.DUMMYFUNCTION("""COMPUTED_VALUE"""),43831.0)</f>
        <v>43831</v>
      </c>
      <c r="B1258" s="6" t="str">
        <f>IFERROR(__xludf.DUMMYFUNCTION("""COMPUTED_VALUE"""),"gpc_promocion_asistencia_social_pib")</f>
        <v>gpc_promocion_asistencia_social_pib</v>
      </c>
      <c r="C1258" s="6">
        <f>IFERROR(__xludf.DUMMYFUNCTION("""COMPUTED_VALUE"""),2.87138258742378)</f>
        <v>2.871382587</v>
      </c>
      <c r="D1258" s="6">
        <v>2020.0</v>
      </c>
      <c r="E1258" s="6" t="s">
        <v>51</v>
      </c>
      <c r="F1258" s="6">
        <v>2.87138258742378</v>
      </c>
    </row>
    <row r="1259">
      <c r="A1259" s="9">
        <f>IFERROR(__xludf.DUMMYFUNCTION("""COMPUTED_VALUE"""),43831.0)</f>
        <v>43831</v>
      </c>
      <c r="B1259" s="6" t="str">
        <f>IFERROR(__xludf.DUMMYFUNCTION("""COMPUTED_VALUE"""),"gpc_obras_sociales_prestaciones_pib")</f>
        <v>gpc_obras_sociales_prestaciones_pib</v>
      </c>
      <c r="C1259" s="6">
        <f>IFERROR(__xludf.DUMMYFUNCTION("""COMPUTED_VALUE"""),0.164511840247989)</f>
        <v>0.1645118402</v>
      </c>
      <c r="D1259" s="6">
        <v>2020.0</v>
      </c>
      <c r="E1259" s="6" t="s">
        <v>52</v>
      </c>
      <c r="F1259" s="6">
        <v>0.164511840247989</v>
      </c>
    </row>
    <row r="1260">
      <c r="A1260" s="9">
        <f>IFERROR(__xludf.DUMMYFUNCTION("""COMPUTED_VALUE"""),43831.0)</f>
        <v>43831</v>
      </c>
      <c r="B1260" s="6" t="str">
        <f>IFERROR(__xludf.DUMMYFUNCTION("""COMPUTED_VALUE"""),"gpc_inssjyp_prestaciones_pib")</f>
        <v>gpc_inssjyp_prestaciones_pib</v>
      </c>
      <c r="C1260" s="6">
        <f>IFERROR(__xludf.DUMMYFUNCTION("""COMPUTED_VALUE"""),0.194505025243243)</f>
        <v>0.1945050252</v>
      </c>
      <c r="D1260" s="6">
        <v>2020.0</v>
      </c>
      <c r="E1260" s="6" t="s">
        <v>53</v>
      </c>
      <c r="F1260" s="6">
        <v>0.194505025243243</v>
      </c>
    </row>
    <row r="1261">
      <c r="A1261" s="9">
        <f>IFERROR(__xludf.DUMMYFUNCTION("""COMPUTED_VALUE"""),43831.0)</f>
        <v>43831</v>
      </c>
      <c r="B1261" s="6" t="str">
        <f>IFERROR(__xludf.DUMMYFUNCTION("""COMPUTED_VALUE"""),"gpc_prevision_social_pib")</f>
        <v>gpc_prevision_social_pib</v>
      </c>
      <c r="C1261" s="6">
        <f>IFERROR(__xludf.DUMMYFUNCTION("""COMPUTED_VALUE"""),12.1348711968218)</f>
        <v>12.1348712</v>
      </c>
      <c r="D1261" s="6">
        <v>2020.0</v>
      </c>
      <c r="E1261" s="6" t="s">
        <v>54</v>
      </c>
      <c r="F1261" s="6">
        <v>12.1348711968218</v>
      </c>
    </row>
    <row r="1262">
      <c r="A1262" s="9">
        <f>IFERROR(__xludf.DUMMYFUNCTION("""COMPUTED_VALUE"""),43831.0)</f>
        <v>43831</v>
      </c>
      <c r="B1262" s="6" t="str">
        <f>IFERROR(__xludf.DUMMYFUNCTION("""COMPUTED_VALUE"""),"gpc_programas_empleo_pib")</f>
        <v>gpc_programas_empleo_pib</v>
      </c>
      <c r="C1262" s="6">
        <f>IFERROR(__xludf.DUMMYFUNCTION("""COMPUTED_VALUE"""),1.05708998125293)</f>
        <v>1.057089981</v>
      </c>
      <c r="D1262" s="6">
        <v>2020.0</v>
      </c>
      <c r="E1262" s="6" t="s">
        <v>55</v>
      </c>
      <c r="F1262" s="6">
        <v>1.05708998125293</v>
      </c>
    </row>
    <row r="1263">
      <c r="A1263" s="9">
        <f>IFERROR(__xludf.DUMMYFUNCTION("""COMPUTED_VALUE"""),43831.0)</f>
        <v>43831</v>
      </c>
      <c r="B1263" s="6" t="str">
        <f>IFERROR(__xludf.DUMMYFUNCTION("""COMPUTED_VALUE"""),"gpc_asignaciones_familiares_pib")</f>
        <v>gpc_asignaciones_familiares_pib</v>
      </c>
      <c r="C1263" s="6">
        <f>IFERROR(__xludf.DUMMYFUNCTION("""COMPUTED_VALUE"""),1.27667732775159)</f>
        <v>1.276677328</v>
      </c>
      <c r="D1263" s="6">
        <v>2020.0</v>
      </c>
      <c r="E1263" s="6" t="s">
        <v>56</v>
      </c>
      <c r="F1263" s="6">
        <v>1.27667732775159</v>
      </c>
    </row>
    <row r="1264">
      <c r="A1264" s="9">
        <f>IFERROR(__xludf.DUMMYFUNCTION("""COMPUTED_VALUE"""),43831.0)</f>
        <v>43831</v>
      </c>
      <c r="B1264" s="6" t="str">
        <f>IFERROR(__xludf.DUMMYFUNCTION("""COMPUTED_VALUE"""),"gpc_otros_servicios_urbanos_pib")</f>
        <v>gpc_otros_servicios_urbanos_pib</v>
      </c>
      <c r="C1264" s="6">
        <f>IFERROR(__xludf.DUMMYFUNCTION("""COMPUTED_VALUE"""),0.960227554342953)</f>
        <v>0.9602275543</v>
      </c>
      <c r="D1264" s="6">
        <v>2020.0</v>
      </c>
      <c r="E1264" s="6" t="s">
        <v>57</v>
      </c>
      <c r="F1264" s="6">
        <v>0.960227554342953</v>
      </c>
    </row>
    <row r="1265">
      <c r="A1265" s="9">
        <f>IFERROR(__xludf.DUMMYFUNCTION("""COMPUTED_VALUE"""),43831.0)</f>
        <v>43831</v>
      </c>
      <c r="B1265" s="6" t="str">
        <f>IFERROR(__xludf.DUMMYFUNCTION("""COMPUTED_VALUE"""),"gpc_servicios_economicos_pib")</f>
        <v>gpc_servicios_economicos_pib</v>
      </c>
      <c r="C1265" s="6">
        <f>IFERROR(__xludf.DUMMYFUNCTION("""COMPUTED_VALUE"""),5.20940486312732)</f>
        <v>5.209404863</v>
      </c>
      <c r="D1265" s="6">
        <v>2020.0</v>
      </c>
      <c r="E1265" s="6" t="s">
        <v>58</v>
      </c>
      <c r="F1265" s="6">
        <v>5.20940486312732</v>
      </c>
    </row>
    <row r="1266">
      <c r="A1266" s="9">
        <f>IFERROR(__xludf.DUMMYFUNCTION("""COMPUTED_VALUE"""),43831.0)</f>
        <v>43831</v>
      </c>
      <c r="B1266" s="6" t="str">
        <f>IFERROR(__xludf.DUMMYFUNCTION("""COMPUTED_VALUE"""),"gpc_produccion_primaria_pib")</f>
        <v>gpc_produccion_primaria_pib</v>
      </c>
      <c r="C1266" s="6">
        <f>IFERROR(__xludf.DUMMYFUNCTION("""COMPUTED_VALUE"""),0.373655288504759)</f>
        <v>0.3736552885</v>
      </c>
      <c r="D1266" s="6">
        <v>2020.0</v>
      </c>
      <c r="E1266" s="6" t="s">
        <v>59</v>
      </c>
      <c r="F1266" s="6">
        <v>0.373655288504759</v>
      </c>
    </row>
    <row r="1267">
      <c r="A1267" s="9">
        <f>IFERROR(__xludf.DUMMYFUNCTION("""COMPUTED_VALUE"""),43831.0)</f>
        <v>43831</v>
      </c>
      <c r="B1267" s="6" t="str">
        <f>IFERROR(__xludf.DUMMYFUNCTION("""COMPUTED_VALUE"""),"gpc_energia_combustible_pib")</f>
        <v>gpc_energia_combustible_pib</v>
      </c>
      <c r="C1267" s="6">
        <f>IFERROR(__xludf.DUMMYFUNCTION("""COMPUTED_VALUE"""),1.97312160221922)</f>
        <v>1.973121602</v>
      </c>
      <c r="D1267" s="6">
        <v>2020.0</v>
      </c>
      <c r="E1267" s="6" t="s">
        <v>60</v>
      </c>
      <c r="F1267" s="6">
        <v>1.97312160221922</v>
      </c>
    </row>
    <row r="1268">
      <c r="A1268" s="9">
        <f>IFERROR(__xludf.DUMMYFUNCTION("""COMPUTED_VALUE"""),43831.0)</f>
        <v>43831</v>
      </c>
      <c r="B1268" s="6" t="str">
        <f>IFERROR(__xludf.DUMMYFUNCTION("""COMPUTED_VALUE"""),"gpc_industria_pib")</f>
        <v>gpc_industria_pib</v>
      </c>
      <c r="C1268" s="6">
        <f>IFERROR(__xludf.DUMMYFUNCTION("""COMPUTED_VALUE"""),0.545357640575407)</f>
        <v>0.5453576406</v>
      </c>
      <c r="D1268" s="6">
        <v>2020.0</v>
      </c>
      <c r="E1268" s="6" t="s">
        <v>61</v>
      </c>
      <c r="F1268" s="6">
        <v>0.545357640575407</v>
      </c>
    </row>
    <row r="1269">
      <c r="A1269" s="9">
        <f>IFERROR(__xludf.DUMMYFUNCTION("""COMPUTED_VALUE"""),43831.0)</f>
        <v>43831</v>
      </c>
      <c r="B1269" s="6" t="str">
        <f>IFERROR(__xludf.DUMMYFUNCTION("""COMPUTED_VALUE"""),"gpc_transporte_pib")</f>
        <v>gpc_transporte_pib</v>
      </c>
      <c r="C1269" s="6">
        <f>IFERROR(__xludf.DUMMYFUNCTION("""COMPUTED_VALUE"""),1.97152635944742)</f>
        <v>1.971526359</v>
      </c>
      <c r="D1269" s="6">
        <v>2020.0</v>
      </c>
      <c r="E1269" s="6" t="s">
        <v>62</v>
      </c>
      <c r="F1269" s="6">
        <v>1.97152635944742</v>
      </c>
    </row>
    <row r="1270">
      <c r="A1270" s="9">
        <f>IFERROR(__xludf.DUMMYFUNCTION("""COMPUTED_VALUE"""),43831.0)</f>
        <v>43831</v>
      </c>
      <c r="B1270" s="6" t="str">
        <f>IFERROR(__xludf.DUMMYFUNCTION("""COMPUTED_VALUE"""),"gpc_comunicaciones_pib")</f>
        <v>gpc_comunicaciones_pib</v>
      </c>
      <c r="C1270" s="6">
        <f>IFERROR(__xludf.DUMMYFUNCTION("""COMPUTED_VALUE"""),0.129670767253813)</f>
        <v>0.1296707673</v>
      </c>
      <c r="D1270" s="6">
        <v>2020.0</v>
      </c>
      <c r="E1270" s="6" t="s">
        <v>63</v>
      </c>
      <c r="F1270" s="6">
        <v>0.129670767253813</v>
      </c>
    </row>
    <row r="1271">
      <c r="A1271" s="9">
        <f>IFERROR(__xludf.DUMMYFUNCTION("""COMPUTED_VALUE"""),43831.0)</f>
        <v>43831</v>
      </c>
      <c r="B1271" s="6" t="str">
        <f>IFERROR(__xludf.DUMMYFUNCTION("""COMPUTED_VALUE"""),"gpc_otros_servicios_economicos_pib")</f>
        <v>gpc_otros_servicios_economicos_pib</v>
      </c>
      <c r="C1271" s="6">
        <f>IFERROR(__xludf.DUMMYFUNCTION("""COMPUTED_VALUE"""),0.216073205126695)</f>
        <v>0.2160732051</v>
      </c>
      <c r="D1271" s="6">
        <v>2020.0</v>
      </c>
      <c r="E1271" s="6" t="s">
        <v>64</v>
      </c>
      <c r="F1271" s="6">
        <v>0.216073205126695</v>
      </c>
    </row>
    <row r="1272">
      <c r="A1272" s="9">
        <f>IFERROR(__xludf.DUMMYFUNCTION("""COMPUTED_VALUE"""),43831.0)</f>
        <v>43831</v>
      </c>
      <c r="B1272" s="6" t="str">
        <f>IFERROR(__xludf.DUMMYFUNCTION("""COMPUTED_VALUE"""),"gpc_servicios_deuda_publica_pib")</f>
        <v>gpc_servicios_deuda_publica_pib</v>
      </c>
      <c r="C1272" s="6">
        <f>IFERROR(__xludf.DUMMYFUNCTION("""COMPUTED_VALUE"""),2.7789732116533)</f>
        <v>2.778973212</v>
      </c>
      <c r="D1272" s="6">
        <v>2020.0</v>
      </c>
      <c r="E1272" s="6" t="s">
        <v>65</v>
      </c>
      <c r="F1272" s="6">
        <v>2.7789732116533</v>
      </c>
    </row>
    <row r="1273">
      <c r="A1273" s="9">
        <f>IFERROR(__xludf.DUMMYFUNCTION("""COMPUTED_VALUE"""),44197.0)</f>
        <v>44197</v>
      </c>
      <c r="B1273" s="6" t="str">
        <f>IFERROR(__xludf.DUMMYFUNCTION("""COMPUTED_VALUE"""),"gpc_pib")</f>
        <v>gpc_pib</v>
      </c>
      <c r="C1273" s="6">
        <f>IFERROR(__xludf.DUMMYFUNCTION("""COMPUTED_VALUE"""),42.8088834701039)</f>
        <v>42.80888347</v>
      </c>
      <c r="D1273" s="6">
        <v>2021.0</v>
      </c>
      <c r="E1273" s="6" t="s">
        <v>66</v>
      </c>
      <c r="F1273" s="6">
        <v>42.8088834701039</v>
      </c>
    </row>
    <row r="1274">
      <c r="A1274" s="9">
        <f>IFERROR(__xludf.DUMMYFUNCTION("""COMPUTED_VALUE"""),44197.0)</f>
        <v>44197</v>
      </c>
      <c r="B1274" s="6" t="str">
        <f>IFERROR(__xludf.DUMMYFUNCTION("""COMPUTED_VALUE"""),"gpc_funcionamiento_estado_pib")</f>
        <v>gpc_funcionamiento_estado_pib</v>
      </c>
      <c r="C1274" s="6">
        <f>IFERROR(__xludf.DUMMYFUNCTION("""COMPUTED_VALUE"""),6.17320859174794)</f>
        <v>6.173208592</v>
      </c>
      <c r="D1274" s="6">
        <v>2021.0</v>
      </c>
      <c r="E1274" s="6" t="s">
        <v>36</v>
      </c>
      <c r="F1274" s="6">
        <v>6.17320859174794</v>
      </c>
    </row>
    <row r="1275">
      <c r="A1275" s="9">
        <f>IFERROR(__xludf.DUMMYFUNCTION("""COMPUTED_VALUE"""),44197.0)</f>
        <v>44197</v>
      </c>
      <c r="B1275" s="6" t="str">
        <f>IFERROR(__xludf.DUMMYFUNCTION("""COMPUTED_VALUE"""),"gpc_administracion_general_pib")</f>
        <v>gpc_administracion_general_pib</v>
      </c>
      <c r="C1275" s="6">
        <f>IFERROR(__xludf.DUMMYFUNCTION("""COMPUTED_VALUE"""),2.57392576370915)</f>
        <v>2.573925764</v>
      </c>
      <c r="D1275" s="6">
        <v>2021.0</v>
      </c>
      <c r="E1275" s="6" t="s">
        <v>37</v>
      </c>
      <c r="F1275" s="6">
        <v>2.57392576370915</v>
      </c>
    </row>
    <row r="1276">
      <c r="A1276" s="9">
        <f>IFERROR(__xludf.DUMMYFUNCTION("""COMPUTED_VALUE"""),44197.0)</f>
        <v>44197</v>
      </c>
      <c r="B1276" s="6" t="str">
        <f>IFERROR(__xludf.DUMMYFUNCTION("""COMPUTED_VALUE"""),"gpc_justicia_pib")</f>
        <v>gpc_justicia_pib</v>
      </c>
      <c r="C1276" s="6">
        <f>IFERROR(__xludf.DUMMYFUNCTION("""COMPUTED_VALUE"""),1.1720817444179)</f>
        <v>1.172081744</v>
      </c>
      <c r="D1276" s="6">
        <v>2021.0</v>
      </c>
      <c r="E1276" s="6" t="s">
        <v>38</v>
      </c>
      <c r="F1276" s="6">
        <v>1.1720817444179</v>
      </c>
    </row>
    <row r="1277">
      <c r="A1277" s="9">
        <f>IFERROR(__xludf.DUMMYFUNCTION("""COMPUTED_VALUE"""),44197.0)</f>
        <v>44197</v>
      </c>
      <c r="B1277" s="6" t="str">
        <f>IFERROR(__xludf.DUMMYFUNCTION("""COMPUTED_VALUE"""),"gpc_defensa_seguridad_pib")</f>
        <v>gpc_defensa_seguridad_pib</v>
      </c>
      <c r="C1277" s="6">
        <f>IFERROR(__xludf.DUMMYFUNCTION("""COMPUTED_VALUE"""),2.42720108362088)</f>
        <v>2.427201084</v>
      </c>
      <c r="D1277" s="6">
        <v>2021.0</v>
      </c>
      <c r="E1277" s="6" t="s">
        <v>39</v>
      </c>
      <c r="F1277" s="6">
        <v>2.42720108362088</v>
      </c>
    </row>
    <row r="1278">
      <c r="A1278" s="9">
        <f>IFERROR(__xludf.DUMMYFUNCTION("""COMPUTED_VALUE"""),44197.0)</f>
        <v>44197</v>
      </c>
      <c r="B1278" s="6" t="str">
        <f>IFERROR(__xludf.DUMMYFUNCTION("""COMPUTED_VALUE"""),"gpc_servicios_sociales_pib")</f>
        <v>gpc_servicios_sociales_pib</v>
      </c>
      <c r="C1278" s="6">
        <f>IFERROR(__xludf.DUMMYFUNCTION("""COMPUTED_VALUE"""),29.0518180303589)</f>
        <v>29.05181803</v>
      </c>
      <c r="D1278" s="6">
        <v>2021.0</v>
      </c>
      <c r="E1278" s="6" t="s">
        <v>40</v>
      </c>
      <c r="F1278" s="6">
        <v>29.0518180303589</v>
      </c>
    </row>
    <row r="1279">
      <c r="A1279" s="9">
        <f>IFERROR(__xludf.DUMMYFUNCTION("""COMPUTED_VALUE"""),44197.0)</f>
        <v>44197</v>
      </c>
      <c r="B1279" s="6" t="str">
        <f>IFERROR(__xludf.DUMMYFUNCTION("""COMPUTED_VALUE"""),"gpc_educacion_basica_pib")</f>
        <v>gpc_educacion_basica_pib</v>
      </c>
      <c r="C1279" s="6">
        <f>IFERROR(__xludf.DUMMYFUNCTION("""COMPUTED_VALUE"""),3.26038215473319)</f>
        <v>3.260382155</v>
      </c>
      <c r="D1279" s="6">
        <v>2021.0</v>
      </c>
      <c r="E1279" s="6" t="s">
        <v>41</v>
      </c>
      <c r="F1279" s="6">
        <v>3.26038215473319</v>
      </c>
    </row>
    <row r="1280">
      <c r="A1280" s="9">
        <f>IFERROR(__xludf.DUMMYFUNCTION("""COMPUTED_VALUE"""),44197.0)</f>
        <v>44197</v>
      </c>
      <c r="B1280" s="6" t="str">
        <f>IFERROR(__xludf.DUMMYFUNCTION("""COMPUTED_VALUE"""),"gpc_educacion_universitaria_pib")</f>
        <v>gpc_educacion_universitaria_pib</v>
      </c>
      <c r="C1280" s="6">
        <f>IFERROR(__xludf.DUMMYFUNCTION("""COMPUTED_VALUE"""),1.05786444097302)</f>
        <v>1.057864441</v>
      </c>
      <c r="D1280" s="6">
        <v>2021.0</v>
      </c>
      <c r="E1280" s="6" t="s">
        <v>42</v>
      </c>
      <c r="F1280" s="6">
        <v>1.05786444097302</v>
      </c>
    </row>
    <row r="1281">
      <c r="A1281" s="9">
        <f>IFERROR(__xludf.DUMMYFUNCTION("""COMPUTED_VALUE"""),44197.0)</f>
        <v>44197</v>
      </c>
      <c r="B1281" s="6" t="str">
        <f>IFERROR(__xludf.DUMMYFUNCTION("""COMPUTED_VALUE"""),"gpc_ciencia_tecnica_pib")</f>
        <v>gpc_ciencia_tecnica_pib</v>
      </c>
      <c r="C1281" s="6">
        <f>IFERROR(__xludf.DUMMYFUNCTION("""COMPUTED_VALUE"""),0.22031598942864)</f>
        <v>0.2203159894</v>
      </c>
      <c r="D1281" s="6">
        <v>2021.0</v>
      </c>
      <c r="E1281" s="6" t="s">
        <v>43</v>
      </c>
      <c r="F1281" s="6">
        <v>0.22031598942864</v>
      </c>
    </row>
    <row r="1282">
      <c r="A1282" s="9">
        <f>IFERROR(__xludf.DUMMYFUNCTION("""COMPUTED_VALUE"""),44197.0)</f>
        <v>44197</v>
      </c>
      <c r="B1282" s="6" t="str">
        <f>IFERROR(__xludf.DUMMYFUNCTION("""COMPUTED_VALUE"""),"gpc_cultura_pib")</f>
        <v>gpc_cultura_pib</v>
      </c>
      <c r="C1282" s="6">
        <f>IFERROR(__xludf.DUMMYFUNCTION("""COMPUTED_VALUE"""),0.190357275099747)</f>
        <v>0.1903572751</v>
      </c>
      <c r="D1282" s="6">
        <v>2021.0</v>
      </c>
      <c r="E1282" s="6" t="s">
        <v>44</v>
      </c>
      <c r="F1282" s="6">
        <v>0.190357275099747</v>
      </c>
    </row>
    <row r="1283">
      <c r="A1283" s="9">
        <f>IFERROR(__xludf.DUMMYFUNCTION("""COMPUTED_VALUE"""),44197.0)</f>
        <v>44197</v>
      </c>
      <c r="B1283" s="6" t="str">
        <f>IFERROR(__xludf.DUMMYFUNCTION("""COMPUTED_VALUE"""),"gpc_educacion_cultura_sin_discriminar_pib")</f>
        <v>gpc_educacion_cultura_sin_discriminar_pib</v>
      </c>
      <c r="C1283" s="6">
        <f>IFERROR(__xludf.DUMMYFUNCTION("""COMPUTED_VALUE"""),0.566265110149987)</f>
        <v>0.5662651101</v>
      </c>
      <c r="D1283" s="6">
        <v>2021.0</v>
      </c>
      <c r="E1283" s="6" t="s">
        <v>45</v>
      </c>
      <c r="F1283" s="6">
        <v>0.566265110149987</v>
      </c>
    </row>
    <row r="1284">
      <c r="A1284" s="9">
        <f>IFERROR(__xludf.DUMMYFUNCTION("""COMPUTED_VALUE"""),44197.0)</f>
        <v>44197</v>
      </c>
      <c r="B1284" s="6" t="str">
        <f>IFERROR(__xludf.DUMMYFUNCTION("""COMPUTED_VALUE"""),"gpc_atencion_salud_pib")</f>
        <v>gpc_atencion_salud_pib</v>
      </c>
      <c r="C1284" s="6">
        <f>IFERROR(__xludf.DUMMYFUNCTION("""COMPUTED_VALUE"""),3.09652885869523)</f>
        <v>3.096528859</v>
      </c>
      <c r="D1284" s="6">
        <v>2021.0</v>
      </c>
      <c r="E1284" s="6" t="s">
        <v>46</v>
      </c>
      <c r="F1284" s="6">
        <v>3.09652885869523</v>
      </c>
    </row>
    <row r="1285">
      <c r="A1285" s="9">
        <f>IFERROR(__xludf.DUMMYFUNCTION("""COMPUTED_VALUE"""),44197.0)</f>
        <v>44197</v>
      </c>
      <c r="B1285" s="6" t="str">
        <f>IFERROR(__xludf.DUMMYFUNCTION("""COMPUTED_VALUE"""),"gpc_obras_sociales_salud_pib")</f>
        <v>gpc_obras_sociales_salud_pib</v>
      </c>
      <c r="C1285" s="6">
        <f>IFERROR(__xludf.DUMMYFUNCTION("""COMPUTED_VALUE"""),2.65383913948818)</f>
        <v>2.653839139</v>
      </c>
      <c r="D1285" s="6">
        <v>2021.0</v>
      </c>
      <c r="E1285" s="6" t="s">
        <v>47</v>
      </c>
      <c r="F1285" s="6">
        <v>2.65383913948818</v>
      </c>
    </row>
    <row r="1286">
      <c r="A1286" s="9">
        <f>IFERROR(__xludf.DUMMYFUNCTION("""COMPUTED_VALUE"""),44197.0)</f>
        <v>44197</v>
      </c>
      <c r="B1286" s="6" t="str">
        <f>IFERROR(__xludf.DUMMYFUNCTION("""COMPUTED_VALUE"""),"gpc_inssjyp_salud_pib")</f>
        <v>gpc_inssjyp_salud_pib</v>
      </c>
      <c r="C1286" s="6">
        <f>IFERROR(__xludf.DUMMYFUNCTION("""COMPUTED_VALUE"""),0.771715565554806)</f>
        <v>0.7717155656</v>
      </c>
      <c r="D1286" s="6">
        <v>2021.0</v>
      </c>
      <c r="E1286" s="6" t="s">
        <v>48</v>
      </c>
      <c r="F1286" s="6">
        <v>0.771715565554806</v>
      </c>
    </row>
    <row r="1287">
      <c r="A1287" s="9">
        <f>IFERROR(__xludf.DUMMYFUNCTION("""COMPUTED_VALUE"""),44197.0)</f>
        <v>44197</v>
      </c>
      <c r="B1287" s="6" t="str">
        <f>IFERROR(__xludf.DUMMYFUNCTION("""COMPUTED_VALUE"""),"gpc_agua_alcantarillado_pib")</f>
        <v>gpc_agua_alcantarillado_pib</v>
      </c>
      <c r="C1287" s="6">
        <f>IFERROR(__xludf.DUMMYFUNCTION("""COMPUTED_VALUE"""),0.560541625190203)</f>
        <v>0.5605416252</v>
      </c>
      <c r="D1287" s="6">
        <v>2021.0</v>
      </c>
      <c r="E1287" s="6" t="s">
        <v>49</v>
      </c>
      <c r="F1287" s="6">
        <v>0.560541625190203</v>
      </c>
    </row>
    <row r="1288">
      <c r="A1288" s="9">
        <f>IFERROR(__xludf.DUMMYFUNCTION("""COMPUTED_VALUE"""),44197.0)</f>
        <v>44197</v>
      </c>
      <c r="B1288" s="6" t="str">
        <f>IFERROR(__xludf.DUMMYFUNCTION("""COMPUTED_VALUE"""),"gpc_vivienda_urbanismo_pib")</f>
        <v>gpc_vivienda_urbanismo_pib</v>
      </c>
      <c r="C1288" s="6">
        <f>IFERROR(__xludf.DUMMYFUNCTION("""COMPUTED_VALUE"""),1.34486929388104)</f>
        <v>1.344869294</v>
      </c>
      <c r="D1288" s="6">
        <v>2021.0</v>
      </c>
      <c r="E1288" s="6" t="s">
        <v>50</v>
      </c>
      <c r="F1288" s="6">
        <v>1.34486929388104</v>
      </c>
    </row>
    <row r="1289">
      <c r="A1289" s="9">
        <f>IFERROR(__xludf.DUMMYFUNCTION("""COMPUTED_VALUE"""),44197.0)</f>
        <v>44197</v>
      </c>
      <c r="B1289" s="6" t="str">
        <f>IFERROR(__xludf.DUMMYFUNCTION("""COMPUTED_VALUE"""),"gpc_promocion_asistencia_social_pib")</f>
        <v>gpc_promocion_asistencia_social_pib</v>
      </c>
      <c r="C1289" s="6">
        <f>IFERROR(__xludf.DUMMYFUNCTION("""COMPUTED_VALUE"""),2.22169023943166)</f>
        <v>2.221690239</v>
      </c>
      <c r="D1289" s="6">
        <v>2021.0</v>
      </c>
      <c r="E1289" s="6" t="s">
        <v>51</v>
      </c>
      <c r="F1289" s="6">
        <v>2.22169023943166</v>
      </c>
    </row>
    <row r="1290">
      <c r="A1290" s="9">
        <f>IFERROR(__xludf.DUMMYFUNCTION("""COMPUTED_VALUE"""),44197.0)</f>
        <v>44197</v>
      </c>
      <c r="B1290" s="6" t="str">
        <f>IFERROR(__xludf.DUMMYFUNCTION("""COMPUTED_VALUE"""),"gpc_obras_sociales_prestaciones_pib")</f>
        <v>gpc_obras_sociales_prestaciones_pib</v>
      </c>
      <c r="C1290" s="6">
        <f>IFERROR(__xludf.DUMMYFUNCTION("""COMPUTED_VALUE"""),0.139681696598426)</f>
        <v>0.1396816966</v>
      </c>
      <c r="D1290" s="6">
        <v>2021.0</v>
      </c>
      <c r="E1290" s="6" t="s">
        <v>52</v>
      </c>
      <c r="F1290" s="6">
        <v>0.139681696598426</v>
      </c>
    </row>
    <row r="1291">
      <c r="A1291" s="9">
        <f>IFERROR(__xludf.DUMMYFUNCTION("""COMPUTED_VALUE"""),44197.0)</f>
        <v>44197</v>
      </c>
      <c r="B1291" s="6" t="str">
        <f>IFERROR(__xludf.DUMMYFUNCTION("""COMPUTED_VALUE"""),"gpc_inssjyp_prestaciones_pib")</f>
        <v>gpc_inssjyp_prestaciones_pib</v>
      </c>
      <c r="C1291" s="6">
        <f>IFERROR(__xludf.DUMMYFUNCTION("""COMPUTED_VALUE"""),0.169334069339624)</f>
        <v>0.1693340693</v>
      </c>
      <c r="D1291" s="6">
        <v>2021.0</v>
      </c>
      <c r="E1291" s="6" t="s">
        <v>53</v>
      </c>
      <c r="F1291" s="6">
        <v>0.169334069339624</v>
      </c>
    </row>
    <row r="1292">
      <c r="A1292" s="9">
        <f>IFERROR(__xludf.DUMMYFUNCTION("""COMPUTED_VALUE"""),44197.0)</f>
        <v>44197</v>
      </c>
      <c r="B1292" s="6" t="str">
        <f>IFERROR(__xludf.DUMMYFUNCTION("""COMPUTED_VALUE"""),"gpc_prevision_social_pib")</f>
        <v>gpc_prevision_social_pib</v>
      </c>
      <c r="C1292" s="6">
        <f>IFERROR(__xludf.DUMMYFUNCTION("""COMPUTED_VALUE"""),10.2521426594551)</f>
        <v>10.25214266</v>
      </c>
      <c r="D1292" s="6">
        <v>2021.0</v>
      </c>
      <c r="E1292" s="6" t="s">
        <v>54</v>
      </c>
      <c r="F1292" s="6">
        <v>10.2521426594551</v>
      </c>
    </row>
    <row r="1293">
      <c r="A1293" s="9">
        <f>IFERROR(__xludf.DUMMYFUNCTION("""COMPUTED_VALUE"""),44197.0)</f>
        <v>44197</v>
      </c>
      <c r="B1293" s="6" t="str">
        <f>IFERROR(__xludf.DUMMYFUNCTION("""COMPUTED_VALUE"""),"gpc_programas_empleo_pib")</f>
        <v>gpc_programas_empleo_pib</v>
      </c>
      <c r="C1293" s="6">
        <f>IFERROR(__xludf.DUMMYFUNCTION("""COMPUTED_VALUE"""),0.436668644067172)</f>
        <v>0.4366686441</v>
      </c>
      <c r="D1293" s="6">
        <v>2021.0</v>
      </c>
      <c r="E1293" s="6" t="s">
        <v>55</v>
      </c>
      <c r="F1293" s="6">
        <v>0.436668644067172</v>
      </c>
    </row>
    <row r="1294">
      <c r="A1294" s="9">
        <f>IFERROR(__xludf.DUMMYFUNCTION("""COMPUTED_VALUE"""),44197.0)</f>
        <v>44197</v>
      </c>
      <c r="B1294" s="6" t="str">
        <f>IFERROR(__xludf.DUMMYFUNCTION("""COMPUTED_VALUE"""),"gpc_asignaciones_familiares_pib")</f>
        <v>gpc_asignaciones_familiares_pib</v>
      </c>
      <c r="C1294" s="6">
        <f>IFERROR(__xludf.DUMMYFUNCTION("""COMPUTED_VALUE"""),1.11474048143197)</f>
        <v>1.114740481</v>
      </c>
      <c r="D1294" s="6">
        <v>2021.0</v>
      </c>
      <c r="E1294" s="6" t="s">
        <v>56</v>
      </c>
      <c r="F1294" s="6">
        <v>1.11474048143197</v>
      </c>
    </row>
    <row r="1295">
      <c r="A1295" s="9">
        <f>IFERROR(__xludf.DUMMYFUNCTION("""COMPUTED_VALUE"""),44197.0)</f>
        <v>44197</v>
      </c>
      <c r="B1295" s="6" t="str">
        <f>IFERROR(__xludf.DUMMYFUNCTION("""COMPUTED_VALUE"""),"gpc_otros_servicios_urbanos_pib")</f>
        <v>gpc_otros_servicios_urbanos_pib</v>
      </c>
      <c r="C1295" s="6">
        <f>IFERROR(__xludf.DUMMYFUNCTION("""COMPUTED_VALUE"""),0.994880786840875)</f>
        <v>0.9948807868</v>
      </c>
      <c r="D1295" s="6">
        <v>2021.0</v>
      </c>
      <c r="E1295" s="6" t="s">
        <v>57</v>
      </c>
      <c r="F1295" s="6">
        <v>0.994880786840875</v>
      </c>
    </row>
    <row r="1296">
      <c r="A1296" s="9">
        <f>IFERROR(__xludf.DUMMYFUNCTION("""COMPUTED_VALUE"""),44197.0)</f>
        <v>44197</v>
      </c>
      <c r="B1296" s="6" t="str">
        <f>IFERROR(__xludf.DUMMYFUNCTION("""COMPUTED_VALUE"""),"gpc_servicios_economicos_pib")</f>
        <v>gpc_servicios_economicos_pib</v>
      </c>
      <c r="C1296" s="6">
        <f>IFERROR(__xludf.DUMMYFUNCTION("""COMPUTED_VALUE"""),5.56297672378984)</f>
        <v>5.562976724</v>
      </c>
      <c r="D1296" s="6">
        <v>2021.0</v>
      </c>
      <c r="E1296" s="6" t="s">
        <v>58</v>
      </c>
      <c r="F1296" s="6">
        <v>5.56297672378984</v>
      </c>
    </row>
    <row r="1297">
      <c r="A1297" s="9">
        <f>IFERROR(__xludf.DUMMYFUNCTION("""COMPUTED_VALUE"""),44197.0)</f>
        <v>44197</v>
      </c>
      <c r="B1297" s="6" t="str">
        <f>IFERROR(__xludf.DUMMYFUNCTION("""COMPUTED_VALUE"""),"gpc_produccion_primaria_pib")</f>
        <v>gpc_produccion_primaria_pib</v>
      </c>
      <c r="C1297" s="6">
        <f>IFERROR(__xludf.DUMMYFUNCTION("""COMPUTED_VALUE"""),0.368961810016842)</f>
        <v>0.36896181</v>
      </c>
      <c r="D1297" s="6">
        <v>2021.0</v>
      </c>
      <c r="E1297" s="6" t="s">
        <v>59</v>
      </c>
      <c r="F1297" s="6">
        <v>0.368961810016842</v>
      </c>
    </row>
    <row r="1298">
      <c r="A1298" s="9">
        <f>IFERROR(__xludf.DUMMYFUNCTION("""COMPUTED_VALUE"""),44197.0)</f>
        <v>44197</v>
      </c>
      <c r="B1298" s="6" t="str">
        <f>IFERROR(__xludf.DUMMYFUNCTION("""COMPUTED_VALUE"""),"gpc_energia_combustible_pib")</f>
        <v>gpc_energia_combustible_pib</v>
      </c>
      <c r="C1298" s="6">
        <f>IFERROR(__xludf.DUMMYFUNCTION("""COMPUTED_VALUE"""),2.40534187090059)</f>
        <v>2.405341871</v>
      </c>
      <c r="D1298" s="6">
        <v>2021.0</v>
      </c>
      <c r="E1298" s="6" t="s">
        <v>60</v>
      </c>
      <c r="F1298" s="6">
        <v>2.40534187090059</v>
      </c>
    </row>
    <row r="1299">
      <c r="A1299" s="9">
        <f>IFERROR(__xludf.DUMMYFUNCTION("""COMPUTED_VALUE"""),44197.0)</f>
        <v>44197</v>
      </c>
      <c r="B1299" s="6" t="str">
        <f>IFERROR(__xludf.DUMMYFUNCTION("""COMPUTED_VALUE"""),"gpc_industria_pib")</f>
        <v>gpc_industria_pib</v>
      </c>
      <c r="C1299" s="6">
        <f>IFERROR(__xludf.DUMMYFUNCTION("""COMPUTED_VALUE"""),0.338172090671297)</f>
        <v>0.3381720907</v>
      </c>
      <c r="D1299" s="6">
        <v>2021.0</v>
      </c>
      <c r="E1299" s="6" t="s">
        <v>61</v>
      </c>
      <c r="F1299" s="6">
        <v>0.338172090671297</v>
      </c>
    </row>
    <row r="1300">
      <c r="A1300" s="9">
        <f>IFERROR(__xludf.DUMMYFUNCTION("""COMPUTED_VALUE"""),44197.0)</f>
        <v>44197</v>
      </c>
      <c r="B1300" s="6" t="str">
        <f>IFERROR(__xludf.DUMMYFUNCTION("""COMPUTED_VALUE"""),"gpc_transporte_pib")</f>
        <v>gpc_transporte_pib</v>
      </c>
      <c r="C1300" s="6">
        <f>IFERROR(__xludf.DUMMYFUNCTION("""COMPUTED_VALUE"""),2.03610551468767)</f>
        <v>2.036105515</v>
      </c>
      <c r="D1300" s="6">
        <v>2021.0</v>
      </c>
      <c r="E1300" s="6" t="s">
        <v>62</v>
      </c>
      <c r="F1300" s="6">
        <v>2.03610551468767</v>
      </c>
    </row>
    <row r="1301">
      <c r="A1301" s="9">
        <f>IFERROR(__xludf.DUMMYFUNCTION("""COMPUTED_VALUE"""),44197.0)</f>
        <v>44197</v>
      </c>
      <c r="B1301" s="6" t="str">
        <f>IFERROR(__xludf.DUMMYFUNCTION("""COMPUTED_VALUE"""),"gpc_comunicaciones_pib")</f>
        <v>gpc_comunicaciones_pib</v>
      </c>
      <c r="C1301" s="6">
        <f>IFERROR(__xludf.DUMMYFUNCTION("""COMPUTED_VALUE"""),0.122638628673338)</f>
        <v>0.1226386287</v>
      </c>
      <c r="D1301" s="6">
        <v>2021.0</v>
      </c>
      <c r="E1301" s="6" t="s">
        <v>63</v>
      </c>
      <c r="F1301" s="6">
        <v>0.122638628673338</v>
      </c>
    </row>
    <row r="1302">
      <c r="A1302" s="9">
        <f>IFERROR(__xludf.DUMMYFUNCTION("""COMPUTED_VALUE"""),44197.0)</f>
        <v>44197</v>
      </c>
      <c r="B1302" s="6" t="str">
        <f>IFERROR(__xludf.DUMMYFUNCTION("""COMPUTED_VALUE"""),"gpc_otros_servicios_economicos_pib")</f>
        <v>gpc_otros_servicios_economicos_pib</v>
      </c>
      <c r="C1302" s="6">
        <f>IFERROR(__xludf.DUMMYFUNCTION("""COMPUTED_VALUE"""),0.291756808840099)</f>
        <v>0.2917568088</v>
      </c>
      <c r="D1302" s="6">
        <v>2021.0</v>
      </c>
      <c r="E1302" s="6" t="s">
        <v>64</v>
      </c>
      <c r="F1302" s="6">
        <v>0.291756808840099</v>
      </c>
    </row>
    <row r="1303">
      <c r="A1303" s="9">
        <f>IFERROR(__xludf.DUMMYFUNCTION("""COMPUTED_VALUE"""),44197.0)</f>
        <v>44197</v>
      </c>
      <c r="B1303" s="6" t="str">
        <f>IFERROR(__xludf.DUMMYFUNCTION("""COMPUTED_VALUE"""),"gpc_servicios_deuda_publica_pib")</f>
        <v>gpc_servicios_deuda_publica_pib</v>
      </c>
      <c r="C1303" s="6">
        <f>IFERROR(__xludf.DUMMYFUNCTION("""COMPUTED_VALUE"""),2.02088012420722)</f>
        <v>2.020880124</v>
      </c>
      <c r="D1303" s="6">
        <v>2021.0</v>
      </c>
      <c r="E1303" s="6" t="s">
        <v>65</v>
      </c>
      <c r="F1303" s="6">
        <v>2.02088012420722</v>
      </c>
    </row>
    <row r="1304">
      <c r="A1304" s="9">
        <f>IFERROR(__xludf.DUMMYFUNCTION("""COMPUTED_VALUE"""),44562.0)</f>
        <v>44562</v>
      </c>
      <c r="B1304" s="6" t="str">
        <f>IFERROR(__xludf.DUMMYFUNCTION("""COMPUTED_VALUE"""),"gpc_pib")</f>
        <v>gpc_pib</v>
      </c>
      <c r="C1304" s="6">
        <f>IFERROR(__xludf.DUMMYFUNCTION("""COMPUTED_VALUE"""),42.2564486897025)</f>
        <v>42.25644869</v>
      </c>
      <c r="D1304" s="6">
        <v>2022.0</v>
      </c>
      <c r="E1304" s="6" t="s">
        <v>66</v>
      </c>
      <c r="F1304" s="6">
        <v>42.2564486897025</v>
      </c>
    </row>
    <row r="1305">
      <c r="A1305" s="9">
        <f>IFERROR(__xludf.DUMMYFUNCTION("""COMPUTED_VALUE"""),44562.0)</f>
        <v>44562</v>
      </c>
      <c r="B1305" s="6" t="str">
        <f>IFERROR(__xludf.DUMMYFUNCTION("""COMPUTED_VALUE"""),"gpc_funcionamiento_estado_pib")</f>
        <v>gpc_funcionamiento_estado_pib</v>
      </c>
      <c r="C1305" s="6">
        <f>IFERROR(__xludf.DUMMYFUNCTION("""COMPUTED_VALUE"""),6.22660698845558)</f>
        <v>6.226606988</v>
      </c>
      <c r="D1305" s="6">
        <v>2022.0</v>
      </c>
      <c r="E1305" s="6" t="s">
        <v>36</v>
      </c>
      <c r="F1305" s="6">
        <v>6.22660698845558</v>
      </c>
    </row>
    <row r="1306">
      <c r="A1306" s="9">
        <f>IFERROR(__xludf.DUMMYFUNCTION("""COMPUTED_VALUE"""),44562.0)</f>
        <v>44562</v>
      </c>
      <c r="B1306" s="6" t="str">
        <f>IFERROR(__xludf.DUMMYFUNCTION("""COMPUTED_VALUE"""),"gpc_administracion_general_pib")</f>
        <v>gpc_administracion_general_pib</v>
      </c>
      <c r="C1306" s="6">
        <f>IFERROR(__xludf.DUMMYFUNCTION("""COMPUTED_VALUE"""),2.57300612826636)</f>
        <v>2.573006128</v>
      </c>
      <c r="D1306" s="6">
        <v>2022.0</v>
      </c>
      <c r="E1306" s="6" t="s">
        <v>37</v>
      </c>
      <c r="F1306" s="6">
        <v>2.57300612826636</v>
      </c>
    </row>
    <row r="1307">
      <c r="A1307" s="9">
        <f>IFERROR(__xludf.DUMMYFUNCTION("""COMPUTED_VALUE"""),44562.0)</f>
        <v>44562</v>
      </c>
      <c r="B1307" s="6" t="str">
        <f>IFERROR(__xludf.DUMMYFUNCTION("""COMPUTED_VALUE"""),"gpc_justicia_pib")</f>
        <v>gpc_justicia_pib</v>
      </c>
      <c r="C1307" s="6">
        <f>IFERROR(__xludf.DUMMYFUNCTION("""COMPUTED_VALUE"""),1.17393684663349)</f>
        <v>1.173936847</v>
      </c>
      <c r="D1307" s="6">
        <v>2022.0</v>
      </c>
      <c r="E1307" s="6" t="s">
        <v>38</v>
      </c>
      <c r="F1307" s="6">
        <v>1.17393684663349</v>
      </c>
    </row>
    <row r="1308">
      <c r="A1308" s="9">
        <f>IFERROR(__xludf.DUMMYFUNCTION("""COMPUTED_VALUE"""),44562.0)</f>
        <v>44562</v>
      </c>
      <c r="B1308" s="6" t="str">
        <f>IFERROR(__xludf.DUMMYFUNCTION("""COMPUTED_VALUE"""),"gpc_defensa_seguridad_pib")</f>
        <v>gpc_defensa_seguridad_pib</v>
      </c>
      <c r="C1308" s="6">
        <f>IFERROR(__xludf.DUMMYFUNCTION("""COMPUTED_VALUE"""),2.47966401355572)</f>
        <v>2.479664014</v>
      </c>
      <c r="D1308" s="6">
        <v>2022.0</v>
      </c>
      <c r="E1308" s="6" t="s">
        <v>39</v>
      </c>
      <c r="F1308" s="6">
        <v>2.47966401355572</v>
      </c>
    </row>
    <row r="1309">
      <c r="A1309" s="9">
        <f>IFERROR(__xludf.DUMMYFUNCTION("""COMPUTED_VALUE"""),44562.0)</f>
        <v>44562</v>
      </c>
      <c r="B1309" s="6" t="str">
        <f>IFERROR(__xludf.DUMMYFUNCTION("""COMPUTED_VALUE"""),"gpc_servicios_sociales_pib")</f>
        <v>gpc_servicios_sociales_pib</v>
      </c>
      <c r="C1309" s="6">
        <f>IFERROR(__xludf.DUMMYFUNCTION("""COMPUTED_VALUE"""),28.1643100000146)</f>
        <v>28.16431</v>
      </c>
      <c r="D1309" s="6">
        <v>2022.0</v>
      </c>
      <c r="E1309" s="6" t="s">
        <v>40</v>
      </c>
      <c r="F1309" s="6">
        <v>28.1643100000146</v>
      </c>
    </row>
    <row r="1310">
      <c r="A1310" s="9">
        <f>IFERROR(__xludf.DUMMYFUNCTION("""COMPUTED_VALUE"""),44562.0)</f>
        <v>44562</v>
      </c>
      <c r="B1310" s="6" t="str">
        <f>IFERROR(__xludf.DUMMYFUNCTION("""COMPUTED_VALUE"""),"gpc_educacion_basica_pib")</f>
        <v>gpc_educacion_basica_pib</v>
      </c>
      <c r="C1310" s="6">
        <f>IFERROR(__xludf.DUMMYFUNCTION("""COMPUTED_VALUE"""),3.2523612326731)</f>
        <v>3.252361233</v>
      </c>
      <c r="D1310" s="6">
        <v>2022.0</v>
      </c>
      <c r="E1310" s="6" t="s">
        <v>41</v>
      </c>
      <c r="F1310" s="6">
        <v>3.2523612326731</v>
      </c>
    </row>
    <row r="1311">
      <c r="A1311" s="9">
        <f>IFERROR(__xludf.DUMMYFUNCTION("""COMPUTED_VALUE"""),44562.0)</f>
        <v>44562</v>
      </c>
      <c r="B1311" s="6" t="str">
        <f>IFERROR(__xludf.DUMMYFUNCTION("""COMPUTED_VALUE"""),"gpc_educacion_universitaria_pib")</f>
        <v>gpc_educacion_universitaria_pib</v>
      </c>
      <c r="C1311" s="6">
        <f>IFERROR(__xludf.DUMMYFUNCTION("""COMPUTED_VALUE"""),1.04926585923016)</f>
        <v>1.049265859</v>
      </c>
      <c r="D1311" s="6">
        <v>2022.0</v>
      </c>
      <c r="E1311" s="6" t="s">
        <v>42</v>
      </c>
      <c r="F1311" s="6">
        <v>1.04926585923016</v>
      </c>
    </row>
    <row r="1312">
      <c r="A1312" s="9">
        <f>IFERROR(__xludf.DUMMYFUNCTION("""COMPUTED_VALUE"""),44562.0)</f>
        <v>44562</v>
      </c>
      <c r="B1312" s="6" t="str">
        <f>IFERROR(__xludf.DUMMYFUNCTION("""COMPUTED_VALUE"""),"gpc_ciencia_tecnica_pib")</f>
        <v>gpc_ciencia_tecnica_pib</v>
      </c>
      <c r="C1312" s="6">
        <f>IFERROR(__xludf.DUMMYFUNCTION("""COMPUTED_VALUE"""),0.246089651636702)</f>
        <v>0.2460896516</v>
      </c>
      <c r="D1312" s="6">
        <v>2022.0</v>
      </c>
      <c r="E1312" s="6" t="s">
        <v>43</v>
      </c>
      <c r="F1312" s="6">
        <v>0.246089651636702</v>
      </c>
    </row>
    <row r="1313">
      <c r="A1313" s="9">
        <f>IFERROR(__xludf.DUMMYFUNCTION("""COMPUTED_VALUE"""),44562.0)</f>
        <v>44562</v>
      </c>
      <c r="B1313" s="6" t="str">
        <f>IFERROR(__xludf.DUMMYFUNCTION("""COMPUTED_VALUE"""),"gpc_cultura_pib")</f>
        <v>gpc_cultura_pib</v>
      </c>
      <c r="C1313" s="6">
        <f>IFERROR(__xludf.DUMMYFUNCTION("""COMPUTED_VALUE"""),0.196900832202738)</f>
        <v>0.1969008322</v>
      </c>
      <c r="D1313" s="6">
        <v>2022.0</v>
      </c>
      <c r="E1313" s="6" t="s">
        <v>44</v>
      </c>
      <c r="F1313" s="6">
        <v>0.196900832202738</v>
      </c>
    </row>
    <row r="1314">
      <c r="A1314" s="9">
        <f>IFERROR(__xludf.DUMMYFUNCTION("""COMPUTED_VALUE"""),44562.0)</f>
        <v>44562</v>
      </c>
      <c r="B1314" s="6" t="str">
        <f>IFERROR(__xludf.DUMMYFUNCTION("""COMPUTED_VALUE"""),"gpc_educacion_cultura_sin_discriminar_pib")</f>
        <v>gpc_educacion_cultura_sin_discriminar_pib</v>
      </c>
      <c r="C1314" s="6">
        <f>IFERROR(__xludf.DUMMYFUNCTION("""COMPUTED_VALUE"""),0.67050418159962)</f>
        <v>0.6705041816</v>
      </c>
      <c r="D1314" s="6">
        <v>2022.0</v>
      </c>
      <c r="E1314" s="6" t="s">
        <v>45</v>
      </c>
      <c r="F1314" s="6">
        <v>0.67050418159962</v>
      </c>
    </row>
    <row r="1315">
      <c r="A1315" s="9">
        <f>IFERROR(__xludf.DUMMYFUNCTION("""COMPUTED_VALUE"""),44562.0)</f>
        <v>44562</v>
      </c>
      <c r="B1315" s="6" t="str">
        <f>IFERROR(__xludf.DUMMYFUNCTION("""COMPUTED_VALUE"""),"gpc_atencion_salud_pib")</f>
        <v>gpc_atencion_salud_pib</v>
      </c>
      <c r="C1315" s="6">
        <f>IFERROR(__xludf.DUMMYFUNCTION("""COMPUTED_VALUE"""),2.75574031283965)</f>
        <v>2.755740313</v>
      </c>
      <c r="D1315" s="6">
        <v>2022.0</v>
      </c>
      <c r="E1315" s="6" t="s">
        <v>46</v>
      </c>
      <c r="F1315" s="6">
        <v>2.75574031283965</v>
      </c>
    </row>
    <row r="1316">
      <c r="A1316" s="9">
        <f>IFERROR(__xludf.DUMMYFUNCTION("""COMPUTED_VALUE"""),44562.0)</f>
        <v>44562</v>
      </c>
      <c r="B1316" s="6" t="str">
        <f>IFERROR(__xludf.DUMMYFUNCTION("""COMPUTED_VALUE"""),"gpc_obras_sociales_salud_pib")</f>
        <v>gpc_obras_sociales_salud_pib</v>
      </c>
      <c r="C1316" s="6">
        <f>IFERROR(__xludf.DUMMYFUNCTION("""COMPUTED_VALUE"""),2.56434756446758)</f>
        <v>2.564347564</v>
      </c>
      <c r="D1316" s="6">
        <v>2022.0</v>
      </c>
      <c r="E1316" s="6" t="s">
        <v>47</v>
      </c>
      <c r="F1316" s="6">
        <v>2.56434756446758</v>
      </c>
    </row>
    <row r="1317">
      <c r="A1317" s="9">
        <f>IFERROR(__xludf.DUMMYFUNCTION("""COMPUTED_VALUE"""),44562.0)</f>
        <v>44562</v>
      </c>
      <c r="B1317" s="6" t="str">
        <f>IFERROR(__xludf.DUMMYFUNCTION("""COMPUTED_VALUE"""),"gpc_inssjyp_salud_pib")</f>
        <v>gpc_inssjyp_salud_pib</v>
      </c>
      <c r="C1317" s="6">
        <f>IFERROR(__xludf.DUMMYFUNCTION("""COMPUTED_VALUE"""),0.788813432235231)</f>
        <v>0.7888134322</v>
      </c>
      <c r="D1317" s="6">
        <v>2022.0</v>
      </c>
      <c r="E1317" s="6" t="s">
        <v>48</v>
      </c>
      <c r="F1317" s="6">
        <v>0.788813432235231</v>
      </c>
    </row>
    <row r="1318">
      <c r="A1318" s="9">
        <f>IFERROR(__xludf.DUMMYFUNCTION("""COMPUTED_VALUE"""),44562.0)</f>
        <v>44562</v>
      </c>
      <c r="B1318" s="6" t="str">
        <f>IFERROR(__xludf.DUMMYFUNCTION("""COMPUTED_VALUE"""),"gpc_agua_alcantarillado_pib")</f>
        <v>gpc_agua_alcantarillado_pib</v>
      </c>
      <c r="C1318" s="6">
        <f>IFERROR(__xludf.DUMMYFUNCTION("""COMPUTED_VALUE"""),0.593181930983876)</f>
        <v>0.593181931</v>
      </c>
      <c r="D1318" s="6">
        <v>2022.0</v>
      </c>
      <c r="E1318" s="6" t="s">
        <v>49</v>
      </c>
      <c r="F1318" s="6">
        <v>0.593181930983876</v>
      </c>
    </row>
    <row r="1319">
      <c r="A1319" s="9">
        <f>IFERROR(__xludf.DUMMYFUNCTION("""COMPUTED_VALUE"""),44562.0)</f>
        <v>44562</v>
      </c>
      <c r="B1319" s="6" t="str">
        <f>IFERROR(__xludf.DUMMYFUNCTION("""COMPUTED_VALUE"""),"gpc_vivienda_urbanismo_pib")</f>
        <v>gpc_vivienda_urbanismo_pib</v>
      </c>
      <c r="C1319" s="6">
        <f>IFERROR(__xludf.DUMMYFUNCTION("""COMPUTED_VALUE"""),1.01269805167452)</f>
        <v>1.012698052</v>
      </c>
      <c r="D1319" s="6">
        <v>2022.0</v>
      </c>
      <c r="E1319" s="6" t="s">
        <v>50</v>
      </c>
      <c r="F1319" s="6">
        <v>1.01269805167452</v>
      </c>
    </row>
    <row r="1320">
      <c r="A1320" s="9">
        <f>IFERROR(__xludf.DUMMYFUNCTION("""COMPUTED_VALUE"""),44562.0)</f>
        <v>44562</v>
      </c>
      <c r="B1320" s="6" t="str">
        <f>IFERROR(__xludf.DUMMYFUNCTION("""COMPUTED_VALUE"""),"gpc_promocion_asistencia_social_pib")</f>
        <v>gpc_promocion_asistencia_social_pib</v>
      </c>
      <c r="C1320" s="6">
        <f>IFERROR(__xludf.DUMMYFUNCTION("""COMPUTED_VALUE"""),2.5343599394945)</f>
        <v>2.534359939</v>
      </c>
      <c r="D1320" s="6">
        <v>2022.0</v>
      </c>
      <c r="E1320" s="6" t="s">
        <v>51</v>
      </c>
      <c r="F1320" s="6">
        <v>2.5343599394945</v>
      </c>
    </row>
    <row r="1321">
      <c r="A1321" s="9">
        <f>IFERROR(__xludf.DUMMYFUNCTION("""COMPUTED_VALUE"""),44562.0)</f>
        <v>44562</v>
      </c>
      <c r="B1321" s="6" t="str">
        <f>IFERROR(__xludf.DUMMYFUNCTION("""COMPUTED_VALUE"""),"gpc_obras_sociales_prestaciones_pib")</f>
        <v>gpc_obras_sociales_prestaciones_pib</v>
      </c>
      <c r="C1321" s="6">
        <f>IFERROR(__xludf.DUMMYFUNCTION("""COMPUTED_VALUE"""),0.13637622210721)</f>
        <v>0.1363762221</v>
      </c>
      <c r="D1321" s="6">
        <v>2022.0</v>
      </c>
      <c r="E1321" s="6" t="s">
        <v>52</v>
      </c>
      <c r="F1321" s="6">
        <v>0.13637622210721</v>
      </c>
    </row>
    <row r="1322">
      <c r="A1322" s="9">
        <f>IFERROR(__xludf.DUMMYFUNCTION("""COMPUTED_VALUE"""),44562.0)</f>
        <v>44562</v>
      </c>
      <c r="B1322" s="6" t="str">
        <f>IFERROR(__xludf.DUMMYFUNCTION("""COMPUTED_VALUE"""),"gpc_inssjyp_prestaciones_pib")</f>
        <v>gpc_inssjyp_prestaciones_pib</v>
      </c>
      <c r="C1322" s="6">
        <f>IFERROR(__xludf.DUMMYFUNCTION("""COMPUTED_VALUE"""),0.17308577718543)</f>
        <v>0.1730857772</v>
      </c>
      <c r="D1322" s="6">
        <v>2022.0</v>
      </c>
      <c r="E1322" s="6" t="s">
        <v>53</v>
      </c>
      <c r="F1322" s="6">
        <v>0.17308577718543</v>
      </c>
    </row>
    <row r="1323">
      <c r="A1323" s="9">
        <f>IFERROR(__xludf.DUMMYFUNCTION("""COMPUTED_VALUE"""),44562.0)</f>
        <v>44562</v>
      </c>
      <c r="B1323" s="6" t="str">
        <f>IFERROR(__xludf.DUMMYFUNCTION("""COMPUTED_VALUE"""),"gpc_prevision_social_pib")</f>
        <v>gpc_prevision_social_pib</v>
      </c>
      <c r="C1323" s="6">
        <f>IFERROR(__xludf.DUMMYFUNCTION("""COMPUTED_VALUE"""),10.0249198460687)</f>
        <v>10.02491985</v>
      </c>
      <c r="D1323" s="6">
        <v>2022.0</v>
      </c>
      <c r="E1323" s="6" t="s">
        <v>54</v>
      </c>
      <c r="F1323" s="6">
        <v>10.0249198460687</v>
      </c>
    </row>
    <row r="1324">
      <c r="A1324" s="9">
        <f>IFERROR(__xludf.DUMMYFUNCTION("""COMPUTED_VALUE"""),44562.0)</f>
        <v>44562</v>
      </c>
      <c r="B1324" s="6" t="str">
        <f>IFERROR(__xludf.DUMMYFUNCTION("""COMPUTED_VALUE"""),"gpc_programas_empleo_pib")</f>
        <v>gpc_programas_empleo_pib</v>
      </c>
      <c r="C1324" s="6">
        <f>IFERROR(__xludf.DUMMYFUNCTION("""COMPUTED_VALUE"""),0.176286212613072)</f>
        <v>0.1762862126</v>
      </c>
      <c r="D1324" s="6">
        <v>2022.0</v>
      </c>
      <c r="E1324" s="6" t="s">
        <v>55</v>
      </c>
      <c r="F1324" s="6">
        <v>0.176286212613072</v>
      </c>
    </row>
    <row r="1325">
      <c r="A1325" s="9">
        <f>IFERROR(__xludf.DUMMYFUNCTION("""COMPUTED_VALUE"""),44562.0)</f>
        <v>44562</v>
      </c>
      <c r="B1325" s="6" t="str">
        <f>IFERROR(__xludf.DUMMYFUNCTION("""COMPUTED_VALUE"""),"gpc_asignaciones_familiares_pib")</f>
        <v>gpc_asignaciones_familiares_pib</v>
      </c>
      <c r="C1325" s="6">
        <f>IFERROR(__xludf.DUMMYFUNCTION("""COMPUTED_VALUE"""),1.04987231924594)</f>
        <v>1.049872319</v>
      </c>
      <c r="D1325" s="6">
        <v>2022.0</v>
      </c>
      <c r="E1325" s="6" t="s">
        <v>56</v>
      </c>
      <c r="F1325" s="6">
        <v>1.04987231924594</v>
      </c>
    </row>
    <row r="1326">
      <c r="A1326" s="9">
        <f>IFERROR(__xludf.DUMMYFUNCTION("""COMPUTED_VALUE"""),44562.0)</f>
        <v>44562</v>
      </c>
      <c r="B1326" s="6" t="str">
        <f>IFERROR(__xludf.DUMMYFUNCTION("""COMPUTED_VALUE"""),"gpc_otros_servicios_urbanos_pib")</f>
        <v>gpc_otros_servicios_urbanos_pib</v>
      </c>
      <c r="C1326" s="6">
        <f>IFERROR(__xludf.DUMMYFUNCTION("""COMPUTED_VALUE"""),0.939506633756532)</f>
        <v>0.9395066338</v>
      </c>
      <c r="D1326" s="6">
        <v>2022.0</v>
      </c>
      <c r="E1326" s="6" t="s">
        <v>57</v>
      </c>
      <c r="F1326" s="6">
        <v>0.939506633756532</v>
      </c>
    </row>
    <row r="1327">
      <c r="A1327" s="9">
        <f>IFERROR(__xludf.DUMMYFUNCTION("""COMPUTED_VALUE"""),44562.0)</f>
        <v>44562</v>
      </c>
      <c r="B1327" s="6" t="str">
        <f>IFERROR(__xludf.DUMMYFUNCTION("""COMPUTED_VALUE"""),"gpc_servicios_economicos_pib")</f>
        <v>gpc_servicios_economicos_pib</v>
      </c>
      <c r="C1327" s="6">
        <f>IFERROR(__xludf.DUMMYFUNCTION("""COMPUTED_VALUE"""),5.61647856715444)</f>
        <v>5.616478567</v>
      </c>
      <c r="D1327" s="6">
        <v>2022.0</v>
      </c>
      <c r="E1327" s="6" t="s">
        <v>58</v>
      </c>
      <c r="F1327" s="6">
        <v>5.61647856715444</v>
      </c>
    </row>
    <row r="1328">
      <c r="A1328" s="9">
        <f>IFERROR(__xludf.DUMMYFUNCTION("""COMPUTED_VALUE"""),44562.0)</f>
        <v>44562</v>
      </c>
      <c r="B1328" s="6" t="str">
        <f>IFERROR(__xludf.DUMMYFUNCTION("""COMPUTED_VALUE"""),"gpc_produccion_primaria_pib")</f>
        <v>gpc_produccion_primaria_pib</v>
      </c>
      <c r="C1328" s="6">
        <f>IFERROR(__xludf.DUMMYFUNCTION("""COMPUTED_VALUE"""),0.417449810498628)</f>
        <v>0.4174498105</v>
      </c>
      <c r="D1328" s="6">
        <v>2022.0</v>
      </c>
      <c r="E1328" s="6" t="s">
        <v>59</v>
      </c>
      <c r="F1328" s="6">
        <v>0.417449810498628</v>
      </c>
    </row>
    <row r="1329">
      <c r="A1329" s="9">
        <f>IFERROR(__xludf.DUMMYFUNCTION("""COMPUTED_VALUE"""),44562.0)</f>
        <v>44562</v>
      </c>
      <c r="B1329" s="6" t="str">
        <f>IFERROR(__xludf.DUMMYFUNCTION("""COMPUTED_VALUE"""),"gpc_energia_combustible_pib")</f>
        <v>gpc_energia_combustible_pib</v>
      </c>
      <c r="C1329" s="6">
        <f>IFERROR(__xludf.DUMMYFUNCTION("""COMPUTED_VALUE"""),2.5871983539642)</f>
        <v>2.587198354</v>
      </c>
      <c r="D1329" s="6">
        <v>2022.0</v>
      </c>
      <c r="E1329" s="6" t="s">
        <v>60</v>
      </c>
      <c r="F1329" s="6">
        <v>2.5871983539642</v>
      </c>
    </row>
    <row r="1330">
      <c r="A1330" s="9">
        <f>IFERROR(__xludf.DUMMYFUNCTION("""COMPUTED_VALUE"""),44562.0)</f>
        <v>44562</v>
      </c>
      <c r="B1330" s="6" t="str">
        <f>IFERROR(__xludf.DUMMYFUNCTION("""COMPUTED_VALUE"""),"gpc_industria_pib")</f>
        <v>gpc_industria_pib</v>
      </c>
      <c r="C1330" s="6">
        <f>IFERROR(__xludf.DUMMYFUNCTION("""COMPUTED_VALUE"""),0.164597377843138)</f>
        <v>0.1645973778</v>
      </c>
      <c r="D1330" s="6">
        <v>2022.0</v>
      </c>
      <c r="E1330" s="6" t="s">
        <v>61</v>
      </c>
      <c r="F1330" s="6">
        <v>0.164597377843138</v>
      </c>
    </row>
    <row r="1331">
      <c r="A1331" s="9">
        <f>IFERROR(__xludf.DUMMYFUNCTION("""COMPUTED_VALUE"""),44562.0)</f>
        <v>44562</v>
      </c>
      <c r="B1331" s="6" t="str">
        <f>IFERROR(__xludf.DUMMYFUNCTION("""COMPUTED_VALUE"""),"gpc_transporte_pib")</f>
        <v>gpc_transporte_pib</v>
      </c>
      <c r="C1331" s="6">
        <f>IFERROR(__xludf.DUMMYFUNCTION("""COMPUTED_VALUE"""),1.98274719594041)</f>
        <v>1.982747196</v>
      </c>
      <c r="D1331" s="6">
        <v>2022.0</v>
      </c>
      <c r="E1331" s="6" t="s">
        <v>62</v>
      </c>
      <c r="F1331" s="6">
        <v>1.98274719594041</v>
      </c>
    </row>
    <row r="1332">
      <c r="A1332" s="9">
        <f>IFERROR(__xludf.DUMMYFUNCTION("""COMPUTED_VALUE"""),44562.0)</f>
        <v>44562</v>
      </c>
      <c r="B1332" s="6" t="str">
        <f>IFERROR(__xludf.DUMMYFUNCTION("""COMPUTED_VALUE"""),"gpc_comunicaciones_pib")</f>
        <v>gpc_comunicaciones_pib</v>
      </c>
      <c r="C1332" s="6">
        <f>IFERROR(__xludf.DUMMYFUNCTION("""COMPUTED_VALUE"""),0.155796022110739)</f>
        <v>0.1557960221</v>
      </c>
      <c r="D1332" s="6">
        <v>2022.0</v>
      </c>
      <c r="E1332" s="6" t="s">
        <v>63</v>
      </c>
      <c r="F1332" s="6">
        <v>0.155796022110739</v>
      </c>
    </row>
    <row r="1333">
      <c r="A1333" s="9">
        <f>IFERROR(__xludf.DUMMYFUNCTION("""COMPUTED_VALUE"""),44562.0)</f>
        <v>44562</v>
      </c>
      <c r="B1333" s="6" t="str">
        <f>IFERROR(__xludf.DUMMYFUNCTION("""COMPUTED_VALUE"""),"gpc_otros_servicios_economicos_pib")</f>
        <v>gpc_otros_servicios_economicos_pib</v>
      </c>
      <c r="C1333" s="6">
        <f>IFERROR(__xludf.DUMMYFUNCTION("""COMPUTED_VALUE"""),0.308689806797321)</f>
        <v>0.3086898068</v>
      </c>
      <c r="D1333" s="6">
        <v>2022.0</v>
      </c>
      <c r="E1333" s="6" t="s">
        <v>64</v>
      </c>
      <c r="F1333" s="6">
        <v>0.308689806797321</v>
      </c>
    </row>
    <row r="1334">
      <c r="A1334" s="9">
        <f>IFERROR(__xludf.DUMMYFUNCTION("""COMPUTED_VALUE"""),44562.0)</f>
        <v>44562</v>
      </c>
      <c r="B1334" s="6" t="str">
        <f>IFERROR(__xludf.DUMMYFUNCTION("""COMPUTED_VALUE"""),"gpc_servicios_deuda_publica_pib")</f>
        <v>gpc_servicios_deuda_publica_pib</v>
      </c>
      <c r="C1334" s="6">
        <f>IFERROR(__xludf.DUMMYFUNCTION("""COMPUTED_VALUE"""),2.24905313407792)</f>
        <v>2.249053134</v>
      </c>
      <c r="D1334" s="6">
        <v>2022.0</v>
      </c>
      <c r="E1334" s="6" t="s">
        <v>65</v>
      </c>
      <c r="F1334" s="6">
        <v>2.24905313407792</v>
      </c>
    </row>
    <row r="1335">
      <c r="A1335" s="9">
        <f>IFERROR(__xludf.DUMMYFUNCTION("""COMPUTED_VALUE"""),44927.0)</f>
        <v>44927</v>
      </c>
      <c r="B1335" s="6" t="str">
        <f>IFERROR(__xludf.DUMMYFUNCTION("""COMPUTED_VALUE"""),"gpc_pib")</f>
        <v>gpc_pib</v>
      </c>
      <c r="C1335" s="6">
        <f>IFERROR(__xludf.DUMMYFUNCTION("""COMPUTED_VALUE"""),41.86654045227)</f>
        <v>41.86654045</v>
      </c>
      <c r="D1335" s="6">
        <v>2023.0</v>
      </c>
      <c r="E1335" s="6" t="s">
        <v>66</v>
      </c>
      <c r="F1335" s="6">
        <v>41.86654045227</v>
      </c>
    </row>
    <row r="1336">
      <c r="A1336" s="9">
        <f>IFERROR(__xludf.DUMMYFUNCTION("""COMPUTED_VALUE"""),44927.0)</f>
        <v>44927</v>
      </c>
      <c r="B1336" s="6" t="str">
        <f>IFERROR(__xludf.DUMMYFUNCTION("""COMPUTED_VALUE"""),"gpc_funcionamiento_estado_pib")</f>
        <v>gpc_funcionamiento_estado_pib</v>
      </c>
      <c r="C1336" s="6">
        <f>IFERROR(__xludf.DUMMYFUNCTION("""COMPUTED_VALUE"""),6.56488195353367)</f>
        <v>6.564881954</v>
      </c>
      <c r="D1336" s="6">
        <v>2023.0</v>
      </c>
      <c r="E1336" s="6" t="s">
        <v>36</v>
      </c>
      <c r="F1336" s="6">
        <v>6.56488195353367</v>
      </c>
    </row>
    <row r="1337">
      <c r="A1337" s="9">
        <f>IFERROR(__xludf.DUMMYFUNCTION("""COMPUTED_VALUE"""),44927.0)</f>
        <v>44927</v>
      </c>
      <c r="B1337" s="6" t="str">
        <f>IFERROR(__xludf.DUMMYFUNCTION("""COMPUTED_VALUE"""),"gpc_administracion_general_pib")</f>
        <v>gpc_administracion_general_pib</v>
      </c>
      <c r="C1337" s="6">
        <f>IFERROR(__xludf.DUMMYFUNCTION("""COMPUTED_VALUE"""),2.75379546737265)</f>
        <v>2.753795467</v>
      </c>
      <c r="D1337" s="6">
        <v>2023.0</v>
      </c>
      <c r="E1337" s="6" t="s">
        <v>37</v>
      </c>
      <c r="F1337" s="6">
        <v>2.75379546737265</v>
      </c>
    </row>
    <row r="1338">
      <c r="A1338" s="9">
        <f>IFERROR(__xludf.DUMMYFUNCTION("""COMPUTED_VALUE"""),44927.0)</f>
        <v>44927</v>
      </c>
      <c r="B1338" s="6" t="str">
        <f>IFERROR(__xludf.DUMMYFUNCTION("""COMPUTED_VALUE"""),"gpc_justicia_pib")</f>
        <v>gpc_justicia_pib</v>
      </c>
      <c r="C1338" s="6">
        <f>IFERROR(__xludf.DUMMYFUNCTION("""COMPUTED_VALUE"""),1.24669297615779)</f>
        <v>1.246692976</v>
      </c>
      <c r="D1338" s="6">
        <v>2023.0</v>
      </c>
      <c r="E1338" s="6" t="s">
        <v>38</v>
      </c>
      <c r="F1338" s="6">
        <v>1.24669297615779</v>
      </c>
    </row>
    <row r="1339">
      <c r="A1339" s="9">
        <f>IFERROR(__xludf.DUMMYFUNCTION("""COMPUTED_VALUE"""),44927.0)</f>
        <v>44927</v>
      </c>
      <c r="B1339" s="6" t="str">
        <f>IFERROR(__xludf.DUMMYFUNCTION("""COMPUTED_VALUE"""),"gpc_defensa_seguridad_pib")</f>
        <v>gpc_defensa_seguridad_pib</v>
      </c>
      <c r="C1339" s="6">
        <f>IFERROR(__xludf.DUMMYFUNCTION("""COMPUTED_VALUE"""),2.56439351000322)</f>
        <v>2.56439351</v>
      </c>
      <c r="D1339" s="6">
        <v>2023.0</v>
      </c>
      <c r="E1339" s="6" t="s">
        <v>39</v>
      </c>
      <c r="F1339" s="6">
        <v>2.56439351000322</v>
      </c>
    </row>
    <row r="1340">
      <c r="A1340" s="9">
        <f>IFERROR(__xludf.DUMMYFUNCTION("""COMPUTED_VALUE"""),44927.0)</f>
        <v>44927</v>
      </c>
      <c r="B1340" s="6" t="str">
        <f>IFERROR(__xludf.DUMMYFUNCTION("""COMPUTED_VALUE"""),"gpc_servicios_sociales_pib")</f>
        <v>gpc_servicios_sociales_pib</v>
      </c>
      <c r="C1340" s="6">
        <f>IFERROR(__xludf.DUMMYFUNCTION("""COMPUTED_VALUE"""),28.1918159869333)</f>
        <v>28.19181599</v>
      </c>
      <c r="D1340" s="6">
        <v>2023.0</v>
      </c>
      <c r="E1340" s="6" t="s">
        <v>40</v>
      </c>
      <c r="F1340" s="6">
        <v>28.1918159869333</v>
      </c>
    </row>
    <row r="1341">
      <c r="A1341" s="9">
        <f>IFERROR(__xludf.DUMMYFUNCTION("""COMPUTED_VALUE"""),44927.0)</f>
        <v>44927</v>
      </c>
      <c r="B1341" s="6" t="str">
        <f>IFERROR(__xludf.DUMMYFUNCTION("""COMPUTED_VALUE"""),"gpc_educacion_basica_pib")</f>
        <v>gpc_educacion_basica_pib</v>
      </c>
      <c r="C1341" s="6">
        <f>IFERROR(__xludf.DUMMYFUNCTION("""COMPUTED_VALUE"""),3.45927897594365)</f>
        <v>3.459278976</v>
      </c>
      <c r="D1341" s="6">
        <v>2023.0</v>
      </c>
      <c r="E1341" s="6" t="s">
        <v>41</v>
      </c>
      <c r="F1341" s="6">
        <v>3.45927897594365</v>
      </c>
    </row>
    <row r="1342">
      <c r="A1342" s="9">
        <f>IFERROR(__xludf.DUMMYFUNCTION("""COMPUTED_VALUE"""),44927.0)</f>
        <v>44927</v>
      </c>
      <c r="B1342" s="6" t="str">
        <f>IFERROR(__xludf.DUMMYFUNCTION("""COMPUTED_VALUE"""),"gpc_educacion_universitaria_pib")</f>
        <v>gpc_educacion_universitaria_pib</v>
      </c>
      <c r="C1342" s="6">
        <f>IFERROR(__xludf.DUMMYFUNCTION("""COMPUTED_VALUE"""),1.12745658453769)</f>
        <v>1.127456585</v>
      </c>
      <c r="D1342" s="6">
        <v>2023.0</v>
      </c>
      <c r="E1342" s="6" t="s">
        <v>42</v>
      </c>
      <c r="F1342" s="6">
        <v>1.12745658453769</v>
      </c>
    </row>
    <row r="1343">
      <c r="A1343" s="9">
        <f>IFERROR(__xludf.DUMMYFUNCTION("""COMPUTED_VALUE"""),44927.0)</f>
        <v>44927</v>
      </c>
      <c r="B1343" s="6" t="str">
        <f>IFERROR(__xludf.DUMMYFUNCTION("""COMPUTED_VALUE"""),"gpc_ciencia_tecnica_pib")</f>
        <v>gpc_ciencia_tecnica_pib</v>
      </c>
      <c r="C1343" s="6">
        <f>IFERROR(__xludf.DUMMYFUNCTION("""COMPUTED_VALUE"""),0.267382988187198)</f>
        <v>0.2673829882</v>
      </c>
      <c r="D1343" s="6">
        <v>2023.0</v>
      </c>
      <c r="E1343" s="6" t="s">
        <v>43</v>
      </c>
      <c r="F1343" s="6">
        <v>0.267382988187198</v>
      </c>
    </row>
    <row r="1344">
      <c r="A1344" s="9">
        <f>IFERROR(__xludf.DUMMYFUNCTION("""COMPUTED_VALUE"""),44927.0)</f>
        <v>44927</v>
      </c>
      <c r="B1344" s="6" t="str">
        <f>IFERROR(__xludf.DUMMYFUNCTION("""COMPUTED_VALUE"""),"gpc_cultura_pib")</f>
        <v>gpc_cultura_pib</v>
      </c>
      <c r="C1344" s="6">
        <f>IFERROR(__xludf.DUMMYFUNCTION("""COMPUTED_VALUE"""),0.200339244226641)</f>
        <v>0.2003392442</v>
      </c>
      <c r="D1344" s="6">
        <v>2023.0</v>
      </c>
      <c r="E1344" s="6" t="s">
        <v>44</v>
      </c>
      <c r="F1344" s="6">
        <v>0.200339244226641</v>
      </c>
    </row>
    <row r="1345">
      <c r="A1345" s="9">
        <f>IFERROR(__xludf.DUMMYFUNCTION("""COMPUTED_VALUE"""),44927.0)</f>
        <v>44927</v>
      </c>
      <c r="B1345" s="6" t="str">
        <f>IFERROR(__xludf.DUMMYFUNCTION("""COMPUTED_VALUE"""),"gpc_educacion_cultura_sin_discriminar_pib")</f>
        <v>gpc_educacion_cultura_sin_discriminar_pib</v>
      </c>
      <c r="C1345" s="6">
        <f>IFERROR(__xludf.DUMMYFUNCTION("""COMPUTED_VALUE"""),0.793024305904271)</f>
        <v>0.7930243059</v>
      </c>
      <c r="D1345" s="6">
        <v>2023.0</v>
      </c>
      <c r="E1345" s="6" t="s">
        <v>45</v>
      </c>
      <c r="F1345" s="6">
        <v>0.793024305904271</v>
      </c>
    </row>
    <row r="1346">
      <c r="A1346" s="9">
        <f>IFERROR(__xludf.DUMMYFUNCTION("""COMPUTED_VALUE"""),44927.0)</f>
        <v>44927</v>
      </c>
      <c r="B1346" s="6" t="str">
        <f>IFERROR(__xludf.DUMMYFUNCTION("""COMPUTED_VALUE"""),"gpc_atencion_salud_pib")</f>
        <v>gpc_atencion_salud_pib</v>
      </c>
      <c r="C1346" s="6">
        <f>IFERROR(__xludf.DUMMYFUNCTION("""COMPUTED_VALUE"""),2.73847209063528)</f>
        <v>2.738472091</v>
      </c>
      <c r="D1346" s="6">
        <v>2023.0</v>
      </c>
      <c r="E1346" s="6" t="s">
        <v>46</v>
      </c>
      <c r="F1346" s="6">
        <v>2.73847209063528</v>
      </c>
    </row>
    <row r="1347">
      <c r="A1347" s="9">
        <f>IFERROR(__xludf.DUMMYFUNCTION("""COMPUTED_VALUE"""),44927.0)</f>
        <v>44927</v>
      </c>
      <c r="B1347" s="6" t="str">
        <f>IFERROR(__xludf.DUMMYFUNCTION("""COMPUTED_VALUE"""),"gpc_obras_sociales_salud_pib")</f>
        <v>gpc_obras_sociales_salud_pib</v>
      </c>
      <c r="C1347" s="6">
        <f>IFERROR(__xludf.DUMMYFUNCTION("""COMPUTED_VALUE"""),2.5255728386879)</f>
        <v>2.525572839</v>
      </c>
      <c r="D1347" s="6">
        <v>2023.0</v>
      </c>
      <c r="E1347" s="6" t="s">
        <v>47</v>
      </c>
      <c r="F1347" s="6">
        <v>2.5255728386879</v>
      </c>
    </row>
    <row r="1348">
      <c r="A1348" s="9">
        <f>IFERROR(__xludf.DUMMYFUNCTION("""COMPUTED_VALUE"""),44927.0)</f>
        <v>44927</v>
      </c>
      <c r="B1348" s="6" t="str">
        <f>IFERROR(__xludf.DUMMYFUNCTION("""COMPUTED_VALUE"""),"gpc_inssjyp_salud_pib")</f>
        <v>gpc_inssjyp_salud_pib</v>
      </c>
      <c r="C1348" s="6">
        <f>IFERROR(__xludf.DUMMYFUNCTION("""COMPUTED_VALUE"""),1.02546652903556)</f>
        <v>1.025466529</v>
      </c>
      <c r="D1348" s="6">
        <v>2023.0</v>
      </c>
      <c r="E1348" s="6" t="s">
        <v>48</v>
      </c>
      <c r="F1348" s="6">
        <v>1.02546652903556</v>
      </c>
    </row>
    <row r="1349">
      <c r="A1349" s="9">
        <f>IFERROR(__xludf.DUMMYFUNCTION("""COMPUTED_VALUE"""),44927.0)</f>
        <v>44927</v>
      </c>
      <c r="B1349" s="6" t="str">
        <f>IFERROR(__xludf.DUMMYFUNCTION("""COMPUTED_VALUE"""),"gpc_agua_alcantarillado_pib")</f>
        <v>gpc_agua_alcantarillado_pib</v>
      </c>
      <c r="C1349" s="6">
        <f>IFERROR(__xludf.DUMMYFUNCTION("""COMPUTED_VALUE"""),0.680249048691894)</f>
        <v>0.6802490487</v>
      </c>
      <c r="D1349" s="6">
        <v>2023.0</v>
      </c>
      <c r="E1349" s="6" t="s">
        <v>49</v>
      </c>
      <c r="F1349" s="6">
        <v>0.680249048691894</v>
      </c>
    </row>
    <row r="1350">
      <c r="A1350" s="9">
        <f>IFERROR(__xludf.DUMMYFUNCTION("""COMPUTED_VALUE"""),44927.0)</f>
        <v>44927</v>
      </c>
      <c r="B1350" s="6" t="str">
        <f>IFERROR(__xludf.DUMMYFUNCTION("""COMPUTED_VALUE"""),"gpc_vivienda_urbanismo_pib")</f>
        <v>gpc_vivienda_urbanismo_pib</v>
      </c>
      <c r="C1350" s="6">
        <f>IFERROR(__xludf.DUMMYFUNCTION("""COMPUTED_VALUE"""),0.938284251889905)</f>
        <v>0.9382842519</v>
      </c>
      <c r="D1350" s="6">
        <v>2023.0</v>
      </c>
      <c r="E1350" s="6" t="s">
        <v>50</v>
      </c>
      <c r="F1350" s="6">
        <v>0.938284251889905</v>
      </c>
    </row>
    <row r="1351">
      <c r="A1351" s="9">
        <f>IFERROR(__xludf.DUMMYFUNCTION("""COMPUTED_VALUE"""),44927.0)</f>
        <v>44927</v>
      </c>
      <c r="B1351" s="6" t="str">
        <f>IFERROR(__xludf.DUMMYFUNCTION("""COMPUTED_VALUE"""),"gpc_promocion_asistencia_social_pib")</f>
        <v>gpc_promocion_asistencia_social_pib</v>
      </c>
      <c r="C1351" s="6">
        <f>IFERROR(__xludf.DUMMYFUNCTION("""COMPUTED_VALUE"""),2.4222227589445)</f>
        <v>2.422222759</v>
      </c>
      <c r="D1351" s="6">
        <v>2023.0</v>
      </c>
      <c r="E1351" s="6" t="s">
        <v>51</v>
      </c>
      <c r="F1351" s="6">
        <v>2.4222227589445</v>
      </c>
    </row>
    <row r="1352">
      <c r="A1352" s="9">
        <f>IFERROR(__xludf.DUMMYFUNCTION("""COMPUTED_VALUE"""),44927.0)</f>
        <v>44927</v>
      </c>
      <c r="B1352" s="6" t="str">
        <f>IFERROR(__xludf.DUMMYFUNCTION("""COMPUTED_VALUE"""),"gpc_obras_sociales_prestaciones_pib")</f>
        <v>gpc_obras_sociales_prestaciones_pib</v>
      </c>
      <c r="C1352" s="6">
        <f>IFERROR(__xludf.DUMMYFUNCTION("""COMPUTED_VALUE"""),0.133667070881879)</f>
        <v>0.1336670709</v>
      </c>
      <c r="D1352" s="6">
        <v>2023.0</v>
      </c>
      <c r="E1352" s="6" t="s">
        <v>52</v>
      </c>
      <c r="F1352" s="6">
        <v>0.133667070881879</v>
      </c>
    </row>
    <row r="1353">
      <c r="A1353" s="9">
        <f>IFERROR(__xludf.DUMMYFUNCTION("""COMPUTED_VALUE"""),44927.0)</f>
        <v>44927</v>
      </c>
      <c r="B1353" s="6" t="str">
        <f>IFERROR(__xludf.DUMMYFUNCTION("""COMPUTED_VALUE"""),"gpc_inssjyp_prestaciones_pib")</f>
        <v>gpc_inssjyp_prestaciones_pib</v>
      </c>
      <c r="C1353" s="6">
        <f>IFERROR(__xludf.DUMMYFUNCTION("""COMPUTED_VALUE"""),0.225013499900488)</f>
        <v>0.2250134999</v>
      </c>
      <c r="D1353" s="6">
        <v>2023.0</v>
      </c>
      <c r="E1353" s="6" t="s">
        <v>53</v>
      </c>
      <c r="F1353" s="6">
        <v>0.225013499900488</v>
      </c>
    </row>
    <row r="1354">
      <c r="A1354" s="9">
        <f>IFERROR(__xludf.DUMMYFUNCTION("""COMPUTED_VALUE"""),44927.0)</f>
        <v>44927</v>
      </c>
      <c r="B1354" s="6" t="str">
        <f>IFERROR(__xludf.DUMMYFUNCTION("""COMPUTED_VALUE"""),"gpc_prevision_social_pib")</f>
        <v>gpc_prevision_social_pib</v>
      </c>
      <c r="C1354" s="6">
        <f>IFERROR(__xludf.DUMMYFUNCTION("""COMPUTED_VALUE"""),9.79877955508495)</f>
        <v>9.798779555</v>
      </c>
      <c r="D1354" s="6">
        <v>2023.0</v>
      </c>
      <c r="E1354" s="6" t="s">
        <v>54</v>
      </c>
      <c r="F1354" s="6">
        <v>9.79877955508495</v>
      </c>
    </row>
    <row r="1355">
      <c r="A1355" s="9">
        <f>IFERROR(__xludf.DUMMYFUNCTION("""COMPUTED_VALUE"""),44927.0)</f>
        <v>44927</v>
      </c>
      <c r="B1355" s="6" t="str">
        <f>IFERROR(__xludf.DUMMYFUNCTION("""COMPUTED_VALUE"""),"gpc_programas_empleo_pib")</f>
        <v>gpc_programas_empleo_pib</v>
      </c>
      <c r="C1355" s="6">
        <f>IFERROR(__xludf.DUMMYFUNCTION("""COMPUTED_VALUE"""),0.211971363356368)</f>
        <v>0.2119713634</v>
      </c>
      <c r="D1355" s="6">
        <v>2023.0</v>
      </c>
      <c r="E1355" s="6" t="s">
        <v>55</v>
      </c>
      <c r="F1355" s="6">
        <v>0.211971363356368</v>
      </c>
    </row>
    <row r="1356">
      <c r="A1356" s="9">
        <f>IFERROR(__xludf.DUMMYFUNCTION("""COMPUTED_VALUE"""),44927.0)</f>
        <v>44927</v>
      </c>
      <c r="B1356" s="6" t="str">
        <f>IFERROR(__xludf.DUMMYFUNCTION("""COMPUTED_VALUE"""),"gpc_asignaciones_familiares_pib")</f>
        <v>gpc_asignaciones_familiares_pib</v>
      </c>
      <c r="C1356" s="6">
        <f>IFERROR(__xludf.DUMMYFUNCTION("""COMPUTED_VALUE"""),0.705148935609698)</f>
        <v>0.7051489356</v>
      </c>
      <c r="D1356" s="6">
        <v>2023.0</v>
      </c>
      <c r="E1356" s="6" t="s">
        <v>56</v>
      </c>
      <c r="F1356" s="6">
        <v>0.705148935609698</v>
      </c>
    </row>
    <row r="1357">
      <c r="A1357" s="9">
        <f>IFERROR(__xludf.DUMMYFUNCTION("""COMPUTED_VALUE"""),44927.0)</f>
        <v>44927</v>
      </c>
      <c r="B1357" s="6" t="str">
        <f>IFERROR(__xludf.DUMMYFUNCTION("""COMPUTED_VALUE"""),"gpc_otros_servicios_urbanos_pib")</f>
        <v>gpc_otros_servicios_urbanos_pib</v>
      </c>
      <c r="C1357" s="6">
        <f>IFERROR(__xludf.DUMMYFUNCTION("""COMPUTED_VALUE"""),0.939485945415393)</f>
        <v>0.9394859454</v>
      </c>
      <c r="D1357" s="6">
        <v>2023.0</v>
      </c>
      <c r="E1357" s="6" t="s">
        <v>57</v>
      </c>
      <c r="F1357" s="6">
        <v>0.939485945415393</v>
      </c>
    </row>
    <row r="1358">
      <c r="A1358" s="9">
        <f>IFERROR(__xludf.DUMMYFUNCTION("""COMPUTED_VALUE"""),44927.0)</f>
        <v>44927</v>
      </c>
      <c r="B1358" s="6" t="str">
        <f>IFERROR(__xludf.DUMMYFUNCTION("""COMPUTED_VALUE"""),"gpc_servicios_economicos_pib")</f>
        <v>gpc_servicios_economicos_pib</v>
      </c>
      <c r="C1358" s="6">
        <f>IFERROR(__xludf.DUMMYFUNCTION("""COMPUTED_VALUE"""),4.93150058947682)</f>
        <v>4.931500589</v>
      </c>
      <c r="D1358" s="6">
        <v>2023.0</v>
      </c>
      <c r="E1358" s="6" t="s">
        <v>58</v>
      </c>
      <c r="F1358" s="6">
        <v>4.93150058947682</v>
      </c>
    </row>
    <row r="1359">
      <c r="A1359" s="9">
        <f>IFERROR(__xludf.DUMMYFUNCTION("""COMPUTED_VALUE"""),44927.0)</f>
        <v>44927</v>
      </c>
      <c r="B1359" s="6" t="str">
        <f>IFERROR(__xludf.DUMMYFUNCTION("""COMPUTED_VALUE"""),"gpc_produccion_primaria_pib")</f>
        <v>gpc_produccion_primaria_pib</v>
      </c>
      <c r="C1359" s="6">
        <f>IFERROR(__xludf.DUMMYFUNCTION("""COMPUTED_VALUE"""),0.435872141886336)</f>
        <v>0.4358721419</v>
      </c>
      <c r="D1359" s="6">
        <v>2023.0</v>
      </c>
      <c r="E1359" s="6" t="s">
        <v>59</v>
      </c>
      <c r="F1359" s="6">
        <v>0.435872141886336</v>
      </c>
    </row>
    <row r="1360">
      <c r="A1360" s="9">
        <f>IFERROR(__xludf.DUMMYFUNCTION("""COMPUTED_VALUE"""),44927.0)</f>
        <v>44927</v>
      </c>
      <c r="B1360" s="6" t="str">
        <f>IFERROR(__xludf.DUMMYFUNCTION("""COMPUTED_VALUE"""),"gpc_energia_combustible_pib")</f>
        <v>gpc_energia_combustible_pib</v>
      </c>
      <c r="C1360" s="6">
        <f>IFERROR(__xludf.DUMMYFUNCTION("""COMPUTED_VALUE"""),2.00719834940272)</f>
        <v>2.007198349</v>
      </c>
      <c r="D1360" s="6">
        <v>2023.0</v>
      </c>
      <c r="E1360" s="6" t="s">
        <v>60</v>
      </c>
      <c r="F1360" s="6">
        <v>2.00719834940272</v>
      </c>
    </row>
    <row r="1361">
      <c r="A1361" s="9">
        <f>IFERROR(__xludf.DUMMYFUNCTION("""COMPUTED_VALUE"""),44927.0)</f>
        <v>44927</v>
      </c>
      <c r="B1361" s="6" t="str">
        <f>IFERROR(__xludf.DUMMYFUNCTION("""COMPUTED_VALUE"""),"gpc_industria_pib")</f>
        <v>gpc_industria_pib</v>
      </c>
      <c r="C1361" s="6">
        <f>IFERROR(__xludf.DUMMYFUNCTION("""COMPUTED_VALUE"""),0.137636612512571)</f>
        <v>0.1376366125</v>
      </c>
      <c r="D1361" s="6">
        <v>2023.0</v>
      </c>
      <c r="E1361" s="6" t="s">
        <v>61</v>
      </c>
      <c r="F1361" s="6">
        <v>0.137636612512571</v>
      </c>
    </row>
    <row r="1362">
      <c r="A1362" s="9">
        <f>IFERROR(__xludf.DUMMYFUNCTION("""COMPUTED_VALUE"""),44927.0)</f>
        <v>44927</v>
      </c>
      <c r="B1362" s="6" t="str">
        <f>IFERROR(__xludf.DUMMYFUNCTION("""COMPUTED_VALUE"""),"gpc_transporte_pib")</f>
        <v>gpc_transporte_pib</v>
      </c>
      <c r="C1362" s="6">
        <f>IFERROR(__xludf.DUMMYFUNCTION("""COMPUTED_VALUE"""),1.88968890540065)</f>
        <v>1.889688905</v>
      </c>
      <c r="D1362" s="6">
        <v>2023.0</v>
      </c>
      <c r="E1362" s="6" t="s">
        <v>62</v>
      </c>
      <c r="F1362" s="6">
        <v>1.88968890540065</v>
      </c>
    </row>
    <row r="1363">
      <c r="A1363" s="9">
        <f>IFERROR(__xludf.DUMMYFUNCTION("""COMPUTED_VALUE"""),44927.0)</f>
        <v>44927</v>
      </c>
      <c r="B1363" s="6" t="str">
        <f>IFERROR(__xludf.DUMMYFUNCTION("""COMPUTED_VALUE"""),"gpc_comunicaciones_pib")</f>
        <v>gpc_comunicaciones_pib</v>
      </c>
      <c r="C1363" s="6">
        <f>IFERROR(__xludf.DUMMYFUNCTION("""COMPUTED_VALUE"""),0.145212126990021)</f>
        <v>0.145212127</v>
      </c>
      <c r="D1363" s="6">
        <v>2023.0</v>
      </c>
      <c r="E1363" s="6" t="s">
        <v>63</v>
      </c>
      <c r="F1363" s="6">
        <v>0.145212126990021</v>
      </c>
    </row>
    <row r="1364">
      <c r="A1364" s="9">
        <f>IFERROR(__xludf.DUMMYFUNCTION("""COMPUTED_VALUE"""),44927.0)</f>
        <v>44927</v>
      </c>
      <c r="B1364" s="6" t="str">
        <f>IFERROR(__xludf.DUMMYFUNCTION("""COMPUTED_VALUE"""),"gpc_otros_servicios_economicos_pib")</f>
        <v>gpc_otros_servicios_economicos_pib</v>
      </c>
      <c r="C1364" s="6">
        <f>IFERROR(__xludf.DUMMYFUNCTION("""COMPUTED_VALUE"""),0.315892453284517)</f>
        <v>0.3158924533</v>
      </c>
      <c r="D1364" s="6">
        <v>2023.0</v>
      </c>
      <c r="E1364" s="6" t="s">
        <v>64</v>
      </c>
      <c r="F1364" s="6">
        <v>0.315892453284517</v>
      </c>
    </row>
    <row r="1365">
      <c r="A1365" s="9">
        <f>IFERROR(__xludf.DUMMYFUNCTION("""COMPUTED_VALUE"""),44927.0)</f>
        <v>44927</v>
      </c>
      <c r="B1365" s="6" t="str">
        <f>IFERROR(__xludf.DUMMYFUNCTION("""COMPUTED_VALUE"""),"gpc_servicios_deuda_publica_pib")</f>
        <v>gpc_servicios_deuda_publica_pib</v>
      </c>
      <c r="C1365" s="6">
        <f>IFERROR(__xludf.DUMMYFUNCTION("""COMPUTED_VALUE"""),2.17834192232627)</f>
        <v>2.178341922</v>
      </c>
      <c r="D1365" s="6">
        <v>2023.0</v>
      </c>
      <c r="E1365" s="6" t="s">
        <v>65</v>
      </c>
      <c r="F1365" s="6">
        <v>2.17834192232627</v>
      </c>
    </row>
    <row r="1366">
      <c r="A1366" s="6"/>
      <c r="B1366" s="6"/>
      <c r="C1366" s="6"/>
      <c r="D1366" s="6" t="s">
        <v>67</v>
      </c>
      <c r="E1366" s="6" t="s">
        <v>67</v>
      </c>
      <c r="F1366" s="6"/>
    </row>
    <row r="1367">
      <c r="A1367" s="6"/>
      <c r="B1367" s="6"/>
      <c r="C1367" s="6"/>
      <c r="D1367" s="6" t="s">
        <v>67</v>
      </c>
      <c r="E1367" s="6" t="s">
        <v>67</v>
      </c>
      <c r="F1367" s="6"/>
    </row>
    <row r="1368">
      <c r="A1368" s="6"/>
      <c r="B1368" s="6"/>
      <c r="C1368" s="6"/>
      <c r="D1368" s="6" t="s">
        <v>67</v>
      </c>
      <c r="E1368" s="6" t="s">
        <v>67</v>
      </c>
      <c r="F1368" s="6"/>
    </row>
    <row r="1369">
      <c r="A1369" s="6"/>
      <c r="B1369" s="6"/>
      <c r="C1369" s="6"/>
      <c r="D1369" s="6" t="s">
        <v>67</v>
      </c>
      <c r="E1369" s="6" t="s">
        <v>67</v>
      </c>
      <c r="F1369" s="6"/>
    </row>
    <row r="1370">
      <c r="A1370" s="6"/>
      <c r="B1370" s="6"/>
      <c r="C1370" s="6"/>
      <c r="D1370" s="6" t="s">
        <v>67</v>
      </c>
      <c r="E1370" s="6" t="s">
        <v>67</v>
      </c>
      <c r="F1370" s="6"/>
    </row>
    <row r="1371">
      <c r="A1371" s="6"/>
      <c r="B1371" s="6"/>
      <c r="C1371" s="6"/>
      <c r="D1371" s="6" t="s">
        <v>67</v>
      </c>
      <c r="E1371" s="6" t="s">
        <v>67</v>
      </c>
      <c r="F1371" s="6"/>
    </row>
    <row r="1372">
      <c r="A1372" s="6"/>
      <c r="B1372" s="6"/>
      <c r="C1372" s="6"/>
      <c r="D1372" s="6" t="s">
        <v>67</v>
      </c>
      <c r="E1372" s="6" t="s">
        <v>67</v>
      </c>
      <c r="F1372" s="6"/>
    </row>
    <row r="1373">
      <c r="A1373" s="6"/>
      <c r="B1373" s="6"/>
      <c r="C1373" s="6"/>
      <c r="D1373" s="6" t="s">
        <v>67</v>
      </c>
      <c r="E1373" s="6" t="s">
        <v>67</v>
      </c>
      <c r="F1373" s="6"/>
    </row>
    <row r="1374">
      <c r="A1374" s="6"/>
      <c r="B1374" s="6"/>
      <c r="C1374" s="6"/>
      <c r="D1374" s="6" t="s">
        <v>67</v>
      </c>
      <c r="E1374" s="6" t="s">
        <v>67</v>
      </c>
      <c r="F1374" s="6"/>
    </row>
    <row r="1375">
      <c r="A1375" s="6"/>
      <c r="B1375" s="6"/>
      <c r="C1375" s="6"/>
      <c r="D1375" s="6" t="s">
        <v>67</v>
      </c>
      <c r="E1375" s="6" t="s">
        <v>67</v>
      </c>
      <c r="F1375" s="6"/>
    </row>
    <row r="1376">
      <c r="A1376" s="6"/>
      <c r="B1376" s="6"/>
      <c r="C1376" s="6"/>
      <c r="D1376" s="6" t="s">
        <v>67</v>
      </c>
      <c r="E1376" s="6" t="s">
        <v>67</v>
      </c>
      <c r="F1376" s="6"/>
    </row>
    <row r="1377">
      <c r="A1377" s="6"/>
      <c r="B1377" s="6"/>
      <c r="C1377" s="6"/>
      <c r="D1377" s="6" t="s">
        <v>67</v>
      </c>
      <c r="E1377" s="6" t="s">
        <v>67</v>
      </c>
      <c r="F1377" s="6"/>
    </row>
    <row r="1378">
      <c r="A1378" s="6"/>
      <c r="B1378" s="6"/>
      <c r="C1378" s="6"/>
      <c r="D1378" s="6" t="s">
        <v>67</v>
      </c>
      <c r="E1378" s="6" t="s">
        <v>67</v>
      </c>
      <c r="F1378" s="6"/>
    </row>
    <row r="1379">
      <c r="A1379" s="6"/>
      <c r="B1379" s="6"/>
      <c r="C1379" s="6"/>
      <c r="D1379" s="6" t="s">
        <v>67</v>
      </c>
      <c r="E1379" s="6" t="s">
        <v>67</v>
      </c>
      <c r="F1379" s="6"/>
    </row>
    <row r="1380">
      <c r="A1380" s="6"/>
      <c r="B1380" s="6"/>
      <c r="C1380" s="6"/>
      <c r="D1380" s="6" t="s">
        <v>67</v>
      </c>
      <c r="E1380" s="6" t="s">
        <v>67</v>
      </c>
      <c r="F1380" s="6"/>
    </row>
    <row r="1381">
      <c r="A1381" s="6"/>
      <c r="B1381" s="6"/>
      <c r="C1381" s="6"/>
      <c r="D1381" s="6" t="s">
        <v>67</v>
      </c>
      <c r="E1381" s="6" t="s">
        <v>67</v>
      </c>
      <c r="F1381" s="6"/>
    </row>
    <row r="1382">
      <c r="A1382" s="6"/>
      <c r="B1382" s="6"/>
      <c r="C1382" s="6"/>
      <c r="D1382" s="6" t="s">
        <v>67</v>
      </c>
      <c r="E1382" s="6" t="s">
        <v>67</v>
      </c>
      <c r="F1382" s="6"/>
    </row>
    <row r="1383">
      <c r="A1383" s="6"/>
      <c r="B1383" s="6"/>
      <c r="C1383" s="6"/>
      <c r="D1383" s="6" t="s">
        <v>67</v>
      </c>
      <c r="E1383" s="6" t="s">
        <v>67</v>
      </c>
      <c r="F1383" s="6"/>
    </row>
    <row r="1384">
      <c r="A1384" s="6"/>
      <c r="B1384" s="6"/>
      <c r="C1384" s="6"/>
      <c r="D1384" s="6" t="s">
        <v>67</v>
      </c>
      <c r="E1384" s="6" t="s">
        <v>67</v>
      </c>
      <c r="F1384" s="6"/>
    </row>
    <row r="1385">
      <c r="A1385" s="6"/>
      <c r="B1385" s="6"/>
      <c r="C1385" s="6"/>
      <c r="D1385" s="6" t="s">
        <v>67</v>
      </c>
      <c r="E1385" s="6" t="s">
        <v>67</v>
      </c>
      <c r="F1385" s="6"/>
    </row>
    <row r="1386">
      <c r="A1386" s="6"/>
      <c r="B1386" s="6"/>
      <c r="C1386" s="6"/>
      <c r="D1386" s="6" t="s">
        <v>67</v>
      </c>
      <c r="E1386" s="6" t="s">
        <v>67</v>
      </c>
      <c r="F1386" s="6"/>
    </row>
    <row r="1387">
      <c r="A1387" s="6"/>
      <c r="B1387" s="6"/>
      <c r="C1387" s="6"/>
      <c r="D1387" s="6" t="s">
        <v>67</v>
      </c>
      <c r="E1387" s="6" t="s">
        <v>67</v>
      </c>
      <c r="F1387" s="6"/>
    </row>
    <row r="1388">
      <c r="A1388" s="6"/>
      <c r="B1388" s="6"/>
      <c r="C1388" s="6"/>
      <c r="D1388" s="6" t="s">
        <v>67</v>
      </c>
      <c r="E1388" s="6" t="s">
        <v>67</v>
      </c>
      <c r="F1388" s="6"/>
    </row>
    <row r="1389">
      <c r="A1389" s="6"/>
      <c r="B1389" s="6"/>
      <c r="C1389" s="6"/>
      <c r="D1389" s="6" t="s">
        <v>67</v>
      </c>
      <c r="E1389" s="6" t="s">
        <v>67</v>
      </c>
      <c r="F1389" s="6"/>
    </row>
    <row r="1390">
      <c r="A1390" s="6"/>
      <c r="B1390" s="6"/>
      <c r="C1390" s="6"/>
      <c r="D1390" s="6" t="s">
        <v>67</v>
      </c>
      <c r="E1390" s="6" t="s">
        <v>67</v>
      </c>
      <c r="F1390" s="6"/>
    </row>
    <row r="1391">
      <c r="A1391" s="6"/>
      <c r="B1391" s="6"/>
      <c r="C1391" s="6"/>
      <c r="D1391" s="6" t="s">
        <v>67</v>
      </c>
      <c r="E1391" s="6" t="s">
        <v>67</v>
      </c>
      <c r="F1391" s="6"/>
    </row>
    <row r="1392">
      <c r="A1392" s="6"/>
      <c r="B1392" s="6"/>
      <c r="C1392" s="6"/>
      <c r="D1392" s="6" t="s">
        <v>67</v>
      </c>
      <c r="E1392" s="6" t="s">
        <v>67</v>
      </c>
      <c r="F1392" s="6"/>
    </row>
    <row r="1393">
      <c r="A1393" s="6"/>
      <c r="B1393" s="6"/>
      <c r="C1393" s="6"/>
      <c r="D1393" s="6" t="s">
        <v>67</v>
      </c>
      <c r="E1393" s="6" t="s">
        <v>67</v>
      </c>
      <c r="F1393" s="6"/>
    </row>
    <row r="1394">
      <c r="A1394" s="6"/>
      <c r="B1394" s="6"/>
      <c r="C1394" s="6"/>
      <c r="D1394" s="6" t="s">
        <v>67</v>
      </c>
      <c r="E1394" s="6" t="s">
        <v>67</v>
      </c>
      <c r="F1394" s="6"/>
    </row>
    <row r="1395">
      <c r="A1395" s="6"/>
      <c r="B1395" s="6"/>
      <c r="C1395" s="6"/>
      <c r="D1395" s="6" t="s">
        <v>67</v>
      </c>
      <c r="E1395" s="6" t="s">
        <v>67</v>
      </c>
      <c r="F1395" s="6"/>
    </row>
    <row r="1396">
      <c r="A1396" s="6"/>
      <c r="B1396" s="6"/>
      <c r="C1396" s="6"/>
      <c r="D1396" s="6" t="s">
        <v>67</v>
      </c>
      <c r="E1396" s="6" t="s">
        <v>67</v>
      </c>
      <c r="F1396" s="6"/>
    </row>
    <row r="1397">
      <c r="A1397" s="6"/>
      <c r="B1397" s="6"/>
      <c r="C1397" s="6"/>
      <c r="D1397" s="6" t="s">
        <v>67</v>
      </c>
      <c r="E1397" s="6" t="s">
        <v>67</v>
      </c>
      <c r="F1397" s="6"/>
    </row>
    <row r="1398">
      <c r="A1398" s="6"/>
      <c r="B1398" s="6"/>
      <c r="C1398" s="6"/>
      <c r="D1398" s="6" t="s">
        <v>67</v>
      </c>
      <c r="E1398" s="6" t="s">
        <v>67</v>
      </c>
      <c r="F1398" s="6"/>
    </row>
    <row r="1399">
      <c r="A1399" s="6"/>
      <c r="B1399" s="6"/>
      <c r="C1399" s="6"/>
      <c r="D1399" s="6" t="s">
        <v>67</v>
      </c>
      <c r="E1399" s="6" t="s">
        <v>67</v>
      </c>
      <c r="F1399" s="6"/>
    </row>
    <row r="1400">
      <c r="A1400" s="6"/>
      <c r="B1400" s="6"/>
      <c r="C1400" s="6"/>
      <c r="D1400" s="6" t="s">
        <v>67</v>
      </c>
      <c r="E1400" s="6" t="s">
        <v>67</v>
      </c>
      <c r="F1400" s="6"/>
    </row>
    <row r="1401">
      <c r="A1401" s="6"/>
      <c r="B1401" s="6"/>
      <c r="C1401" s="6"/>
      <c r="D1401" s="6" t="s">
        <v>67</v>
      </c>
      <c r="E1401" s="6" t="s">
        <v>67</v>
      </c>
      <c r="F1401" s="6"/>
    </row>
    <row r="1402">
      <c r="A1402" s="6"/>
      <c r="B1402" s="6"/>
      <c r="C1402" s="6"/>
      <c r="D1402" s="6" t="s">
        <v>67</v>
      </c>
      <c r="E1402" s="6" t="s">
        <v>67</v>
      </c>
      <c r="F1402" s="6"/>
    </row>
    <row r="1403">
      <c r="A1403" s="6"/>
      <c r="B1403" s="6"/>
      <c r="C1403" s="6"/>
      <c r="D1403" s="6" t="s">
        <v>67</v>
      </c>
      <c r="E1403" s="6" t="s">
        <v>67</v>
      </c>
      <c r="F1403" s="6"/>
    </row>
    <row r="1404">
      <c r="A1404" s="6"/>
      <c r="B1404" s="6"/>
      <c r="C1404" s="6"/>
      <c r="D1404" s="6" t="s">
        <v>67</v>
      </c>
      <c r="E1404" s="6" t="s">
        <v>67</v>
      </c>
      <c r="F1404" s="6"/>
    </row>
    <row r="1405">
      <c r="A1405" s="6"/>
      <c r="B1405" s="6"/>
      <c r="C1405" s="6"/>
      <c r="D1405" s="6" t="s">
        <v>67</v>
      </c>
      <c r="E1405" s="6" t="s">
        <v>67</v>
      </c>
      <c r="F1405" s="6"/>
    </row>
    <row r="1406">
      <c r="A1406" s="6"/>
      <c r="B1406" s="6"/>
      <c r="C1406" s="6"/>
      <c r="D1406" s="6" t="s">
        <v>67</v>
      </c>
      <c r="E1406" s="6" t="s">
        <v>67</v>
      </c>
      <c r="F1406" s="6"/>
    </row>
    <row r="1407">
      <c r="A1407" s="6"/>
      <c r="B1407" s="6"/>
      <c r="C1407" s="6"/>
      <c r="D1407" s="6" t="s">
        <v>67</v>
      </c>
      <c r="E1407" s="6" t="s">
        <v>67</v>
      </c>
      <c r="F1407" s="6"/>
    </row>
    <row r="1408">
      <c r="A1408" s="6"/>
      <c r="B1408" s="6"/>
      <c r="C1408" s="6"/>
      <c r="D1408" s="6" t="s">
        <v>67</v>
      </c>
      <c r="E1408" s="6" t="s">
        <v>67</v>
      </c>
      <c r="F1408" s="6"/>
    </row>
    <row r="1409">
      <c r="A1409" s="6"/>
      <c r="B1409" s="6"/>
      <c r="C1409" s="6"/>
      <c r="D1409" s="6" t="s">
        <v>67</v>
      </c>
      <c r="E1409" s="6" t="s">
        <v>67</v>
      </c>
      <c r="F1409" s="6"/>
    </row>
    <row r="1410">
      <c r="A1410" s="6"/>
      <c r="B1410" s="6"/>
      <c r="C1410" s="6"/>
      <c r="D1410" s="6" t="s">
        <v>67</v>
      </c>
      <c r="E1410" s="6" t="s">
        <v>67</v>
      </c>
      <c r="F1410" s="6"/>
    </row>
    <row r="1411">
      <c r="A1411" s="6"/>
      <c r="B1411" s="6"/>
      <c r="C1411" s="6"/>
      <c r="D1411" s="6" t="s">
        <v>67</v>
      </c>
      <c r="E1411" s="6" t="s">
        <v>67</v>
      </c>
      <c r="F1411" s="6"/>
    </row>
    <row r="1412">
      <c r="A1412" s="6"/>
      <c r="B1412" s="6"/>
      <c r="C1412" s="6"/>
      <c r="D1412" s="6" t="s">
        <v>67</v>
      </c>
      <c r="E1412" s="6" t="s">
        <v>67</v>
      </c>
      <c r="F1412" s="6"/>
    </row>
    <row r="1413">
      <c r="A1413" s="6"/>
      <c r="B1413" s="6"/>
      <c r="C1413" s="6"/>
      <c r="D1413" s="6" t="s">
        <v>67</v>
      </c>
      <c r="E1413" s="6" t="s">
        <v>67</v>
      </c>
      <c r="F1413" s="6"/>
    </row>
    <row r="1414">
      <c r="A1414" s="6"/>
      <c r="B1414" s="6"/>
      <c r="C1414" s="6"/>
      <c r="D1414" s="6" t="s">
        <v>67</v>
      </c>
      <c r="E1414" s="6" t="s">
        <v>67</v>
      </c>
      <c r="F1414" s="6"/>
    </row>
    <row r="1415">
      <c r="A1415" s="6"/>
      <c r="B1415" s="6"/>
      <c r="C1415" s="6"/>
      <c r="D1415" s="6" t="s">
        <v>67</v>
      </c>
      <c r="E1415" s="6" t="s">
        <v>67</v>
      </c>
      <c r="F1415" s="6"/>
    </row>
    <row r="1416">
      <c r="A1416" s="6"/>
      <c r="B1416" s="6"/>
      <c r="C1416" s="6"/>
      <c r="D1416" s="6" t="s">
        <v>67</v>
      </c>
      <c r="E1416" s="6" t="s">
        <v>67</v>
      </c>
      <c r="F1416" s="6"/>
    </row>
    <row r="1417">
      <c r="A1417" s="6"/>
      <c r="B1417" s="6"/>
      <c r="C1417" s="6"/>
      <c r="D1417" s="6" t="s">
        <v>67</v>
      </c>
      <c r="E1417" s="6" t="s">
        <v>67</v>
      </c>
      <c r="F1417" s="6"/>
    </row>
    <row r="1418">
      <c r="A1418" s="6"/>
      <c r="B1418" s="6"/>
      <c r="C1418" s="6"/>
      <c r="D1418" s="6" t="s">
        <v>67</v>
      </c>
      <c r="E1418" s="6" t="s">
        <v>67</v>
      </c>
      <c r="F1418" s="6"/>
    </row>
    <row r="1419">
      <c r="A1419" s="6"/>
      <c r="B1419" s="6"/>
      <c r="C1419" s="6"/>
      <c r="D1419" s="6" t="s">
        <v>67</v>
      </c>
      <c r="E1419" s="6" t="s">
        <v>67</v>
      </c>
      <c r="F1419" s="6"/>
    </row>
    <row r="1420">
      <c r="A1420" s="6"/>
      <c r="B1420" s="6"/>
      <c r="C1420" s="6"/>
      <c r="D1420" s="6" t="s">
        <v>67</v>
      </c>
      <c r="E1420" s="6" t="s">
        <v>67</v>
      </c>
      <c r="F1420" s="6"/>
    </row>
    <row r="1421">
      <c r="A1421" s="6"/>
      <c r="B1421" s="6"/>
      <c r="C1421" s="6"/>
      <c r="D1421" s="6" t="s">
        <v>67</v>
      </c>
      <c r="E1421" s="6" t="s">
        <v>67</v>
      </c>
      <c r="F1421" s="6"/>
    </row>
    <row r="1422">
      <c r="A1422" s="6"/>
      <c r="B1422" s="6"/>
      <c r="C1422" s="6"/>
      <c r="D1422" s="6" t="s">
        <v>67</v>
      </c>
      <c r="E1422" s="6" t="s">
        <v>67</v>
      </c>
      <c r="F1422" s="6"/>
    </row>
    <row r="1423">
      <c r="A1423" s="6"/>
      <c r="B1423" s="6"/>
      <c r="C1423" s="6"/>
      <c r="D1423" s="6" t="s">
        <v>67</v>
      </c>
      <c r="E1423" s="6" t="s">
        <v>67</v>
      </c>
      <c r="F1423" s="6"/>
    </row>
    <row r="1424">
      <c r="A1424" s="6"/>
      <c r="B1424" s="6"/>
      <c r="C1424" s="6"/>
      <c r="D1424" s="6" t="s">
        <v>67</v>
      </c>
      <c r="E1424" s="6" t="s">
        <v>67</v>
      </c>
      <c r="F1424" s="6"/>
    </row>
    <row r="1425">
      <c r="A1425" s="6"/>
      <c r="B1425" s="6"/>
      <c r="C1425" s="6"/>
      <c r="D1425" s="6" t="s">
        <v>67</v>
      </c>
      <c r="E1425" s="6" t="s">
        <v>67</v>
      </c>
      <c r="F1425" s="6"/>
    </row>
    <row r="1426">
      <c r="A1426" s="6"/>
      <c r="B1426" s="6"/>
      <c r="C1426" s="6"/>
      <c r="D1426" s="6" t="s">
        <v>67</v>
      </c>
      <c r="E1426" s="6" t="s">
        <v>67</v>
      </c>
      <c r="F1426" s="6"/>
    </row>
    <row r="1427">
      <c r="A1427" s="6"/>
      <c r="B1427" s="6"/>
      <c r="C1427" s="6"/>
      <c r="D1427" s="6" t="s">
        <v>67</v>
      </c>
      <c r="E1427" s="6" t="s">
        <v>67</v>
      </c>
      <c r="F1427" s="6"/>
    </row>
    <row r="1428">
      <c r="A1428" s="6"/>
      <c r="B1428" s="6"/>
      <c r="C1428" s="6"/>
      <c r="D1428" s="6" t="s">
        <v>67</v>
      </c>
      <c r="E1428" s="6" t="s">
        <v>67</v>
      </c>
      <c r="F1428" s="6"/>
    </row>
    <row r="1429">
      <c r="A1429" s="6"/>
      <c r="B1429" s="6"/>
      <c r="C1429" s="6"/>
      <c r="D1429" s="6" t="s">
        <v>67</v>
      </c>
      <c r="E1429" s="6" t="s">
        <v>67</v>
      </c>
      <c r="F1429" s="6"/>
    </row>
    <row r="1430">
      <c r="A1430" s="6"/>
      <c r="B1430" s="6"/>
      <c r="C1430" s="6"/>
      <c r="D1430" s="6" t="s">
        <v>67</v>
      </c>
      <c r="E1430" s="6" t="s">
        <v>67</v>
      </c>
      <c r="F1430" s="6"/>
    </row>
    <row r="1431">
      <c r="A1431" s="6"/>
      <c r="B1431" s="6"/>
      <c r="C1431" s="6"/>
      <c r="D1431" s="6" t="s">
        <v>67</v>
      </c>
      <c r="E1431" s="6" t="s">
        <v>67</v>
      </c>
      <c r="F1431" s="6"/>
    </row>
    <row r="1432">
      <c r="A1432" s="6"/>
      <c r="B1432" s="6"/>
      <c r="C1432" s="6"/>
      <c r="D1432" s="6" t="s">
        <v>67</v>
      </c>
      <c r="E1432" s="6" t="s">
        <v>67</v>
      </c>
      <c r="F1432" s="6"/>
    </row>
    <row r="1433">
      <c r="A1433" s="6"/>
      <c r="B1433" s="6"/>
      <c r="C1433" s="6"/>
      <c r="D1433" s="6" t="s">
        <v>67</v>
      </c>
      <c r="E1433" s="6" t="s">
        <v>67</v>
      </c>
      <c r="F1433" s="6"/>
    </row>
    <row r="1434">
      <c r="A1434" s="6"/>
      <c r="B1434" s="6"/>
      <c r="C1434" s="6"/>
      <c r="D1434" s="6" t="s">
        <v>67</v>
      </c>
      <c r="E1434" s="6" t="s">
        <v>67</v>
      </c>
      <c r="F1434" s="6"/>
    </row>
    <row r="1435">
      <c r="A1435" s="6"/>
      <c r="B1435" s="6"/>
      <c r="C1435" s="6"/>
      <c r="D1435" s="6" t="s">
        <v>67</v>
      </c>
      <c r="E1435" s="6" t="s">
        <v>67</v>
      </c>
      <c r="F1435" s="6"/>
    </row>
    <row r="1436">
      <c r="A1436" s="6"/>
      <c r="B1436" s="6"/>
      <c r="C1436" s="6"/>
      <c r="D1436" s="6" t="s">
        <v>67</v>
      </c>
      <c r="E1436" s="6" t="s">
        <v>67</v>
      </c>
      <c r="F1436" s="6"/>
    </row>
    <row r="1437">
      <c r="A1437" s="6"/>
      <c r="B1437" s="6"/>
      <c r="C1437" s="6"/>
      <c r="D1437" s="6" t="s">
        <v>67</v>
      </c>
      <c r="E1437" s="6" t="s">
        <v>67</v>
      </c>
      <c r="F1437" s="6"/>
    </row>
    <row r="1438">
      <c r="A1438" s="6"/>
      <c r="B1438" s="6"/>
      <c r="C1438" s="6"/>
      <c r="D1438" s="6" t="s">
        <v>67</v>
      </c>
      <c r="E1438" s="6" t="s">
        <v>67</v>
      </c>
      <c r="F1438" s="6"/>
    </row>
    <row r="1439">
      <c r="A1439" s="6"/>
      <c r="B1439" s="6"/>
      <c r="C1439" s="6"/>
      <c r="D1439" s="6" t="s">
        <v>67</v>
      </c>
      <c r="E1439" s="6" t="s">
        <v>67</v>
      </c>
      <c r="F1439" s="6"/>
    </row>
    <row r="1440">
      <c r="A1440" s="6"/>
      <c r="B1440" s="6"/>
      <c r="C1440" s="6"/>
      <c r="D1440" s="6" t="s">
        <v>67</v>
      </c>
      <c r="E1440" s="6" t="s">
        <v>67</v>
      </c>
      <c r="F1440" s="6"/>
    </row>
    <row r="1441">
      <c r="A1441" s="6"/>
      <c r="B1441" s="6"/>
      <c r="C1441" s="6"/>
      <c r="D1441" s="6" t="s">
        <v>67</v>
      </c>
      <c r="E1441" s="6" t="s">
        <v>67</v>
      </c>
      <c r="F1441" s="6"/>
    </row>
    <row r="1442">
      <c r="A1442" s="6"/>
      <c r="B1442" s="6"/>
      <c r="C1442" s="6"/>
      <c r="D1442" s="6" t="s">
        <v>67</v>
      </c>
      <c r="E1442" s="6" t="s">
        <v>67</v>
      </c>
      <c r="F1442" s="6"/>
    </row>
    <row r="1443">
      <c r="A1443" s="6"/>
      <c r="B1443" s="6"/>
      <c r="C1443" s="6"/>
      <c r="D1443" s="6" t="s">
        <v>67</v>
      </c>
      <c r="E1443" s="6" t="s">
        <v>67</v>
      </c>
      <c r="F1443" s="6"/>
    </row>
    <row r="1444">
      <c r="A1444" s="6"/>
      <c r="B1444" s="6"/>
      <c r="C1444" s="6"/>
      <c r="D1444" s="6" t="s">
        <v>67</v>
      </c>
      <c r="E1444" s="6" t="s">
        <v>67</v>
      </c>
      <c r="F1444" s="6"/>
    </row>
    <row r="1445">
      <c r="A1445" s="6"/>
      <c r="B1445" s="6"/>
      <c r="C1445" s="6"/>
      <c r="D1445" s="6" t="s">
        <v>67</v>
      </c>
      <c r="E1445" s="6" t="s">
        <v>67</v>
      </c>
      <c r="F1445" s="6"/>
    </row>
    <row r="1446">
      <c r="A1446" s="6"/>
      <c r="B1446" s="6"/>
      <c r="C1446" s="6"/>
      <c r="D1446" s="6" t="s">
        <v>67</v>
      </c>
      <c r="E1446" s="6" t="s">
        <v>67</v>
      </c>
      <c r="F1446" s="6"/>
    </row>
    <row r="1447">
      <c r="A1447" s="6"/>
      <c r="B1447" s="6"/>
      <c r="C1447" s="6"/>
      <c r="D1447" s="6" t="s">
        <v>67</v>
      </c>
      <c r="E1447" s="6" t="s">
        <v>67</v>
      </c>
      <c r="F1447" s="6"/>
    </row>
    <row r="1448">
      <c r="A1448" s="6"/>
      <c r="B1448" s="6"/>
      <c r="C1448" s="6"/>
      <c r="D1448" s="6" t="s">
        <v>67</v>
      </c>
      <c r="E1448" s="6" t="s">
        <v>67</v>
      </c>
      <c r="F1448" s="6"/>
    </row>
    <row r="1449">
      <c r="A1449" s="6"/>
      <c r="B1449" s="6"/>
      <c r="C1449" s="6"/>
      <c r="D1449" s="6" t="s">
        <v>67</v>
      </c>
      <c r="E1449" s="6" t="s">
        <v>67</v>
      </c>
      <c r="F1449" s="6"/>
    </row>
    <row r="1450">
      <c r="A1450" s="6"/>
      <c r="B1450" s="6"/>
      <c r="C1450" s="6"/>
      <c r="D1450" s="6" t="s">
        <v>67</v>
      </c>
      <c r="E1450" s="6" t="s">
        <v>67</v>
      </c>
      <c r="F1450" s="6"/>
    </row>
    <row r="1451">
      <c r="A1451" s="6"/>
      <c r="B1451" s="6"/>
      <c r="C1451" s="6"/>
      <c r="D1451" s="6" t="s">
        <v>67</v>
      </c>
      <c r="E1451" s="6" t="s">
        <v>67</v>
      </c>
      <c r="F1451" s="6"/>
    </row>
    <row r="1452">
      <c r="A1452" s="6"/>
      <c r="B1452" s="6"/>
      <c r="C1452" s="6"/>
      <c r="D1452" s="6" t="s">
        <v>67</v>
      </c>
      <c r="E1452" s="6" t="s">
        <v>67</v>
      </c>
      <c r="F1452" s="6"/>
    </row>
    <row r="1453">
      <c r="A1453" s="6"/>
      <c r="B1453" s="6"/>
      <c r="C1453" s="6"/>
      <c r="D1453" s="6" t="s">
        <v>67</v>
      </c>
      <c r="E1453" s="6" t="s">
        <v>67</v>
      </c>
      <c r="F1453" s="6"/>
    </row>
    <row r="1454">
      <c r="A1454" s="6"/>
      <c r="B1454" s="6"/>
      <c r="C1454" s="6"/>
      <c r="D1454" s="6" t="s">
        <v>67</v>
      </c>
      <c r="E1454" s="6" t="s">
        <v>67</v>
      </c>
      <c r="F1454" s="6"/>
    </row>
    <row r="1455">
      <c r="A1455" s="6"/>
      <c r="B1455" s="6"/>
      <c r="C1455" s="6"/>
      <c r="D1455" s="6" t="s">
        <v>67</v>
      </c>
      <c r="E1455" s="6" t="s">
        <v>67</v>
      </c>
      <c r="F1455" s="6"/>
    </row>
    <row r="1456">
      <c r="A1456" s="6"/>
      <c r="B1456" s="6"/>
      <c r="C1456" s="6"/>
      <c r="D1456" s="6" t="s">
        <v>67</v>
      </c>
      <c r="E1456" s="6" t="s">
        <v>67</v>
      </c>
      <c r="F1456" s="6"/>
    </row>
    <row r="1457">
      <c r="A1457" s="6"/>
      <c r="B1457" s="6"/>
      <c r="C1457" s="6"/>
      <c r="D1457" s="6" t="s">
        <v>67</v>
      </c>
      <c r="E1457" s="6" t="s">
        <v>67</v>
      </c>
      <c r="F1457" s="6"/>
    </row>
    <row r="1458">
      <c r="A1458" s="6"/>
      <c r="B1458" s="6"/>
      <c r="C1458" s="6"/>
      <c r="D1458" s="6" t="s">
        <v>67</v>
      </c>
      <c r="E1458" s="6" t="s">
        <v>67</v>
      </c>
      <c r="F1458" s="6"/>
    </row>
    <row r="1459">
      <c r="A1459" s="6"/>
      <c r="B1459" s="6"/>
      <c r="C1459" s="6"/>
      <c r="D1459" s="6" t="s">
        <v>67</v>
      </c>
      <c r="E1459" s="6" t="s">
        <v>67</v>
      </c>
      <c r="F1459" s="6"/>
    </row>
    <row r="1460">
      <c r="A1460" s="6"/>
      <c r="B1460" s="6"/>
      <c r="C1460" s="6"/>
      <c r="D1460" s="6" t="s">
        <v>67</v>
      </c>
      <c r="E1460" s="6" t="s">
        <v>67</v>
      </c>
      <c r="F1460" s="6"/>
    </row>
    <row r="1461">
      <c r="A1461" s="6"/>
      <c r="B1461" s="6"/>
      <c r="C1461" s="6"/>
      <c r="D1461" s="6" t="s">
        <v>67</v>
      </c>
      <c r="E1461" s="6" t="s">
        <v>67</v>
      </c>
      <c r="F1461" s="6"/>
    </row>
    <row r="1462">
      <c r="A1462" s="6"/>
      <c r="B1462" s="6"/>
      <c r="C1462" s="6"/>
      <c r="D1462" s="6" t="s">
        <v>67</v>
      </c>
      <c r="E1462" s="6" t="s">
        <v>67</v>
      </c>
      <c r="F1462" s="6"/>
    </row>
    <row r="1463">
      <c r="A1463" s="6"/>
      <c r="B1463" s="6"/>
      <c r="C1463" s="6"/>
      <c r="D1463" s="6" t="s">
        <v>67</v>
      </c>
      <c r="E1463" s="6" t="s">
        <v>67</v>
      </c>
      <c r="F1463" s="6"/>
    </row>
    <row r="1464">
      <c r="A1464" s="6"/>
      <c r="B1464" s="6"/>
      <c r="C1464" s="6"/>
      <c r="D1464" s="6" t="s">
        <v>67</v>
      </c>
      <c r="E1464" s="6" t="s">
        <v>67</v>
      </c>
      <c r="F1464" s="6"/>
    </row>
    <row r="1465">
      <c r="A1465" s="6"/>
      <c r="B1465" s="6"/>
      <c r="C1465" s="6"/>
      <c r="D1465" s="6" t="s">
        <v>67</v>
      </c>
      <c r="E1465" s="6" t="s">
        <v>67</v>
      </c>
      <c r="F1465" s="6"/>
    </row>
    <row r="1466">
      <c r="A1466" s="6"/>
      <c r="B1466" s="6"/>
      <c r="C1466" s="6"/>
      <c r="D1466" s="6" t="s">
        <v>67</v>
      </c>
      <c r="E1466" s="6" t="s">
        <v>67</v>
      </c>
      <c r="F1466" s="6"/>
    </row>
    <row r="1467">
      <c r="A1467" s="6"/>
      <c r="B1467" s="6"/>
      <c r="C1467" s="6"/>
      <c r="D1467" s="6" t="s">
        <v>67</v>
      </c>
      <c r="E1467" s="6" t="s">
        <v>67</v>
      </c>
      <c r="F1467" s="6"/>
    </row>
    <row r="1468">
      <c r="A1468" s="6"/>
      <c r="B1468" s="6"/>
      <c r="C1468" s="6"/>
      <c r="D1468" s="6" t="s">
        <v>67</v>
      </c>
      <c r="E1468" s="6" t="s">
        <v>67</v>
      </c>
      <c r="F1468" s="6"/>
    </row>
    <row r="1469">
      <c r="A1469" s="6"/>
      <c r="B1469" s="6"/>
      <c r="C1469" s="6"/>
      <c r="D1469" s="6" t="s">
        <v>67</v>
      </c>
      <c r="E1469" s="6" t="s">
        <v>67</v>
      </c>
      <c r="F1469" s="6"/>
    </row>
    <row r="1470">
      <c r="A1470" s="6"/>
      <c r="B1470" s="6"/>
      <c r="C1470" s="6"/>
      <c r="D1470" s="6" t="s">
        <v>67</v>
      </c>
      <c r="E1470" s="6" t="s">
        <v>67</v>
      </c>
      <c r="F1470" s="6"/>
    </row>
    <row r="1471">
      <c r="A1471" s="6"/>
      <c r="B1471" s="6"/>
      <c r="C1471" s="6"/>
      <c r="D1471" s="6" t="s">
        <v>67</v>
      </c>
      <c r="E1471" s="6" t="s">
        <v>67</v>
      </c>
      <c r="F1471" s="6"/>
    </row>
    <row r="1472">
      <c r="A1472" s="6"/>
      <c r="B1472" s="6"/>
      <c r="C1472" s="6"/>
      <c r="D1472" s="6" t="s">
        <v>67</v>
      </c>
      <c r="E1472" s="6" t="s">
        <v>67</v>
      </c>
      <c r="F1472" s="6"/>
    </row>
    <row r="1473">
      <c r="A1473" s="6"/>
      <c r="B1473" s="6"/>
      <c r="C1473" s="6"/>
      <c r="D1473" s="6" t="s">
        <v>67</v>
      </c>
      <c r="E1473" s="6" t="s">
        <v>67</v>
      </c>
      <c r="F1473" s="6"/>
    </row>
    <row r="1474">
      <c r="A1474" s="6"/>
      <c r="B1474" s="6"/>
      <c r="C1474" s="6"/>
      <c r="D1474" s="6" t="s">
        <v>67</v>
      </c>
      <c r="E1474" s="6" t="s">
        <v>67</v>
      </c>
      <c r="F1474" s="6"/>
    </row>
    <row r="1475">
      <c r="A1475" s="6"/>
      <c r="B1475" s="6"/>
      <c r="C1475" s="6"/>
      <c r="D1475" s="6" t="s">
        <v>67</v>
      </c>
      <c r="E1475" s="6" t="s">
        <v>67</v>
      </c>
      <c r="F1475" s="6"/>
    </row>
    <row r="1476">
      <c r="A1476" s="6"/>
      <c r="B1476" s="6"/>
      <c r="C1476" s="6"/>
      <c r="D1476" s="6" t="s">
        <v>67</v>
      </c>
      <c r="E1476" s="6" t="s">
        <v>67</v>
      </c>
      <c r="F1476" s="6"/>
    </row>
    <row r="1477">
      <c r="A1477" s="6"/>
      <c r="B1477" s="6"/>
      <c r="C1477" s="6"/>
      <c r="D1477" s="6" t="s">
        <v>67</v>
      </c>
      <c r="E1477" s="6" t="s">
        <v>67</v>
      </c>
      <c r="F1477" s="6"/>
    </row>
    <row r="1478">
      <c r="A1478" s="6"/>
      <c r="B1478" s="6"/>
      <c r="C1478" s="6"/>
      <c r="D1478" s="6" t="s">
        <v>67</v>
      </c>
      <c r="E1478" s="6" t="s">
        <v>67</v>
      </c>
      <c r="F1478" s="6"/>
    </row>
    <row r="1479">
      <c r="A1479" s="6"/>
      <c r="B1479" s="6"/>
      <c r="C1479" s="6"/>
      <c r="D1479" s="6" t="s">
        <v>67</v>
      </c>
      <c r="E1479" s="6" t="s">
        <v>67</v>
      </c>
      <c r="F1479" s="6"/>
    </row>
    <row r="1480">
      <c r="A1480" s="6"/>
      <c r="B1480" s="6"/>
      <c r="C1480" s="6"/>
      <c r="D1480" s="6" t="s">
        <v>67</v>
      </c>
      <c r="E1480" s="6" t="s">
        <v>67</v>
      </c>
      <c r="F1480" s="6"/>
    </row>
    <row r="1481">
      <c r="A1481" s="6"/>
      <c r="B1481" s="6"/>
      <c r="C1481" s="6"/>
      <c r="D1481" s="6" t="s">
        <v>67</v>
      </c>
      <c r="E1481" s="6" t="s">
        <v>67</v>
      </c>
      <c r="F1481" s="6"/>
    </row>
    <row r="1482">
      <c r="A1482" s="6"/>
      <c r="B1482" s="6"/>
      <c r="C1482" s="6"/>
      <c r="D1482" s="6" t="s">
        <v>67</v>
      </c>
      <c r="E1482" s="6" t="s">
        <v>67</v>
      </c>
      <c r="F1482" s="6"/>
    </row>
    <row r="1483">
      <c r="A1483" s="6"/>
      <c r="B1483" s="6"/>
      <c r="C1483" s="6"/>
      <c r="D1483" s="6" t="s">
        <v>67</v>
      </c>
      <c r="E1483" s="6" t="s">
        <v>67</v>
      </c>
      <c r="F1483" s="6"/>
    </row>
    <row r="1484">
      <c r="A1484" s="6"/>
      <c r="B1484" s="6"/>
      <c r="C1484" s="6"/>
      <c r="D1484" s="6" t="s">
        <v>67</v>
      </c>
      <c r="E1484" s="6" t="s">
        <v>67</v>
      </c>
      <c r="F1484" s="6"/>
    </row>
    <row r="1485">
      <c r="A1485" s="6"/>
      <c r="B1485" s="6"/>
      <c r="C1485" s="6"/>
      <c r="D1485" s="6" t="s">
        <v>67</v>
      </c>
      <c r="E1485" s="6" t="s">
        <v>67</v>
      </c>
      <c r="F1485" s="6"/>
    </row>
    <row r="1486">
      <c r="A1486" s="6"/>
      <c r="B1486" s="6"/>
      <c r="C1486" s="6"/>
      <c r="D1486" s="6" t="s">
        <v>67</v>
      </c>
      <c r="E1486" s="6" t="s">
        <v>67</v>
      </c>
      <c r="F1486" s="6"/>
    </row>
    <row r="1487">
      <c r="A1487" s="6"/>
      <c r="B1487" s="6"/>
      <c r="C1487" s="6"/>
      <c r="D1487" s="6" t="s">
        <v>67</v>
      </c>
      <c r="E1487" s="6" t="s">
        <v>67</v>
      </c>
      <c r="F1487" s="6"/>
    </row>
    <row r="1488">
      <c r="A1488" s="6"/>
      <c r="B1488" s="6"/>
      <c r="C1488" s="6"/>
      <c r="D1488" s="6" t="s">
        <v>67</v>
      </c>
      <c r="E1488" s="6" t="s">
        <v>67</v>
      </c>
      <c r="F1488" s="6"/>
    </row>
    <row r="1489">
      <c r="A1489" s="6"/>
      <c r="B1489" s="6"/>
      <c r="C1489" s="6"/>
      <c r="D1489" s="6" t="s">
        <v>67</v>
      </c>
      <c r="E1489" s="6" t="s">
        <v>67</v>
      </c>
      <c r="F1489" s="6"/>
    </row>
    <row r="1490">
      <c r="A1490" s="6"/>
      <c r="B1490" s="6"/>
      <c r="C1490" s="6"/>
      <c r="D1490" s="6" t="s">
        <v>67</v>
      </c>
      <c r="E1490" s="6" t="s">
        <v>67</v>
      </c>
      <c r="F1490" s="6"/>
    </row>
    <row r="1491">
      <c r="A1491" s="6"/>
      <c r="B1491" s="6"/>
      <c r="C1491" s="6"/>
      <c r="D1491" s="6" t="s">
        <v>67</v>
      </c>
      <c r="E1491" s="6" t="s">
        <v>67</v>
      </c>
      <c r="F1491" s="6"/>
    </row>
    <row r="1492">
      <c r="A1492" s="6"/>
      <c r="B1492" s="6"/>
      <c r="C1492" s="6"/>
      <c r="D1492" s="6" t="s">
        <v>67</v>
      </c>
      <c r="E1492" s="6" t="s">
        <v>67</v>
      </c>
      <c r="F1492" s="6"/>
    </row>
    <row r="1493">
      <c r="A1493" s="6"/>
      <c r="B1493" s="6"/>
      <c r="C1493" s="6"/>
      <c r="D1493" s="6" t="s">
        <v>67</v>
      </c>
      <c r="E1493" s="6" t="s">
        <v>67</v>
      </c>
      <c r="F1493" s="6"/>
    </row>
    <row r="1494">
      <c r="A1494" s="6"/>
      <c r="B1494" s="6"/>
      <c r="C1494" s="6"/>
      <c r="D1494" s="6" t="s">
        <v>67</v>
      </c>
      <c r="E1494" s="6" t="s">
        <v>67</v>
      </c>
      <c r="F1494" s="6"/>
    </row>
    <row r="1495">
      <c r="A1495" s="6"/>
      <c r="B1495" s="6"/>
      <c r="C1495" s="6"/>
      <c r="D1495" s="6" t="s">
        <v>67</v>
      </c>
      <c r="E1495" s="6" t="s">
        <v>67</v>
      </c>
      <c r="F1495" s="6"/>
    </row>
    <row r="1496">
      <c r="A1496" s="6"/>
      <c r="B1496" s="6"/>
      <c r="C1496" s="6"/>
      <c r="D1496" s="6" t="s">
        <v>67</v>
      </c>
      <c r="E1496" s="6" t="s">
        <v>67</v>
      </c>
      <c r="F1496" s="6"/>
    </row>
    <row r="1497">
      <c r="A1497" s="6"/>
      <c r="B1497" s="6"/>
      <c r="C1497" s="6"/>
      <c r="D1497" s="6" t="s">
        <v>67</v>
      </c>
      <c r="E1497" s="6" t="s">
        <v>67</v>
      </c>
      <c r="F1497" s="6"/>
    </row>
    <row r="1498">
      <c r="A1498" s="6"/>
      <c r="B1498" s="6"/>
      <c r="C1498" s="6"/>
      <c r="D1498" s="6" t="s">
        <v>67</v>
      </c>
      <c r="E1498" s="6" t="s">
        <v>67</v>
      </c>
      <c r="F1498" s="6"/>
    </row>
    <row r="1499">
      <c r="A1499" s="6"/>
      <c r="B1499" s="6"/>
      <c r="C1499" s="6"/>
      <c r="D1499" s="6" t="s">
        <v>67</v>
      </c>
      <c r="E1499" s="6" t="s">
        <v>67</v>
      </c>
      <c r="F1499" s="6"/>
    </row>
    <row r="1500">
      <c r="A1500" s="6"/>
      <c r="B1500" s="6"/>
      <c r="C1500" s="6"/>
      <c r="D1500" s="6" t="s">
        <v>67</v>
      </c>
      <c r="E1500" s="6" t="s">
        <v>67</v>
      </c>
      <c r="F1500" s="6"/>
    </row>
    <row r="1501">
      <c r="A1501" s="6"/>
      <c r="B1501" s="6"/>
      <c r="C1501" s="6"/>
      <c r="D1501" s="6" t="s">
        <v>67</v>
      </c>
      <c r="E1501" s="6" t="s">
        <v>67</v>
      </c>
      <c r="F1501" s="6"/>
    </row>
    <row r="1502">
      <c r="A1502" s="6"/>
      <c r="B1502" s="6"/>
      <c r="C1502" s="6"/>
      <c r="D1502" s="6" t="s">
        <v>67</v>
      </c>
      <c r="E1502" s="6" t="s">
        <v>67</v>
      </c>
      <c r="F1502" s="6"/>
    </row>
    <row r="1503">
      <c r="A1503" s="6"/>
      <c r="B1503" s="6"/>
      <c r="C1503" s="6"/>
      <c r="D1503" s="6" t="s">
        <v>67</v>
      </c>
      <c r="E1503" s="6" t="s">
        <v>67</v>
      </c>
      <c r="F1503" s="6"/>
    </row>
    <row r="1504">
      <c r="A1504" s="6"/>
      <c r="B1504" s="6"/>
      <c r="C1504" s="6"/>
      <c r="D1504" s="6" t="s">
        <v>67</v>
      </c>
      <c r="E1504" s="6" t="s">
        <v>67</v>
      </c>
      <c r="F1504" s="6"/>
    </row>
    <row r="1505">
      <c r="A1505" s="6"/>
      <c r="B1505" s="6"/>
      <c r="C1505" s="6"/>
      <c r="D1505" s="6" t="s">
        <v>67</v>
      </c>
      <c r="E1505" s="6" t="s">
        <v>67</v>
      </c>
      <c r="F1505" s="6"/>
    </row>
    <row r="1506">
      <c r="A1506" s="6"/>
      <c r="B1506" s="6"/>
      <c r="C1506" s="6"/>
      <c r="D1506" s="6" t="s">
        <v>67</v>
      </c>
      <c r="E1506" s="6" t="s">
        <v>67</v>
      </c>
      <c r="F1506" s="6"/>
    </row>
    <row r="1507">
      <c r="A1507" s="6"/>
      <c r="B1507" s="6"/>
      <c r="C1507" s="6"/>
      <c r="D1507" s="6" t="s">
        <v>67</v>
      </c>
      <c r="E1507" s="6" t="s">
        <v>67</v>
      </c>
      <c r="F1507" s="6"/>
    </row>
    <row r="1508">
      <c r="A1508" s="6"/>
      <c r="B1508" s="6"/>
      <c r="C1508" s="6"/>
      <c r="D1508" s="6" t="s">
        <v>67</v>
      </c>
      <c r="E1508" s="6" t="s">
        <v>67</v>
      </c>
      <c r="F1508" s="6"/>
    </row>
    <row r="1509">
      <c r="A1509" s="6"/>
      <c r="B1509" s="6"/>
      <c r="C1509" s="6"/>
      <c r="D1509" s="6" t="s">
        <v>67</v>
      </c>
      <c r="E1509" s="6" t="s">
        <v>67</v>
      </c>
      <c r="F1509" s="6"/>
    </row>
    <row r="1510">
      <c r="A1510" s="6"/>
      <c r="B1510" s="6"/>
      <c r="C1510" s="6"/>
      <c r="D1510" s="6" t="s">
        <v>67</v>
      </c>
      <c r="E1510" s="6" t="s">
        <v>67</v>
      </c>
      <c r="F1510" s="6"/>
    </row>
    <row r="1511">
      <c r="A1511" s="6"/>
      <c r="B1511" s="6"/>
      <c r="C1511" s="6"/>
      <c r="D1511" s="6" t="s">
        <v>67</v>
      </c>
      <c r="E1511" s="6" t="s">
        <v>67</v>
      </c>
      <c r="F1511" s="6"/>
    </row>
    <row r="1512">
      <c r="A1512" s="6"/>
      <c r="B1512" s="6"/>
      <c r="C1512" s="6"/>
      <c r="D1512" s="6" t="s">
        <v>67</v>
      </c>
      <c r="E1512" s="6" t="s">
        <v>67</v>
      </c>
      <c r="F1512" s="6"/>
    </row>
    <row r="1513">
      <c r="A1513" s="6"/>
      <c r="B1513" s="6"/>
      <c r="C1513" s="6"/>
      <c r="D1513" s="6" t="s">
        <v>67</v>
      </c>
      <c r="E1513" s="6" t="s">
        <v>67</v>
      </c>
      <c r="F1513" s="6"/>
    </row>
    <row r="1514">
      <c r="A1514" s="6"/>
      <c r="B1514" s="6"/>
      <c r="C1514" s="6"/>
      <c r="D1514" s="6" t="s">
        <v>67</v>
      </c>
      <c r="E1514" s="6" t="s">
        <v>67</v>
      </c>
      <c r="F1514" s="6"/>
    </row>
    <row r="1515">
      <c r="A1515" s="6"/>
      <c r="B1515" s="6"/>
      <c r="C1515" s="6"/>
      <c r="D1515" s="6" t="s">
        <v>67</v>
      </c>
      <c r="E1515" s="6" t="s">
        <v>67</v>
      </c>
      <c r="F1515" s="6"/>
    </row>
    <row r="1516">
      <c r="A1516" s="6"/>
      <c r="B1516" s="6"/>
      <c r="C1516" s="6"/>
      <c r="D1516" s="6" t="s">
        <v>67</v>
      </c>
      <c r="E1516" s="6" t="s">
        <v>67</v>
      </c>
      <c r="F1516" s="6"/>
    </row>
    <row r="1517">
      <c r="A1517" s="6"/>
      <c r="B1517" s="6"/>
      <c r="C1517" s="6"/>
      <c r="D1517" s="6" t="s">
        <v>67</v>
      </c>
      <c r="E1517" s="6" t="s">
        <v>67</v>
      </c>
      <c r="F1517" s="6"/>
    </row>
    <row r="1518">
      <c r="A1518" s="6"/>
      <c r="B1518" s="6"/>
      <c r="C1518" s="6"/>
      <c r="D1518" s="6" t="s">
        <v>67</v>
      </c>
      <c r="E1518" s="6" t="s">
        <v>67</v>
      </c>
      <c r="F1518" s="6"/>
    </row>
    <row r="1519">
      <c r="A1519" s="6"/>
      <c r="B1519" s="6"/>
      <c r="C1519" s="6"/>
      <c r="D1519" s="6" t="s">
        <v>67</v>
      </c>
      <c r="E1519" s="6" t="s">
        <v>67</v>
      </c>
      <c r="F1519" s="6"/>
    </row>
    <row r="1520">
      <c r="A1520" s="6"/>
      <c r="B1520" s="6"/>
      <c r="C1520" s="6"/>
      <c r="D1520" s="6" t="s">
        <v>67</v>
      </c>
      <c r="E1520" s="6" t="s">
        <v>67</v>
      </c>
      <c r="F1520" s="6"/>
    </row>
    <row r="1521">
      <c r="A1521" s="6"/>
      <c r="B1521" s="6"/>
      <c r="C1521" s="6"/>
      <c r="D1521" s="6" t="s">
        <v>67</v>
      </c>
      <c r="E1521" s="6" t="s">
        <v>67</v>
      </c>
      <c r="F1521" s="6"/>
    </row>
    <row r="1522">
      <c r="A1522" s="6"/>
      <c r="B1522" s="6"/>
      <c r="C1522" s="6"/>
      <c r="D1522" s="6" t="s">
        <v>67</v>
      </c>
      <c r="E1522" s="6" t="s">
        <v>67</v>
      </c>
      <c r="F1522" s="6"/>
    </row>
    <row r="1523">
      <c r="A1523" s="6"/>
      <c r="B1523" s="6"/>
      <c r="C1523" s="6"/>
      <c r="D1523" s="6" t="s">
        <v>67</v>
      </c>
      <c r="E1523" s="6" t="s">
        <v>67</v>
      </c>
      <c r="F1523" s="6"/>
    </row>
    <row r="1524">
      <c r="A1524" s="6"/>
      <c r="B1524" s="6"/>
      <c r="C1524" s="6"/>
      <c r="D1524" s="6" t="s">
        <v>67</v>
      </c>
      <c r="E1524" s="6" t="s">
        <v>67</v>
      </c>
      <c r="F1524" s="6"/>
    </row>
    <row r="1525">
      <c r="A1525" s="6"/>
      <c r="B1525" s="6"/>
      <c r="C1525" s="6"/>
      <c r="D1525" s="6" t="s">
        <v>67</v>
      </c>
      <c r="E1525" s="6" t="s">
        <v>67</v>
      </c>
      <c r="F1525" s="6"/>
    </row>
    <row r="1526">
      <c r="A1526" s="6"/>
      <c r="B1526" s="6"/>
      <c r="C1526" s="6"/>
      <c r="D1526" s="6" t="s">
        <v>67</v>
      </c>
      <c r="E1526" s="6" t="s">
        <v>67</v>
      </c>
      <c r="F1526" s="6"/>
    </row>
    <row r="1527">
      <c r="A1527" s="6"/>
      <c r="B1527" s="6"/>
      <c r="C1527" s="6"/>
      <c r="D1527" s="6" t="s">
        <v>67</v>
      </c>
      <c r="E1527" s="6" t="s">
        <v>67</v>
      </c>
      <c r="F1527" s="6"/>
    </row>
    <row r="1528">
      <c r="A1528" s="6"/>
      <c r="B1528" s="6"/>
      <c r="C1528" s="6"/>
      <c r="D1528" s="6" t="s">
        <v>67</v>
      </c>
      <c r="E1528" s="6" t="s">
        <v>67</v>
      </c>
      <c r="F1528" s="6"/>
    </row>
    <row r="1529">
      <c r="A1529" s="6"/>
      <c r="B1529" s="6"/>
      <c r="C1529" s="6"/>
      <c r="D1529" s="6" t="s">
        <v>67</v>
      </c>
      <c r="E1529" s="6" t="s">
        <v>67</v>
      </c>
      <c r="F1529" s="6"/>
    </row>
    <row r="1530">
      <c r="A1530" s="6"/>
      <c r="B1530" s="6"/>
      <c r="C1530" s="6"/>
      <c r="D1530" s="6" t="s">
        <v>67</v>
      </c>
      <c r="E1530" s="6" t="s">
        <v>67</v>
      </c>
      <c r="F1530" s="6"/>
    </row>
    <row r="1531">
      <c r="A1531" s="6"/>
      <c r="B1531" s="6"/>
      <c r="C1531" s="6"/>
      <c r="D1531" s="6" t="s">
        <v>67</v>
      </c>
      <c r="E1531" s="6" t="s">
        <v>67</v>
      </c>
      <c r="F1531" s="6"/>
    </row>
    <row r="1532">
      <c r="A1532" s="6"/>
      <c r="B1532" s="6"/>
      <c r="C1532" s="6"/>
      <c r="D1532" s="6" t="s">
        <v>67</v>
      </c>
      <c r="E1532" s="6" t="s">
        <v>67</v>
      </c>
      <c r="F1532" s="6"/>
    </row>
    <row r="1533">
      <c r="A1533" s="6"/>
      <c r="B1533" s="6"/>
      <c r="C1533" s="6"/>
      <c r="D1533" s="6" t="s">
        <v>67</v>
      </c>
      <c r="E1533" s="6" t="s">
        <v>67</v>
      </c>
      <c r="F1533" s="6"/>
    </row>
    <row r="1534">
      <c r="A1534" s="6"/>
      <c r="B1534" s="6"/>
      <c r="C1534" s="6"/>
      <c r="D1534" s="6" t="s">
        <v>67</v>
      </c>
      <c r="E1534" s="6" t="s">
        <v>67</v>
      </c>
      <c r="F1534" s="6"/>
    </row>
    <row r="1535">
      <c r="A1535" s="6"/>
      <c r="B1535" s="6"/>
      <c r="C1535" s="6"/>
      <c r="D1535" s="6" t="s">
        <v>67</v>
      </c>
      <c r="E1535" s="6" t="s">
        <v>67</v>
      </c>
      <c r="F1535" s="6"/>
    </row>
    <row r="1536">
      <c r="A1536" s="6"/>
      <c r="B1536" s="6"/>
      <c r="C1536" s="6"/>
      <c r="D1536" s="6" t="s">
        <v>67</v>
      </c>
      <c r="E1536" s="6" t="s">
        <v>67</v>
      </c>
      <c r="F1536" s="6"/>
    </row>
    <row r="1537">
      <c r="A1537" s="6"/>
      <c r="B1537" s="6"/>
      <c r="C1537" s="6"/>
      <c r="D1537" s="6" t="s">
        <v>67</v>
      </c>
      <c r="E1537" s="6" t="s">
        <v>67</v>
      </c>
      <c r="F1537" s="6"/>
    </row>
    <row r="1538">
      <c r="A1538" s="6"/>
      <c r="B1538" s="6"/>
      <c r="C1538" s="6"/>
      <c r="D1538" s="6" t="s">
        <v>67</v>
      </c>
      <c r="E1538" s="6" t="s">
        <v>67</v>
      </c>
      <c r="F1538" s="6"/>
    </row>
    <row r="1539">
      <c r="A1539" s="6"/>
      <c r="B1539" s="6"/>
      <c r="C1539" s="6"/>
      <c r="D1539" s="6" t="s">
        <v>67</v>
      </c>
      <c r="E1539" s="6" t="s">
        <v>67</v>
      </c>
      <c r="F1539" s="6"/>
    </row>
    <row r="1540">
      <c r="A1540" s="6"/>
      <c r="B1540" s="6"/>
      <c r="C1540" s="6"/>
      <c r="D1540" s="6" t="s">
        <v>67</v>
      </c>
      <c r="E1540" s="6" t="s">
        <v>67</v>
      </c>
      <c r="F1540" s="6"/>
    </row>
    <row r="1541">
      <c r="A1541" s="6"/>
      <c r="B1541" s="6"/>
      <c r="C1541" s="6"/>
      <c r="D1541" s="6" t="s">
        <v>67</v>
      </c>
      <c r="E1541" s="6" t="s">
        <v>67</v>
      </c>
      <c r="F1541" s="6"/>
    </row>
    <row r="1542">
      <c r="A1542" s="6"/>
      <c r="B1542" s="6"/>
      <c r="C1542" s="6"/>
      <c r="D1542" s="6" t="s">
        <v>67</v>
      </c>
      <c r="E1542" s="6" t="s">
        <v>67</v>
      </c>
      <c r="F1542" s="6"/>
    </row>
    <row r="1543">
      <c r="A1543" s="6"/>
      <c r="B1543" s="6"/>
      <c r="C1543" s="6"/>
      <c r="D1543" s="6" t="s">
        <v>67</v>
      </c>
      <c r="E1543" s="6" t="s">
        <v>67</v>
      </c>
      <c r="F1543" s="6"/>
    </row>
    <row r="1544">
      <c r="A1544" s="6"/>
      <c r="B1544" s="6"/>
      <c r="C1544" s="6"/>
      <c r="D1544" s="6" t="s">
        <v>67</v>
      </c>
      <c r="E1544" s="6" t="s">
        <v>67</v>
      </c>
      <c r="F1544" s="6"/>
    </row>
    <row r="1545">
      <c r="A1545" s="6"/>
      <c r="B1545" s="6"/>
      <c r="C1545" s="6"/>
      <c r="D1545" s="6" t="s">
        <v>67</v>
      </c>
      <c r="E1545" s="6" t="s">
        <v>67</v>
      </c>
      <c r="F1545" s="6"/>
    </row>
    <row r="1546">
      <c r="A1546" s="6"/>
      <c r="B1546" s="6"/>
      <c r="C1546" s="6"/>
      <c r="D1546" s="6" t="s">
        <v>67</v>
      </c>
      <c r="E1546" s="6" t="s">
        <v>67</v>
      </c>
      <c r="F1546" s="6"/>
    </row>
    <row r="1547">
      <c r="A1547" s="6"/>
      <c r="B1547" s="6"/>
      <c r="C1547" s="6"/>
      <c r="D1547" s="6" t="s">
        <v>67</v>
      </c>
      <c r="E1547" s="6" t="s">
        <v>67</v>
      </c>
      <c r="F1547" s="6"/>
    </row>
    <row r="1548">
      <c r="A1548" s="6"/>
      <c r="B1548" s="6"/>
      <c r="C1548" s="6"/>
      <c r="D1548" s="6" t="s">
        <v>67</v>
      </c>
      <c r="E1548" s="6" t="s">
        <v>67</v>
      </c>
      <c r="F1548" s="6"/>
    </row>
    <row r="1549">
      <c r="A1549" s="6"/>
      <c r="B1549" s="6"/>
      <c r="C1549" s="6"/>
      <c r="D1549" s="6" t="s">
        <v>67</v>
      </c>
      <c r="E1549" s="6" t="s">
        <v>67</v>
      </c>
      <c r="F1549" s="6"/>
    </row>
    <row r="1550">
      <c r="A1550" s="6"/>
      <c r="B1550" s="6"/>
      <c r="C1550" s="6"/>
      <c r="D1550" s="6" t="s">
        <v>67</v>
      </c>
      <c r="E1550" s="6" t="s">
        <v>67</v>
      </c>
      <c r="F1550" s="6"/>
    </row>
    <row r="1551">
      <c r="A1551" s="6"/>
      <c r="B1551" s="6"/>
      <c r="C1551" s="6"/>
      <c r="D1551" s="6" t="s">
        <v>67</v>
      </c>
      <c r="E1551" s="6" t="s">
        <v>67</v>
      </c>
      <c r="F1551" s="6"/>
    </row>
    <row r="1552">
      <c r="A1552" s="6"/>
      <c r="B1552" s="6"/>
      <c r="C1552" s="6"/>
      <c r="D1552" s="6" t="s">
        <v>67</v>
      </c>
      <c r="E1552" s="6" t="s">
        <v>67</v>
      </c>
      <c r="F1552" s="6"/>
    </row>
    <row r="1553">
      <c r="A1553" s="6"/>
      <c r="B1553" s="6"/>
      <c r="C1553" s="6"/>
      <c r="D1553" s="6" t="s">
        <v>67</v>
      </c>
      <c r="E1553" s="6" t="s">
        <v>67</v>
      </c>
      <c r="F1553" s="6"/>
    </row>
    <row r="1554">
      <c r="A1554" s="6"/>
      <c r="B1554" s="6"/>
      <c r="C1554" s="6"/>
      <c r="D1554" s="6" t="s">
        <v>67</v>
      </c>
      <c r="E1554" s="6" t="s">
        <v>67</v>
      </c>
      <c r="F1554" s="6"/>
    </row>
    <row r="1555">
      <c r="A1555" s="6"/>
      <c r="B1555" s="6"/>
      <c r="C1555" s="6"/>
      <c r="D1555" s="6" t="s">
        <v>67</v>
      </c>
      <c r="E1555" s="6" t="s">
        <v>67</v>
      </c>
      <c r="F1555" s="6"/>
    </row>
    <row r="1556">
      <c r="A1556" s="6"/>
      <c r="B1556" s="6"/>
      <c r="C1556" s="6"/>
      <c r="D1556" s="6" t="s">
        <v>67</v>
      </c>
      <c r="E1556" s="6" t="s">
        <v>67</v>
      </c>
      <c r="F1556" s="6"/>
    </row>
    <row r="1557">
      <c r="A1557" s="6"/>
      <c r="B1557" s="6"/>
      <c r="C1557" s="6"/>
      <c r="D1557" s="6" t="s">
        <v>67</v>
      </c>
      <c r="E1557" s="6" t="s">
        <v>67</v>
      </c>
      <c r="F1557" s="6"/>
    </row>
    <row r="1558">
      <c r="A1558" s="6"/>
      <c r="B1558" s="6"/>
      <c r="C1558" s="6"/>
      <c r="D1558" s="6" t="s">
        <v>67</v>
      </c>
      <c r="E1558" s="6" t="s">
        <v>67</v>
      </c>
      <c r="F1558" s="6"/>
    </row>
    <row r="1559">
      <c r="A1559" s="6"/>
      <c r="B1559" s="6"/>
      <c r="C1559" s="6"/>
      <c r="D1559" s="6" t="s">
        <v>67</v>
      </c>
      <c r="E1559" s="6" t="s">
        <v>67</v>
      </c>
      <c r="F1559" s="6"/>
    </row>
    <row r="1560">
      <c r="A1560" s="6"/>
      <c r="B1560" s="6"/>
      <c r="C1560" s="6"/>
      <c r="D1560" s="6" t="s">
        <v>67</v>
      </c>
      <c r="E1560" s="6" t="s">
        <v>67</v>
      </c>
      <c r="F1560" s="6"/>
    </row>
    <row r="1561">
      <c r="A1561" s="6"/>
      <c r="B1561" s="6"/>
      <c r="C1561" s="6"/>
      <c r="D1561" s="6" t="s">
        <v>67</v>
      </c>
      <c r="E1561" s="6" t="s">
        <v>67</v>
      </c>
      <c r="F1561" s="6"/>
    </row>
    <row r="1562">
      <c r="A1562" s="6"/>
      <c r="B1562" s="6"/>
      <c r="C1562" s="6"/>
      <c r="D1562" s="6" t="s">
        <v>67</v>
      </c>
      <c r="E1562" s="6" t="s">
        <v>67</v>
      </c>
      <c r="F1562" s="6"/>
    </row>
    <row r="1563">
      <c r="A1563" s="6"/>
      <c r="B1563" s="6"/>
      <c r="C1563" s="6"/>
      <c r="D1563" s="6" t="s">
        <v>67</v>
      </c>
      <c r="E1563" s="6" t="s">
        <v>67</v>
      </c>
      <c r="F1563" s="6"/>
    </row>
    <row r="1564">
      <c r="A1564" s="6"/>
      <c r="B1564" s="6"/>
      <c r="C1564" s="6"/>
      <c r="D1564" s="6" t="s">
        <v>67</v>
      </c>
      <c r="E1564" s="6" t="s">
        <v>67</v>
      </c>
      <c r="F1564" s="6"/>
    </row>
    <row r="1565">
      <c r="A1565" s="6"/>
      <c r="B1565" s="6"/>
      <c r="C1565" s="6"/>
      <c r="D1565" s="6" t="s">
        <v>67</v>
      </c>
      <c r="E1565" s="6" t="s">
        <v>67</v>
      </c>
      <c r="F1565" s="6"/>
    </row>
    <row r="1566">
      <c r="A1566" s="6"/>
      <c r="B1566" s="6"/>
      <c r="C1566" s="6"/>
      <c r="D1566" s="6" t="s">
        <v>67</v>
      </c>
      <c r="E1566" s="6" t="s">
        <v>67</v>
      </c>
      <c r="F1566" s="6"/>
    </row>
    <row r="1567">
      <c r="A1567" s="6"/>
      <c r="B1567" s="6"/>
      <c r="C1567" s="6"/>
      <c r="D1567" s="6" t="s">
        <v>67</v>
      </c>
      <c r="E1567" s="6" t="s">
        <v>67</v>
      </c>
      <c r="F1567" s="6"/>
    </row>
    <row r="1568">
      <c r="A1568" s="6"/>
      <c r="B1568" s="6"/>
      <c r="C1568" s="6"/>
      <c r="D1568" s="6" t="s">
        <v>67</v>
      </c>
      <c r="E1568" s="6" t="s">
        <v>67</v>
      </c>
      <c r="F1568" s="6"/>
    </row>
    <row r="1569">
      <c r="A1569" s="6"/>
      <c r="B1569" s="6"/>
      <c r="C1569" s="6"/>
      <c r="D1569" s="6" t="s">
        <v>67</v>
      </c>
      <c r="E1569" s="6" t="s">
        <v>67</v>
      </c>
      <c r="F1569" s="6"/>
    </row>
    <row r="1570">
      <c r="A1570" s="6"/>
      <c r="B1570" s="6"/>
      <c r="C1570" s="6"/>
      <c r="D1570" s="6" t="s">
        <v>67</v>
      </c>
      <c r="E1570" s="6" t="s">
        <v>67</v>
      </c>
      <c r="F1570" s="6"/>
    </row>
    <row r="1571">
      <c r="A1571" s="6"/>
      <c r="B1571" s="6"/>
      <c r="C1571" s="6"/>
      <c r="D1571" s="6" t="s">
        <v>67</v>
      </c>
      <c r="E1571" s="6" t="s">
        <v>67</v>
      </c>
      <c r="F1571" s="6"/>
    </row>
    <row r="1572">
      <c r="A1572" s="6"/>
      <c r="B1572" s="6"/>
      <c r="C1572" s="6"/>
      <c r="D1572" s="6" t="s">
        <v>67</v>
      </c>
      <c r="E1572" s="6" t="s">
        <v>67</v>
      </c>
      <c r="F1572" s="6"/>
    </row>
    <row r="1573">
      <c r="A1573" s="6"/>
      <c r="B1573" s="6"/>
      <c r="C1573" s="6"/>
      <c r="D1573" s="6" t="s">
        <v>67</v>
      </c>
      <c r="E1573" s="6" t="s">
        <v>67</v>
      </c>
      <c r="F1573" s="6"/>
    </row>
    <row r="1574">
      <c r="A1574" s="6"/>
      <c r="B1574" s="6"/>
      <c r="C1574" s="6"/>
      <c r="D1574" s="6" t="s">
        <v>67</v>
      </c>
      <c r="E1574" s="6" t="s">
        <v>67</v>
      </c>
      <c r="F1574" s="6"/>
    </row>
    <row r="1575">
      <c r="A1575" s="6"/>
      <c r="B1575" s="6"/>
      <c r="C1575" s="6"/>
      <c r="D1575" s="6" t="s">
        <v>67</v>
      </c>
      <c r="E1575" s="6" t="s">
        <v>67</v>
      </c>
      <c r="F1575" s="6"/>
    </row>
    <row r="1576">
      <c r="A1576" s="6"/>
      <c r="B1576" s="6"/>
      <c r="C1576" s="6"/>
      <c r="D1576" s="6" t="s">
        <v>67</v>
      </c>
      <c r="E1576" s="6" t="s">
        <v>67</v>
      </c>
      <c r="F1576" s="6"/>
    </row>
    <row r="1577">
      <c r="A1577" s="6"/>
      <c r="B1577" s="6"/>
      <c r="C1577" s="6"/>
      <c r="D1577" s="6" t="s">
        <v>67</v>
      </c>
      <c r="E1577" s="6" t="s">
        <v>67</v>
      </c>
      <c r="F1577" s="6"/>
    </row>
    <row r="1578">
      <c r="A1578" s="6"/>
      <c r="B1578" s="6"/>
      <c r="C1578" s="6"/>
      <c r="D1578" s="6" t="s">
        <v>67</v>
      </c>
      <c r="E1578" s="6" t="s">
        <v>67</v>
      </c>
      <c r="F1578" s="6"/>
    </row>
    <row r="1579">
      <c r="A1579" s="6"/>
      <c r="B1579" s="6"/>
      <c r="C1579" s="6"/>
      <c r="D1579" s="6" t="s">
        <v>67</v>
      </c>
      <c r="E1579" s="6" t="s">
        <v>67</v>
      </c>
      <c r="F1579" s="6"/>
    </row>
    <row r="1580">
      <c r="A1580" s="6"/>
      <c r="B1580" s="6"/>
      <c r="C1580" s="6"/>
      <c r="D1580" s="6" t="s">
        <v>67</v>
      </c>
      <c r="E1580" s="6" t="s">
        <v>67</v>
      </c>
      <c r="F1580" s="6"/>
    </row>
    <row r="1581">
      <c r="A1581" s="6"/>
      <c r="B1581" s="6"/>
      <c r="C1581" s="6"/>
      <c r="D1581" s="6" t="s">
        <v>67</v>
      </c>
      <c r="E1581" s="6" t="s">
        <v>67</v>
      </c>
      <c r="F1581" s="6"/>
    </row>
    <row r="1582">
      <c r="A1582" s="6"/>
      <c r="B1582" s="6"/>
      <c r="C1582" s="6"/>
      <c r="D1582" s="6" t="s">
        <v>67</v>
      </c>
      <c r="E1582" s="6" t="s">
        <v>67</v>
      </c>
      <c r="F1582" s="6"/>
    </row>
    <row r="1583">
      <c r="A1583" s="6"/>
      <c r="B1583" s="6"/>
      <c r="C1583" s="6"/>
      <c r="D1583" s="6" t="s">
        <v>67</v>
      </c>
      <c r="E1583" s="6" t="s">
        <v>67</v>
      </c>
      <c r="F1583" s="6"/>
    </row>
    <row r="1584">
      <c r="A1584" s="6"/>
      <c r="B1584" s="6"/>
      <c r="C1584" s="6"/>
      <c r="D1584" s="6" t="s">
        <v>67</v>
      </c>
      <c r="E1584" s="6" t="s">
        <v>67</v>
      </c>
      <c r="F1584" s="6"/>
    </row>
    <row r="1585">
      <c r="A1585" s="6"/>
      <c r="B1585" s="6"/>
      <c r="C1585" s="6"/>
      <c r="D1585" s="6" t="s">
        <v>67</v>
      </c>
      <c r="E1585" s="6" t="s">
        <v>67</v>
      </c>
      <c r="F1585" s="6"/>
    </row>
    <row r="1586">
      <c r="A1586" s="6"/>
      <c r="B1586" s="6"/>
      <c r="C1586" s="6"/>
      <c r="D1586" s="6" t="s">
        <v>67</v>
      </c>
      <c r="E1586" s="6" t="s">
        <v>67</v>
      </c>
      <c r="F1586" s="6"/>
    </row>
    <row r="1587">
      <c r="A1587" s="6"/>
      <c r="B1587" s="6"/>
      <c r="C1587" s="6"/>
      <c r="D1587" s="6" t="s">
        <v>67</v>
      </c>
      <c r="E1587" s="6" t="s">
        <v>67</v>
      </c>
      <c r="F1587" s="6"/>
    </row>
    <row r="1588">
      <c r="A1588" s="6"/>
      <c r="B1588" s="6"/>
      <c r="C1588" s="6"/>
      <c r="D1588" s="6" t="s">
        <v>67</v>
      </c>
      <c r="E1588" s="6" t="s">
        <v>67</v>
      </c>
      <c r="F1588" s="6"/>
    </row>
    <row r="1589">
      <c r="A1589" s="6"/>
      <c r="B1589" s="6"/>
      <c r="C1589" s="6"/>
      <c r="D1589" s="6" t="s">
        <v>67</v>
      </c>
      <c r="E1589" s="6" t="s">
        <v>67</v>
      </c>
      <c r="F1589" s="6"/>
    </row>
    <row r="1590">
      <c r="A1590" s="6"/>
      <c r="B1590" s="6"/>
      <c r="C1590" s="6"/>
      <c r="D1590" s="6" t="s">
        <v>67</v>
      </c>
      <c r="E1590" s="6" t="s">
        <v>67</v>
      </c>
      <c r="F1590" s="6"/>
    </row>
    <row r="1591">
      <c r="A1591" s="6"/>
      <c r="B1591" s="6"/>
      <c r="C1591" s="6"/>
      <c r="D1591" s="6" t="s">
        <v>67</v>
      </c>
      <c r="E1591" s="6" t="s">
        <v>67</v>
      </c>
      <c r="F1591" s="6"/>
    </row>
    <row r="1592">
      <c r="A1592" s="6"/>
      <c r="B1592" s="6"/>
      <c r="C1592" s="6"/>
      <c r="D1592" s="6" t="s">
        <v>67</v>
      </c>
      <c r="E1592" s="6" t="s">
        <v>67</v>
      </c>
      <c r="F1592" s="6"/>
    </row>
    <row r="1593">
      <c r="A1593" s="6"/>
      <c r="B1593" s="6"/>
      <c r="C1593" s="6"/>
      <c r="D1593" s="6" t="s">
        <v>67</v>
      </c>
      <c r="E1593" s="6" t="s">
        <v>67</v>
      </c>
      <c r="F1593" s="6"/>
    </row>
    <row r="1594">
      <c r="A1594" s="6"/>
      <c r="B1594" s="6"/>
      <c r="C1594" s="6"/>
      <c r="D1594" s="6" t="s">
        <v>67</v>
      </c>
      <c r="E1594" s="6" t="s">
        <v>67</v>
      </c>
      <c r="F1594" s="6"/>
    </row>
    <row r="1595">
      <c r="A1595" s="6"/>
      <c r="B1595" s="6"/>
      <c r="C1595" s="6"/>
      <c r="D1595" s="6" t="s">
        <v>67</v>
      </c>
      <c r="E1595" s="6" t="s">
        <v>67</v>
      </c>
      <c r="F1595" s="6"/>
    </row>
    <row r="1596">
      <c r="A1596" s="6"/>
      <c r="B1596" s="6"/>
      <c r="C1596" s="6"/>
      <c r="D1596" s="6" t="s">
        <v>67</v>
      </c>
      <c r="E1596" s="6" t="s">
        <v>67</v>
      </c>
      <c r="F1596" s="6"/>
    </row>
    <row r="1597">
      <c r="A1597" s="6"/>
      <c r="B1597" s="6"/>
      <c r="C1597" s="6"/>
      <c r="D1597" s="6" t="s">
        <v>67</v>
      </c>
      <c r="E1597" s="6" t="s">
        <v>67</v>
      </c>
      <c r="F1597" s="6"/>
    </row>
    <row r="1598">
      <c r="A1598" s="6"/>
      <c r="B1598" s="6"/>
      <c r="C1598" s="6"/>
      <c r="D1598" s="6" t="s">
        <v>67</v>
      </c>
      <c r="E1598" s="6" t="s">
        <v>67</v>
      </c>
      <c r="F1598" s="6"/>
    </row>
    <row r="1599">
      <c r="A1599" s="6"/>
      <c r="B1599" s="6"/>
      <c r="C1599" s="6"/>
      <c r="D1599" s="6" t="s">
        <v>67</v>
      </c>
      <c r="E1599" s="6" t="s">
        <v>67</v>
      </c>
      <c r="F1599" s="6"/>
    </row>
    <row r="1600">
      <c r="A1600" s="6"/>
      <c r="B1600" s="6"/>
      <c r="C1600" s="6"/>
      <c r="D1600" s="6" t="s">
        <v>67</v>
      </c>
      <c r="E1600" s="6" t="s">
        <v>67</v>
      </c>
      <c r="F1600" s="6"/>
    </row>
    <row r="1601">
      <c r="A1601" s="6"/>
      <c r="B1601" s="6"/>
      <c r="C1601" s="6"/>
      <c r="D1601" s="6" t="s">
        <v>67</v>
      </c>
      <c r="E1601" s="6" t="s">
        <v>67</v>
      </c>
      <c r="F1601" s="6"/>
    </row>
    <row r="1602">
      <c r="A1602" s="6"/>
      <c r="B1602" s="6"/>
      <c r="C1602" s="6"/>
      <c r="D1602" s="6" t="s">
        <v>67</v>
      </c>
      <c r="E1602" s="6" t="s">
        <v>67</v>
      </c>
      <c r="F1602" s="6"/>
    </row>
    <row r="1603">
      <c r="A1603" s="6"/>
      <c r="B1603" s="6"/>
      <c r="C1603" s="6"/>
      <c r="D1603" s="6" t="s">
        <v>67</v>
      </c>
      <c r="E1603" s="6" t="s">
        <v>67</v>
      </c>
      <c r="F1603" s="6"/>
    </row>
    <row r="1604">
      <c r="A1604" s="6"/>
      <c r="B1604" s="6"/>
      <c r="C1604" s="6"/>
      <c r="D1604" s="6" t="s">
        <v>67</v>
      </c>
      <c r="E1604" s="6" t="s">
        <v>67</v>
      </c>
      <c r="F1604" s="6"/>
    </row>
    <row r="1605">
      <c r="A1605" s="6"/>
      <c r="B1605" s="6"/>
      <c r="C1605" s="6"/>
      <c r="D1605" s="6" t="s">
        <v>67</v>
      </c>
      <c r="E1605" s="6" t="s">
        <v>67</v>
      </c>
      <c r="F1605" s="6"/>
    </row>
    <row r="1606">
      <c r="A1606" s="6"/>
      <c r="B1606" s="6"/>
      <c r="C1606" s="6"/>
      <c r="D1606" s="6" t="s">
        <v>67</v>
      </c>
      <c r="E1606" s="6" t="s">
        <v>67</v>
      </c>
      <c r="F1606" s="6"/>
    </row>
    <row r="1607">
      <c r="A1607" s="6"/>
      <c r="B1607" s="6"/>
      <c r="C1607" s="6"/>
      <c r="D1607" s="6" t="s">
        <v>67</v>
      </c>
      <c r="E1607" s="6" t="s">
        <v>67</v>
      </c>
      <c r="F1607" s="6"/>
    </row>
    <row r="1608">
      <c r="A1608" s="6"/>
      <c r="B1608" s="6"/>
      <c r="C1608" s="6"/>
      <c r="D1608" s="6" t="s">
        <v>67</v>
      </c>
      <c r="E1608" s="6" t="s">
        <v>67</v>
      </c>
      <c r="F1608" s="6"/>
    </row>
    <row r="1609">
      <c r="A1609" s="6"/>
      <c r="B1609" s="6"/>
      <c r="C1609" s="6"/>
      <c r="D1609" s="6" t="s">
        <v>67</v>
      </c>
      <c r="E1609" s="6" t="s">
        <v>67</v>
      </c>
      <c r="F1609" s="6"/>
    </row>
    <row r="1610">
      <c r="A1610" s="6"/>
      <c r="B1610" s="6"/>
      <c r="C1610" s="6"/>
      <c r="D1610" s="6" t="s">
        <v>67</v>
      </c>
      <c r="E1610" s="6" t="s">
        <v>67</v>
      </c>
      <c r="F1610" s="6"/>
    </row>
    <row r="1611">
      <c r="A1611" s="6"/>
      <c r="B1611" s="6"/>
      <c r="C1611" s="6"/>
      <c r="D1611" s="6" t="s">
        <v>67</v>
      </c>
      <c r="E1611" s="6" t="s">
        <v>67</v>
      </c>
      <c r="F1611" s="6"/>
    </row>
    <row r="1612">
      <c r="A1612" s="6"/>
      <c r="B1612" s="6"/>
      <c r="C1612" s="6"/>
      <c r="D1612" s="6" t="s">
        <v>67</v>
      </c>
      <c r="E1612" s="6" t="s">
        <v>67</v>
      </c>
      <c r="F1612" s="6"/>
    </row>
    <row r="1613">
      <c r="A1613" s="6"/>
      <c r="B1613" s="6"/>
      <c r="C1613" s="6"/>
      <c r="D1613" s="6" t="s">
        <v>67</v>
      </c>
      <c r="E1613" s="6" t="s">
        <v>67</v>
      </c>
      <c r="F1613" s="6"/>
    </row>
    <row r="1614">
      <c r="A1614" s="6"/>
      <c r="B1614" s="6"/>
      <c r="C1614" s="6"/>
      <c r="D1614" s="6" t="s">
        <v>67</v>
      </c>
      <c r="E1614" s="6" t="s">
        <v>67</v>
      </c>
      <c r="F1614" s="6"/>
    </row>
    <row r="1615">
      <c r="A1615" s="6"/>
      <c r="B1615" s="6"/>
      <c r="C1615" s="6"/>
      <c r="D1615" s="6" t="s">
        <v>67</v>
      </c>
      <c r="E1615" s="6" t="s">
        <v>67</v>
      </c>
      <c r="F1615" s="6"/>
    </row>
    <row r="1616">
      <c r="A1616" s="6"/>
      <c r="B1616" s="6"/>
      <c r="C1616" s="6"/>
      <c r="D1616" s="6" t="s">
        <v>67</v>
      </c>
      <c r="E1616" s="6" t="s">
        <v>67</v>
      </c>
      <c r="F1616" s="6"/>
    </row>
    <row r="1617">
      <c r="A1617" s="6"/>
      <c r="B1617" s="6"/>
      <c r="C1617" s="6"/>
      <c r="D1617" s="6" t="s">
        <v>67</v>
      </c>
      <c r="E1617" s="6" t="s">
        <v>67</v>
      </c>
      <c r="F1617" s="6"/>
    </row>
    <row r="1618">
      <c r="A1618" s="6"/>
      <c r="B1618" s="6"/>
      <c r="C1618" s="6"/>
      <c r="D1618" s="6" t="s">
        <v>67</v>
      </c>
      <c r="E1618" s="6" t="s">
        <v>67</v>
      </c>
      <c r="F1618" s="6"/>
    </row>
    <row r="1619">
      <c r="A1619" s="6"/>
      <c r="B1619" s="6"/>
      <c r="C1619" s="6"/>
      <c r="D1619" s="6" t="s">
        <v>67</v>
      </c>
      <c r="E1619" s="6" t="s">
        <v>67</v>
      </c>
      <c r="F1619" s="6"/>
    </row>
    <row r="1620">
      <c r="A1620" s="6"/>
      <c r="B1620" s="6"/>
      <c r="C1620" s="6"/>
      <c r="D1620" s="6" t="s">
        <v>67</v>
      </c>
      <c r="E1620" s="6" t="s">
        <v>67</v>
      </c>
      <c r="F1620" s="6"/>
    </row>
    <row r="1621">
      <c r="A1621" s="6"/>
      <c r="B1621" s="6"/>
      <c r="C1621" s="6"/>
      <c r="D1621" s="6" t="s">
        <v>67</v>
      </c>
      <c r="E1621" s="6" t="s">
        <v>67</v>
      </c>
      <c r="F1621" s="6"/>
    </row>
    <row r="1622">
      <c r="A1622" s="6"/>
      <c r="B1622" s="6"/>
      <c r="C1622" s="6"/>
      <c r="D1622" s="6" t="s">
        <v>67</v>
      </c>
      <c r="E1622" s="6" t="s">
        <v>67</v>
      </c>
      <c r="F1622" s="6"/>
    </row>
    <row r="1623">
      <c r="A1623" s="6"/>
      <c r="B1623" s="6"/>
      <c r="C1623" s="6"/>
      <c r="D1623" s="6" t="s">
        <v>67</v>
      </c>
      <c r="E1623" s="6" t="s">
        <v>67</v>
      </c>
      <c r="F1623" s="6"/>
    </row>
    <row r="1624">
      <c r="A1624" s="6"/>
      <c r="B1624" s="6"/>
      <c r="C1624" s="6"/>
      <c r="D1624" s="6" t="s">
        <v>67</v>
      </c>
      <c r="E1624" s="6" t="s">
        <v>67</v>
      </c>
      <c r="F1624" s="6"/>
    </row>
    <row r="1625">
      <c r="A1625" s="6"/>
      <c r="B1625" s="6"/>
      <c r="C1625" s="6"/>
      <c r="D1625" s="6" t="s">
        <v>67</v>
      </c>
      <c r="E1625" s="6" t="s">
        <v>67</v>
      </c>
      <c r="F1625" s="6"/>
    </row>
    <row r="1626">
      <c r="A1626" s="6"/>
      <c r="B1626" s="6"/>
      <c r="C1626" s="6"/>
      <c r="D1626" s="6" t="s">
        <v>67</v>
      </c>
      <c r="E1626" s="6" t="s">
        <v>67</v>
      </c>
      <c r="F1626" s="6"/>
    </row>
    <row r="1627">
      <c r="A1627" s="6"/>
      <c r="B1627" s="6"/>
      <c r="C1627" s="6"/>
      <c r="D1627" s="6" t="s">
        <v>67</v>
      </c>
      <c r="E1627" s="6" t="s">
        <v>67</v>
      </c>
      <c r="F1627" s="6"/>
    </row>
    <row r="1628">
      <c r="A1628" s="6"/>
      <c r="B1628" s="6"/>
      <c r="C1628" s="6"/>
      <c r="D1628" s="6" t="s">
        <v>67</v>
      </c>
      <c r="E1628" s="6" t="s">
        <v>67</v>
      </c>
      <c r="F1628" s="6"/>
    </row>
    <row r="1629">
      <c r="A1629" s="6"/>
      <c r="B1629" s="6"/>
      <c r="C1629" s="6"/>
      <c r="D1629" s="6" t="s">
        <v>67</v>
      </c>
      <c r="E1629" s="6" t="s">
        <v>67</v>
      </c>
      <c r="F1629" s="6"/>
    </row>
    <row r="1630">
      <c r="A1630" s="6"/>
      <c r="B1630" s="6"/>
      <c r="C1630" s="6"/>
      <c r="D1630" s="6" t="s">
        <v>67</v>
      </c>
      <c r="E1630" s="6" t="s">
        <v>67</v>
      </c>
      <c r="F1630" s="6"/>
    </row>
    <row r="1631">
      <c r="A1631" s="6"/>
      <c r="B1631" s="6"/>
      <c r="C1631" s="6"/>
      <c r="D1631" s="6" t="s">
        <v>67</v>
      </c>
      <c r="E1631" s="6" t="s">
        <v>67</v>
      </c>
      <c r="F1631" s="6"/>
    </row>
    <row r="1632">
      <c r="A1632" s="6"/>
      <c r="B1632" s="6"/>
      <c r="C1632" s="6"/>
      <c r="D1632" s="6" t="s">
        <v>67</v>
      </c>
      <c r="E1632" s="6" t="s">
        <v>67</v>
      </c>
      <c r="F1632" s="6"/>
    </row>
    <row r="1633">
      <c r="A1633" s="6"/>
      <c r="B1633" s="6"/>
      <c r="C1633" s="6"/>
      <c r="D1633" s="6" t="s">
        <v>67</v>
      </c>
      <c r="E1633" s="6" t="s">
        <v>67</v>
      </c>
      <c r="F1633" s="6"/>
    </row>
    <row r="1634">
      <c r="A1634" s="6"/>
      <c r="B1634" s="6"/>
      <c r="C1634" s="6"/>
      <c r="D1634" s="6" t="s">
        <v>67</v>
      </c>
      <c r="E1634" s="6" t="s">
        <v>67</v>
      </c>
      <c r="F1634" s="6"/>
    </row>
    <row r="1635">
      <c r="A1635" s="6"/>
      <c r="B1635" s="6"/>
      <c r="C1635" s="6"/>
      <c r="D1635" s="6" t="s">
        <v>67</v>
      </c>
      <c r="E1635" s="6" t="s">
        <v>67</v>
      </c>
      <c r="F1635" s="6"/>
    </row>
    <row r="1636">
      <c r="A1636" s="6"/>
      <c r="B1636" s="6"/>
      <c r="C1636" s="6"/>
      <c r="D1636" s="6" t="s">
        <v>67</v>
      </c>
      <c r="E1636" s="6" t="s">
        <v>67</v>
      </c>
      <c r="F1636" s="6"/>
    </row>
    <row r="1637">
      <c r="A1637" s="6"/>
      <c r="B1637" s="6"/>
      <c r="C1637" s="6"/>
      <c r="D1637" s="6" t="s">
        <v>67</v>
      </c>
      <c r="E1637" s="6" t="s">
        <v>67</v>
      </c>
      <c r="F1637" s="6"/>
    </row>
    <row r="1638">
      <c r="A1638" s="6"/>
      <c r="B1638" s="6"/>
      <c r="C1638" s="6"/>
      <c r="D1638" s="6" t="s">
        <v>67</v>
      </c>
      <c r="E1638" s="6" t="s">
        <v>67</v>
      </c>
      <c r="F1638" s="6"/>
    </row>
    <row r="1639">
      <c r="A1639" s="6"/>
      <c r="B1639" s="6"/>
      <c r="C1639" s="6"/>
      <c r="D1639" s="6" t="s">
        <v>67</v>
      </c>
      <c r="E1639" s="6" t="s">
        <v>67</v>
      </c>
      <c r="F1639" s="6"/>
    </row>
    <row r="1640">
      <c r="A1640" s="6"/>
      <c r="B1640" s="6"/>
      <c r="C1640" s="6"/>
      <c r="D1640" s="6" t="s">
        <v>67</v>
      </c>
      <c r="E1640" s="6" t="s">
        <v>67</v>
      </c>
      <c r="F1640" s="6"/>
    </row>
    <row r="1641">
      <c r="A1641" s="6"/>
      <c r="B1641" s="6"/>
      <c r="C1641" s="6"/>
      <c r="D1641" s="6" t="s">
        <v>67</v>
      </c>
      <c r="E1641" s="6" t="s">
        <v>67</v>
      </c>
      <c r="F1641" s="6"/>
    </row>
    <row r="1642">
      <c r="A1642" s="6"/>
      <c r="B1642" s="6"/>
      <c r="C1642" s="6"/>
      <c r="D1642" s="6" t="s">
        <v>67</v>
      </c>
      <c r="E1642" s="6" t="s">
        <v>67</v>
      </c>
      <c r="F1642" s="6"/>
    </row>
    <row r="1643">
      <c r="A1643" s="6"/>
      <c r="B1643" s="6"/>
      <c r="C1643" s="6"/>
      <c r="D1643" s="6" t="s">
        <v>67</v>
      </c>
      <c r="E1643" s="6" t="s">
        <v>67</v>
      </c>
      <c r="F1643" s="6"/>
    </row>
    <row r="1644">
      <c r="A1644" s="6"/>
      <c r="B1644" s="6"/>
      <c r="C1644" s="6"/>
      <c r="D1644" s="6" t="s">
        <v>67</v>
      </c>
      <c r="E1644" s="6" t="s">
        <v>67</v>
      </c>
      <c r="F1644" s="6"/>
    </row>
    <row r="1645">
      <c r="A1645" s="6"/>
      <c r="B1645" s="6"/>
      <c r="C1645" s="6"/>
      <c r="D1645" s="6" t="s">
        <v>67</v>
      </c>
      <c r="E1645" s="6" t="s">
        <v>67</v>
      </c>
      <c r="F1645" s="6"/>
    </row>
    <row r="1646">
      <c r="A1646" s="6"/>
      <c r="B1646" s="6"/>
      <c r="C1646" s="6"/>
      <c r="D1646" s="6" t="s">
        <v>67</v>
      </c>
      <c r="E1646" s="6" t="s">
        <v>67</v>
      </c>
      <c r="F1646" s="6"/>
    </row>
    <row r="1647">
      <c r="A1647" s="6"/>
      <c r="B1647" s="6"/>
      <c r="C1647" s="6"/>
      <c r="D1647" s="6" t="s">
        <v>67</v>
      </c>
      <c r="E1647" s="6" t="s">
        <v>67</v>
      </c>
      <c r="F1647" s="6"/>
    </row>
    <row r="1648">
      <c r="A1648" s="6"/>
      <c r="B1648" s="6"/>
      <c r="C1648" s="6"/>
      <c r="D1648" s="6" t="s">
        <v>67</v>
      </c>
      <c r="E1648" s="6" t="s">
        <v>67</v>
      </c>
      <c r="F1648" s="6"/>
    </row>
    <row r="1649">
      <c r="A1649" s="6"/>
      <c r="B1649" s="6"/>
      <c r="C1649" s="6"/>
      <c r="D1649" s="6" t="s">
        <v>67</v>
      </c>
      <c r="E1649" s="6" t="s">
        <v>67</v>
      </c>
      <c r="F1649" s="6"/>
    </row>
    <row r="1650">
      <c r="A1650" s="6"/>
      <c r="B1650" s="6"/>
      <c r="C1650" s="6"/>
      <c r="D1650" s="6" t="s">
        <v>67</v>
      </c>
      <c r="E1650" s="6" t="s">
        <v>67</v>
      </c>
      <c r="F1650" s="6"/>
    </row>
    <row r="1651">
      <c r="A1651" s="6"/>
      <c r="B1651" s="6"/>
      <c r="C1651" s="6"/>
      <c r="D1651" s="6" t="s">
        <v>67</v>
      </c>
      <c r="E1651" s="6" t="s">
        <v>67</v>
      </c>
      <c r="F1651" s="6"/>
    </row>
    <row r="1652">
      <c r="A1652" s="6"/>
      <c r="B1652" s="6"/>
      <c r="C1652" s="6"/>
      <c r="D1652" s="6" t="s">
        <v>67</v>
      </c>
      <c r="E1652" s="6" t="s">
        <v>67</v>
      </c>
      <c r="F1652" s="6"/>
    </row>
    <row r="1653">
      <c r="A1653" s="6"/>
      <c r="B1653" s="6"/>
      <c r="C1653" s="6"/>
      <c r="D1653" s="6" t="s">
        <v>67</v>
      </c>
      <c r="E1653" s="6" t="s">
        <v>67</v>
      </c>
      <c r="F1653" s="6"/>
    </row>
    <row r="1654">
      <c r="A1654" s="6"/>
      <c r="B1654" s="6"/>
      <c r="C1654" s="6"/>
      <c r="D1654" s="6" t="s">
        <v>67</v>
      </c>
      <c r="E1654" s="6" t="s">
        <v>67</v>
      </c>
      <c r="F1654" s="6"/>
    </row>
    <row r="1655">
      <c r="A1655" s="6"/>
      <c r="B1655" s="6"/>
      <c r="C1655" s="6"/>
      <c r="D1655" s="6" t="s">
        <v>67</v>
      </c>
      <c r="E1655" s="6" t="s">
        <v>67</v>
      </c>
      <c r="F1655" s="6"/>
    </row>
    <row r="1656">
      <c r="A1656" s="6"/>
      <c r="B1656" s="6"/>
      <c r="C1656" s="6"/>
      <c r="D1656" s="6" t="s">
        <v>67</v>
      </c>
      <c r="E1656" s="6" t="s">
        <v>67</v>
      </c>
      <c r="F1656" s="6"/>
    </row>
    <row r="1657">
      <c r="A1657" s="6"/>
      <c r="B1657" s="6"/>
      <c r="C1657" s="6"/>
      <c r="D1657" s="6" t="s">
        <v>67</v>
      </c>
      <c r="E1657" s="6" t="s">
        <v>67</v>
      </c>
      <c r="F1657" s="6"/>
    </row>
    <row r="1658">
      <c r="A1658" s="6"/>
      <c r="B1658" s="6"/>
      <c r="C1658" s="6"/>
      <c r="D1658" s="6" t="s">
        <v>67</v>
      </c>
      <c r="E1658" s="6" t="s">
        <v>67</v>
      </c>
      <c r="F1658" s="6"/>
    </row>
    <row r="1659">
      <c r="A1659" s="6"/>
      <c r="B1659" s="6"/>
      <c r="C1659" s="6"/>
      <c r="D1659" s="6" t="s">
        <v>67</v>
      </c>
      <c r="E1659" s="6" t="s">
        <v>67</v>
      </c>
      <c r="F1659" s="6"/>
    </row>
    <row r="1660">
      <c r="A1660" s="6"/>
      <c r="B1660" s="6"/>
      <c r="C1660" s="6"/>
      <c r="D1660" s="6" t="s">
        <v>67</v>
      </c>
      <c r="E1660" s="6" t="s">
        <v>67</v>
      </c>
      <c r="F1660" s="6"/>
    </row>
    <row r="1661">
      <c r="A1661" s="6"/>
      <c r="B1661" s="6"/>
      <c r="C1661" s="6"/>
      <c r="D1661" s="6" t="s">
        <v>67</v>
      </c>
      <c r="E1661" s="6" t="s">
        <v>67</v>
      </c>
      <c r="F1661" s="6"/>
    </row>
    <row r="1662">
      <c r="A1662" s="6"/>
      <c r="B1662" s="6"/>
      <c r="C1662" s="6"/>
      <c r="D1662" s="6" t="s">
        <v>67</v>
      </c>
      <c r="E1662" s="6" t="s">
        <v>67</v>
      </c>
      <c r="F1662" s="6"/>
    </row>
    <row r="1663">
      <c r="A1663" s="6"/>
      <c r="B1663" s="6"/>
      <c r="C1663" s="6"/>
      <c r="D1663" s="6" t="s">
        <v>67</v>
      </c>
      <c r="E1663" s="6" t="s">
        <v>67</v>
      </c>
      <c r="F1663" s="6"/>
    </row>
    <row r="1664">
      <c r="A1664" s="6"/>
      <c r="B1664" s="6"/>
      <c r="C1664" s="6"/>
      <c r="D1664" s="6" t="s">
        <v>67</v>
      </c>
      <c r="E1664" s="6" t="s">
        <v>67</v>
      </c>
      <c r="F1664" s="6"/>
    </row>
    <row r="1665">
      <c r="A1665" s="6"/>
      <c r="B1665" s="6"/>
      <c r="C1665" s="6"/>
      <c r="D1665" s="6" t="s">
        <v>67</v>
      </c>
      <c r="E1665" s="6" t="s">
        <v>67</v>
      </c>
      <c r="F1665" s="6"/>
    </row>
    <row r="1666">
      <c r="A1666" s="6"/>
      <c r="B1666" s="6"/>
      <c r="C1666" s="6"/>
      <c r="D1666" s="6" t="s">
        <v>67</v>
      </c>
      <c r="E1666" s="6" t="s">
        <v>67</v>
      </c>
      <c r="F1666" s="6"/>
    </row>
    <row r="1667">
      <c r="A1667" s="6"/>
      <c r="B1667" s="6"/>
      <c r="C1667" s="6"/>
      <c r="D1667" s="6" t="s">
        <v>67</v>
      </c>
      <c r="E1667" s="6" t="s">
        <v>67</v>
      </c>
      <c r="F1667" s="6"/>
    </row>
    <row r="1668">
      <c r="A1668" s="6"/>
      <c r="B1668" s="6"/>
      <c r="C1668" s="6"/>
      <c r="D1668" s="6" t="s">
        <v>67</v>
      </c>
      <c r="E1668" s="6" t="s">
        <v>67</v>
      </c>
      <c r="F1668" s="6"/>
    </row>
    <row r="1669">
      <c r="A1669" s="6"/>
      <c r="B1669" s="6"/>
      <c r="C1669" s="6"/>
      <c r="D1669" s="6" t="s">
        <v>67</v>
      </c>
      <c r="E1669" s="6" t="s">
        <v>67</v>
      </c>
      <c r="F1669" s="6"/>
    </row>
    <row r="1670">
      <c r="A1670" s="6"/>
      <c r="B1670" s="6"/>
      <c r="C1670" s="6"/>
      <c r="D1670" s="6" t="s">
        <v>67</v>
      </c>
      <c r="E1670" s="6" t="s">
        <v>67</v>
      </c>
      <c r="F1670" s="6"/>
    </row>
    <row r="1671">
      <c r="A1671" s="6"/>
      <c r="B1671" s="6"/>
      <c r="C1671" s="6"/>
      <c r="D1671" s="6" t="s">
        <v>67</v>
      </c>
      <c r="E1671" s="6" t="s">
        <v>67</v>
      </c>
      <c r="F1671" s="6"/>
    </row>
    <row r="1672">
      <c r="A1672" s="6"/>
      <c r="B1672" s="6"/>
      <c r="C1672" s="6"/>
      <c r="D1672" s="6" t="s">
        <v>67</v>
      </c>
      <c r="E1672" s="6" t="s">
        <v>67</v>
      </c>
      <c r="F1672" s="6"/>
    </row>
    <row r="1673">
      <c r="A1673" s="6"/>
      <c r="B1673" s="6"/>
      <c r="C1673" s="6"/>
      <c r="D1673" s="6" t="s">
        <v>67</v>
      </c>
      <c r="E1673" s="6" t="s">
        <v>67</v>
      </c>
      <c r="F1673" s="6"/>
    </row>
    <row r="1674">
      <c r="A1674" s="6"/>
      <c r="B1674" s="6"/>
      <c r="C1674" s="6"/>
      <c r="D1674" s="6" t="s">
        <v>67</v>
      </c>
      <c r="E1674" s="6" t="s">
        <v>67</v>
      </c>
      <c r="F1674" s="6"/>
    </row>
    <row r="1675">
      <c r="A1675" s="6"/>
      <c r="B1675" s="6"/>
      <c r="C1675" s="6"/>
      <c r="D1675" s="6" t="s">
        <v>67</v>
      </c>
      <c r="E1675" s="6" t="s">
        <v>67</v>
      </c>
      <c r="F1675" s="6"/>
    </row>
    <row r="1676">
      <c r="A1676" s="6"/>
      <c r="B1676" s="6"/>
      <c r="C1676" s="6"/>
      <c r="D1676" s="6" t="s">
        <v>67</v>
      </c>
      <c r="E1676" s="6" t="s">
        <v>67</v>
      </c>
      <c r="F1676" s="6"/>
    </row>
    <row r="1677">
      <c r="A1677" s="6"/>
      <c r="B1677" s="6"/>
      <c r="C1677" s="6"/>
      <c r="D1677" s="6" t="s">
        <v>67</v>
      </c>
      <c r="E1677" s="6" t="s">
        <v>67</v>
      </c>
      <c r="F1677" s="6"/>
    </row>
    <row r="1678">
      <c r="A1678" s="6"/>
      <c r="B1678" s="6"/>
      <c r="C1678" s="6"/>
      <c r="D1678" s="6" t="s">
        <v>67</v>
      </c>
      <c r="E1678" s="6" t="s">
        <v>67</v>
      </c>
      <c r="F1678" s="6"/>
    </row>
    <row r="1679">
      <c r="A1679" s="6"/>
      <c r="B1679" s="6"/>
      <c r="C1679" s="6"/>
      <c r="D1679" s="6" t="s">
        <v>67</v>
      </c>
      <c r="E1679" s="6" t="s">
        <v>67</v>
      </c>
      <c r="F1679" s="6"/>
    </row>
    <row r="1680">
      <c r="A1680" s="6"/>
      <c r="B1680" s="6"/>
      <c r="C1680" s="6"/>
      <c r="D1680" s="6" t="s">
        <v>67</v>
      </c>
      <c r="E1680" s="6" t="s">
        <v>67</v>
      </c>
      <c r="F1680" s="6"/>
    </row>
    <row r="1681">
      <c r="A1681" s="6"/>
      <c r="B1681" s="6"/>
      <c r="C1681" s="6"/>
      <c r="D1681" s="6" t="s">
        <v>67</v>
      </c>
      <c r="E1681" s="6" t="s">
        <v>67</v>
      </c>
      <c r="F1681" s="6"/>
    </row>
    <row r="1682">
      <c r="A1682" s="6"/>
      <c r="B1682" s="6"/>
      <c r="C1682" s="6"/>
      <c r="D1682" s="6" t="s">
        <v>67</v>
      </c>
      <c r="E1682" s="6" t="s">
        <v>67</v>
      </c>
      <c r="F1682" s="6"/>
    </row>
    <row r="1683">
      <c r="A1683" s="6"/>
      <c r="B1683" s="6"/>
      <c r="C1683" s="6"/>
      <c r="D1683" s="6" t="s">
        <v>67</v>
      </c>
      <c r="E1683" s="6" t="s">
        <v>67</v>
      </c>
      <c r="F1683" s="6"/>
    </row>
    <row r="1684">
      <c r="A1684" s="6"/>
      <c r="B1684" s="6"/>
      <c r="C1684" s="6"/>
      <c r="D1684" s="6" t="s">
        <v>67</v>
      </c>
      <c r="E1684" s="6" t="s">
        <v>67</v>
      </c>
      <c r="F1684" s="6"/>
    </row>
    <row r="1685">
      <c r="A1685" s="6"/>
      <c r="B1685" s="6"/>
      <c r="C1685" s="6"/>
      <c r="D1685" s="6" t="s">
        <v>67</v>
      </c>
      <c r="E1685" s="6" t="s">
        <v>67</v>
      </c>
      <c r="F1685" s="6"/>
    </row>
    <row r="1686">
      <c r="A1686" s="6"/>
      <c r="B1686" s="6"/>
      <c r="C1686" s="6"/>
      <c r="D1686" s="6" t="s">
        <v>67</v>
      </c>
      <c r="E1686" s="6" t="s">
        <v>67</v>
      </c>
      <c r="F1686" s="6"/>
    </row>
    <row r="1687">
      <c r="A1687" s="6"/>
      <c r="B1687" s="6"/>
      <c r="C1687" s="6"/>
      <c r="D1687" s="6" t="s">
        <v>67</v>
      </c>
      <c r="E1687" s="6" t="s">
        <v>67</v>
      </c>
      <c r="F1687" s="6"/>
    </row>
    <row r="1688">
      <c r="A1688" s="6"/>
      <c r="B1688" s="6"/>
      <c r="C1688" s="6"/>
      <c r="D1688" s="6" t="s">
        <v>67</v>
      </c>
      <c r="E1688" s="6" t="s">
        <v>67</v>
      </c>
      <c r="F1688" s="6"/>
    </row>
    <row r="1689">
      <c r="A1689" s="6"/>
      <c r="B1689" s="6"/>
      <c r="C1689" s="6"/>
      <c r="D1689" s="6" t="s">
        <v>67</v>
      </c>
      <c r="E1689" s="6" t="s">
        <v>67</v>
      </c>
      <c r="F1689" s="6"/>
    </row>
    <row r="1690">
      <c r="A1690" s="6"/>
      <c r="B1690" s="6"/>
      <c r="C1690" s="6"/>
      <c r="D1690" s="6" t="s">
        <v>67</v>
      </c>
      <c r="E1690" s="6" t="s">
        <v>67</v>
      </c>
      <c r="F1690" s="6"/>
    </row>
    <row r="1691">
      <c r="A1691" s="6"/>
      <c r="B1691" s="6"/>
      <c r="C1691" s="6"/>
      <c r="D1691" s="6" t="s">
        <v>67</v>
      </c>
      <c r="E1691" s="6" t="s">
        <v>67</v>
      </c>
      <c r="F1691" s="6"/>
    </row>
    <row r="1692">
      <c r="A1692" s="6"/>
      <c r="B1692" s="6"/>
      <c r="C1692" s="6"/>
      <c r="D1692" s="6" t="s">
        <v>67</v>
      </c>
      <c r="E1692" s="6" t="s">
        <v>67</v>
      </c>
      <c r="F1692" s="6"/>
    </row>
    <row r="1693">
      <c r="A1693" s="6"/>
      <c r="B1693" s="6"/>
      <c r="C1693" s="6"/>
      <c r="D1693" s="6" t="s">
        <v>67</v>
      </c>
      <c r="E1693" s="6" t="s">
        <v>67</v>
      </c>
      <c r="F1693" s="6"/>
    </row>
    <row r="1694">
      <c r="A1694" s="6"/>
      <c r="B1694" s="6"/>
      <c r="C1694" s="6"/>
      <c r="D1694" s="6" t="s">
        <v>67</v>
      </c>
      <c r="E1694" s="6" t="s">
        <v>67</v>
      </c>
      <c r="F1694" s="6"/>
    </row>
    <row r="1695">
      <c r="A1695" s="6"/>
      <c r="B1695" s="6"/>
      <c r="C1695" s="6"/>
      <c r="D1695" s="6" t="s">
        <v>67</v>
      </c>
      <c r="E1695" s="6" t="s">
        <v>67</v>
      </c>
      <c r="F1695" s="6"/>
    </row>
    <row r="1696">
      <c r="A1696" s="6"/>
      <c r="B1696" s="6"/>
      <c r="C1696" s="6"/>
      <c r="D1696" s="6" t="s">
        <v>67</v>
      </c>
      <c r="E1696" s="6" t="s">
        <v>67</v>
      </c>
      <c r="F1696" s="6"/>
    </row>
    <row r="1697">
      <c r="A1697" s="6"/>
      <c r="B1697" s="6"/>
      <c r="C1697" s="6"/>
      <c r="D1697" s="6" t="s">
        <v>67</v>
      </c>
      <c r="E1697" s="6" t="s">
        <v>67</v>
      </c>
      <c r="F1697" s="6"/>
    </row>
    <row r="1698">
      <c r="A1698" s="6"/>
      <c r="B1698" s="6"/>
      <c r="C1698" s="6"/>
      <c r="D1698" s="6" t="s">
        <v>67</v>
      </c>
      <c r="E1698" s="6" t="s">
        <v>67</v>
      </c>
      <c r="F1698" s="6"/>
    </row>
    <row r="1699">
      <c r="A1699" s="6"/>
      <c r="B1699" s="6"/>
      <c r="C1699" s="6"/>
      <c r="D1699" s="6" t="s">
        <v>67</v>
      </c>
      <c r="E1699" s="6" t="s">
        <v>67</v>
      </c>
      <c r="F1699" s="6"/>
    </row>
    <row r="1700">
      <c r="A1700" s="6"/>
      <c r="B1700" s="6"/>
      <c r="C1700" s="6"/>
      <c r="D1700" s="6" t="s">
        <v>67</v>
      </c>
      <c r="E1700" s="6" t="s">
        <v>67</v>
      </c>
      <c r="F1700" s="6"/>
    </row>
    <row r="1701">
      <c r="A1701" s="6"/>
      <c r="B1701" s="6"/>
      <c r="C1701" s="6"/>
      <c r="D1701" s="6" t="s">
        <v>67</v>
      </c>
      <c r="E1701" s="6" t="s">
        <v>67</v>
      </c>
      <c r="F1701" s="6"/>
    </row>
    <row r="1702">
      <c r="A1702" s="6"/>
      <c r="B1702" s="6"/>
      <c r="C1702" s="6"/>
      <c r="D1702" s="6" t="s">
        <v>67</v>
      </c>
      <c r="E1702" s="6" t="s">
        <v>67</v>
      </c>
      <c r="F1702" s="6"/>
    </row>
    <row r="1703">
      <c r="A1703" s="6"/>
      <c r="B1703" s="6"/>
      <c r="C1703" s="6"/>
      <c r="D1703" s="6" t="s">
        <v>67</v>
      </c>
      <c r="E1703" s="6" t="s">
        <v>67</v>
      </c>
      <c r="F1703" s="6"/>
    </row>
    <row r="1704">
      <c r="A1704" s="6"/>
      <c r="B1704" s="6"/>
      <c r="C1704" s="6"/>
      <c r="D1704" s="6" t="s">
        <v>67</v>
      </c>
      <c r="E1704" s="6" t="s">
        <v>67</v>
      </c>
      <c r="F1704" s="6"/>
    </row>
    <row r="1705">
      <c r="A1705" s="6"/>
      <c r="B1705" s="6"/>
      <c r="C1705" s="6"/>
      <c r="D1705" s="6" t="s">
        <v>67</v>
      </c>
      <c r="E1705" s="6" t="s">
        <v>67</v>
      </c>
      <c r="F1705" s="6"/>
    </row>
    <row r="1706">
      <c r="A1706" s="6"/>
      <c r="B1706" s="6"/>
      <c r="C1706" s="6"/>
      <c r="D1706" s="6" t="s">
        <v>67</v>
      </c>
      <c r="E1706" s="6" t="s">
        <v>67</v>
      </c>
      <c r="F1706" s="6"/>
    </row>
    <row r="1707">
      <c r="A1707" s="6"/>
      <c r="B1707" s="6"/>
      <c r="C1707" s="6"/>
      <c r="D1707" s="6" t="s">
        <v>67</v>
      </c>
      <c r="E1707" s="6" t="s">
        <v>67</v>
      </c>
      <c r="F1707" s="6"/>
    </row>
    <row r="1708">
      <c r="A1708" s="6"/>
      <c r="B1708" s="6"/>
      <c r="C1708" s="6"/>
      <c r="D1708" s="6" t="s">
        <v>67</v>
      </c>
      <c r="E1708" s="6" t="s">
        <v>67</v>
      </c>
      <c r="F1708" s="6"/>
    </row>
    <row r="1709">
      <c r="A1709" s="6"/>
      <c r="B1709" s="6"/>
      <c r="C1709" s="6"/>
      <c r="D1709" s="6" t="s">
        <v>67</v>
      </c>
      <c r="E1709" s="6" t="s">
        <v>67</v>
      </c>
      <c r="F1709" s="6"/>
    </row>
    <row r="1710">
      <c r="A1710" s="6"/>
      <c r="B1710" s="6"/>
      <c r="C1710" s="6"/>
      <c r="D1710" s="6" t="s">
        <v>67</v>
      </c>
      <c r="E1710" s="6" t="s">
        <v>67</v>
      </c>
      <c r="F1710" s="6"/>
    </row>
    <row r="1711">
      <c r="A1711" s="6"/>
      <c r="B1711" s="6"/>
      <c r="C1711" s="6"/>
      <c r="D1711" s="6" t="s">
        <v>67</v>
      </c>
      <c r="E1711" s="6" t="s">
        <v>67</v>
      </c>
      <c r="F1711" s="6"/>
    </row>
    <row r="1712">
      <c r="A1712" s="6"/>
      <c r="B1712" s="6"/>
      <c r="C1712" s="6"/>
      <c r="D1712" s="6" t="s">
        <v>67</v>
      </c>
      <c r="E1712" s="6" t="s">
        <v>67</v>
      </c>
      <c r="F1712" s="6"/>
    </row>
    <row r="1713">
      <c r="A1713" s="6"/>
      <c r="B1713" s="6"/>
      <c r="C1713" s="6"/>
      <c r="D1713" s="6" t="s">
        <v>67</v>
      </c>
      <c r="E1713" s="6" t="s">
        <v>67</v>
      </c>
      <c r="F1713" s="6"/>
    </row>
    <row r="1714">
      <c r="A1714" s="6"/>
      <c r="B1714" s="6"/>
      <c r="C1714" s="6"/>
      <c r="D1714" s="6" t="s">
        <v>67</v>
      </c>
      <c r="E1714" s="6" t="s">
        <v>67</v>
      </c>
      <c r="F1714" s="6"/>
    </row>
    <row r="1715">
      <c r="A1715" s="6"/>
      <c r="B1715" s="6"/>
      <c r="C1715" s="6"/>
      <c r="D1715" s="6" t="s">
        <v>67</v>
      </c>
      <c r="E1715" s="6" t="s">
        <v>67</v>
      </c>
      <c r="F1715" s="6"/>
    </row>
    <row r="1716">
      <c r="A1716" s="6"/>
      <c r="B1716" s="6"/>
      <c r="C1716" s="6"/>
      <c r="D1716" s="6" t="s">
        <v>67</v>
      </c>
      <c r="E1716" s="6" t="s">
        <v>67</v>
      </c>
      <c r="F1716" s="6"/>
    </row>
    <row r="1717">
      <c r="A1717" s="6"/>
      <c r="B1717" s="6"/>
      <c r="C1717" s="6"/>
      <c r="D1717" s="6" t="s">
        <v>67</v>
      </c>
      <c r="E1717" s="6" t="s">
        <v>67</v>
      </c>
      <c r="F1717" s="6"/>
    </row>
    <row r="1718">
      <c r="A1718" s="6"/>
      <c r="B1718" s="6"/>
      <c r="C1718" s="6"/>
      <c r="D1718" s="6" t="s">
        <v>67</v>
      </c>
      <c r="E1718" s="6" t="s">
        <v>67</v>
      </c>
      <c r="F1718" s="6"/>
    </row>
    <row r="1719">
      <c r="A1719" s="6"/>
      <c r="B1719" s="6"/>
      <c r="C1719" s="6"/>
      <c r="D1719" s="6" t="s">
        <v>67</v>
      </c>
      <c r="E1719" s="6" t="s">
        <v>67</v>
      </c>
      <c r="F1719" s="6"/>
    </row>
    <row r="1720">
      <c r="A1720" s="6"/>
      <c r="B1720" s="6"/>
      <c r="C1720" s="6"/>
      <c r="D1720" s="6" t="s">
        <v>67</v>
      </c>
      <c r="E1720" s="6" t="s">
        <v>67</v>
      </c>
      <c r="F1720" s="6"/>
    </row>
    <row r="1721">
      <c r="A1721" s="6"/>
      <c r="B1721" s="6"/>
      <c r="C1721" s="6"/>
      <c r="D1721" s="6" t="s">
        <v>67</v>
      </c>
      <c r="E1721" s="6" t="s">
        <v>67</v>
      </c>
      <c r="F1721" s="6"/>
    </row>
    <row r="1722">
      <c r="A1722" s="6"/>
      <c r="B1722" s="6"/>
      <c r="C1722" s="6"/>
      <c r="D1722" s="6" t="s">
        <v>67</v>
      </c>
      <c r="E1722" s="6" t="s">
        <v>67</v>
      </c>
      <c r="F1722" s="6"/>
    </row>
    <row r="1723">
      <c r="A1723" s="6"/>
      <c r="B1723" s="6"/>
      <c r="C1723" s="6"/>
      <c r="D1723" s="6" t="s">
        <v>67</v>
      </c>
      <c r="E1723" s="6" t="s">
        <v>67</v>
      </c>
      <c r="F1723" s="6"/>
    </row>
    <row r="1724">
      <c r="A1724" s="6"/>
      <c r="B1724" s="6"/>
      <c r="C1724" s="6"/>
      <c r="D1724" s="6" t="s">
        <v>67</v>
      </c>
      <c r="E1724" s="6" t="s">
        <v>67</v>
      </c>
      <c r="F1724" s="6"/>
    </row>
    <row r="1725">
      <c r="A1725" s="6"/>
      <c r="B1725" s="6"/>
      <c r="C1725" s="6"/>
      <c r="D1725" s="6" t="s">
        <v>67</v>
      </c>
      <c r="E1725" s="6" t="s">
        <v>67</v>
      </c>
      <c r="F1725" s="6"/>
    </row>
    <row r="1726">
      <c r="A1726" s="6"/>
      <c r="B1726" s="6"/>
      <c r="C1726" s="6"/>
      <c r="D1726" s="6" t="s">
        <v>67</v>
      </c>
      <c r="E1726" s="6" t="s">
        <v>67</v>
      </c>
      <c r="F1726" s="6"/>
    </row>
    <row r="1727">
      <c r="A1727" s="6"/>
      <c r="B1727" s="6"/>
      <c r="C1727" s="6"/>
      <c r="D1727" s="6" t="s">
        <v>67</v>
      </c>
      <c r="E1727" s="6" t="s">
        <v>67</v>
      </c>
      <c r="F1727" s="6"/>
    </row>
    <row r="1728">
      <c r="A1728" s="6"/>
      <c r="B1728" s="6"/>
      <c r="C1728" s="6"/>
      <c r="D1728" s="6" t="s">
        <v>67</v>
      </c>
      <c r="E1728" s="6" t="s">
        <v>67</v>
      </c>
      <c r="F1728" s="6"/>
    </row>
    <row r="1729">
      <c r="A1729" s="6"/>
      <c r="B1729" s="6"/>
      <c r="C1729" s="6"/>
      <c r="D1729" s="6" t="s">
        <v>67</v>
      </c>
      <c r="E1729" s="6" t="s">
        <v>67</v>
      </c>
      <c r="F1729" s="6"/>
    </row>
    <row r="1730">
      <c r="A1730" s="6"/>
      <c r="B1730" s="6"/>
      <c r="C1730" s="6"/>
      <c r="D1730" s="6" t="s">
        <v>67</v>
      </c>
      <c r="E1730" s="6" t="s">
        <v>67</v>
      </c>
      <c r="F1730" s="6"/>
    </row>
    <row r="1731">
      <c r="A1731" s="6"/>
      <c r="B1731" s="6"/>
      <c r="C1731" s="6"/>
      <c r="D1731" s="6" t="s">
        <v>67</v>
      </c>
      <c r="E1731" s="6" t="s">
        <v>67</v>
      </c>
      <c r="F1731" s="6"/>
    </row>
    <row r="1732">
      <c r="A1732" s="6"/>
      <c r="B1732" s="6"/>
      <c r="C1732" s="6"/>
      <c r="D1732" s="6" t="s">
        <v>67</v>
      </c>
      <c r="E1732" s="6" t="s">
        <v>67</v>
      </c>
      <c r="F1732" s="6"/>
    </row>
    <row r="1733">
      <c r="A1733" s="6"/>
      <c r="B1733" s="6"/>
      <c r="C1733" s="6"/>
      <c r="D1733" s="6" t="s">
        <v>67</v>
      </c>
      <c r="E1733" s="6" t="s">
        <v>67</v>
      </c>
      <c r="F1733" s="6"/>
    </row>
    <row r="1734">
      <c r="A1734" s="6"/>
      <c r="B1734" s="6"/>
      <c r="C1734" s="6"/>
      <c r="D1734" s="6" t="s">
        <v>67</v>
      </c>
      <c r="E1734" s="6" t="s">
        <v>67</v>
      </c>
      <c r="F1734" s="6"/>
    </row>
    <row r="1735">
      <c r="A1735" s="6"/>
      <c r="B1735" s="6"/>
      <c r="C1735" s="6"/>
      <c r="D1735" s="6" t="s">
        <v>67</v>
      </c>
      <c r="E1735" s="6" t="s">
        <v>67</v>
      </c>
      <c r="F1735" s="6"/>
    </row>
    <row r="1736">
      <c r="A1736" s="6"/>
      <c r="B1736" s="6"/>
      <c r="C1736" s="6"/>
      <c r="D1736" s="6" t="s">
        <v>67</v>
      </c>
      <c r="E1736" s="6" t="s">
        <v>67</v>
      </c>
      <c r="F1736" s="6"/>
    </row>
    <row r="1737">
      <c r="A1737" s="6"/>
      <c r="B1737" s="6"/>
      <c r="C1737" s="6"/>
      <c r="D1737" s="6" t="s">
        <v>67</v>
      </c>
      <c r="E1737" s="6" t="s">
        <v>67</v>
      </c>
      <c r="F1737" s="6"/>
    </row>
    <row r="1738">
      <c r="A1738" s="6"/>
      <c r="B1738" s="6"/>
      <c r="C1738" s="6"/>
      <c r="D1738" s="6" t="s">
        <v>67</v>
      </c>
      <c r="E1738" s="6" t="s">
        <v>67</v>
      </c>
      <c r="F1738" s="6"/>
    </row>
    <row r="1739">
      <c r="A1739" s="6"/>
      <c r="B1739" s="6"/>
      <c r="C1739" s="6"/>
      <c r="D1739" s="6" t="s">
        <v>67</v>
      </c>
      <c r="E1739" s="6" t="s">
        <v>67</v>
      </c>
      <c r="F1739" s="6"/>
    </row>
    <row r="1740">
      <c r="A1740" s="6"/>
      <c r="B1740" s="6"/>
      <c r="C1740" s="6"/>
      <c r="D1740" s="6" t="s">
        <v>67</v>
      </c>
      <c r="E1740" s="6" t="s">
        <v>67</v>
      </c>
      <c r="F1740" s="6"/>
    </row>
    <row r="1741">
      <c r="A1741" s="6"/>
      <c r="B1741" s="6"/>
      <c r="C1741" s="6"/>
      <c r="D1741" s="6" t="s">
        <v>67</v>
      </c>
      <c r="E1741" s="6" t="s">
        <v>67</v>
      </c>
      <c r="F1741" s="6"/>
    </row>
    <row r="1742">
      <c r="A1742" s="6"/>
      <c r="B1742" s="6"/>
      <c r="C1742" s="6"/>
      <c r="D1742" s="6" t="s">
        <v>67</v>
      </c>
      <c r="E1742" s="6" t="s">
        <v>67</v>
      </c>
      <c r="F1742" s="6"/>
    </row>
    <row r="1743">
      <c r="A1743" s="6"/>
      <c r="B1743" s="6"/>
      <c r="C1743" s="6"/>
      <c r="D1743" s="6" t="s">
        <v>67</v>
      </c>
      <c r="E1743" s="6" t="s">
        <v>67</v>
      </c>
      <c r="F1743" s="6"/>
    </row>
    <row r="1744">
      <c r="A1744" s="6"/>
      <c r="B1744" s="6"/>
      <c r="C1744" s="6"/>
      <c r="D1744" s="6" t="s">
        <v>67</v>
      </c>
      <c r="E1744" s="6" t="s">
        <v>67</v>
      </c>
      <c r="F1744" s="6"/>
    </row>
    <row r="1745">
      <c r="A1745" s="6"/>
      <c r="B1745" s="6"/>
      <c r="C1745" s="6"/>
      <c r="D1745" s="6" t="s">
        <v>67</v>
      </c>
      <c r="E1745" s="6" t="s">
        <v>67</v>
      </c>
      <c r="F1745" s="6"/>
    </row>
    <row r="1746">
      <c r="A1746" s="6"/>
      <c r="B1746" s="6"/>
      <c r="C1746" s="6"/>
      <c r="D1746" s="6" t="s">
        <v>67</v>
      </c>
      <c r="E1746" s="6" t="s">
        <v>67</v>
      </c>
      <c r="F1746" s="6"/>
    </row>
    <row r="1747">
      <c r="A1747" s="6"/>
      <c r="B1747" s="6"/>
      <c r="C1747" s="6"/>
      <c r="D1747" s="6" t="s">
        <v>67</v>
      </c>
      <c r="E1747" s="6" t="s">
        <v>67</v>
      </c>
      <c r="F1747" s="6"/>
    </row>
    <row r="1748">
      <c r="A1748" s="6"/>
      <c r="B1748" s="6"/>
      <c r="C1748" s="6"/>
      <c r="D1748" s="6" t="s">
        <v>67</v>
      </c>
      <c r="E1748" s="6" t="s">
        <v>67</v>
      </c>
      <c r="F1748" s="6"/>
    </row>
    <row r="1749">
      <c r="A1749" s="6"/>
      <c r="B1749" s="6"/>
      <c r="C1749" s="6"/>
      <c r="D1749" s="6" t="s">
        <v>67</v>
      </c>
      <c r="E1749" s="6" t="s">
        <v>67</v>
      </c>
      <c r="F1749" s="6"/>
    </row>
    <row r="1750">
      <c r="A1750" s="6"/>
      <c r="B1750" s="6"/>
      <c r="C1750" s="6"/>
      <c r="D1750" s="6" t="s">
        <v>67</v>
      </c>
      <c r="E1750" s="6" t="s">
        <v>67</v>
      </c>
      <c r="F1750" s="6"/>
    </row>
    <row r="1751">
      <c r="A1751" s="6"/>
      <c r="B1751" s="6"/>
      <c r="C1751" s="6"/>
      <c r="D1751" s="6" t="s">
        <v>67</v>
      </c>
      <c r="E1751" s="6" t="s">
        <v>67</v>
      </c>
      <c r="F1751" s="6"/>
    </row>
    <row r="1752">
      <c r="A1752" s="6"/>
      <c r="B1752" s="6"/>
      <c r="C1752" s="6"/>
      <c r="D1752" s="6" t="s">
        <v>67</v>
      </c>
      <c r="E1752" s="6" t="s">
        <v>67</v>
      </c>
      <c r="F1752" s="6"/>
    </row>
    <row r="1753">
      <c r="A1753" s="6"/>
      <c r="B1753" s="6"/>
      <c r="C1753" s="6"/>
      <c r="D1753" s="6" t="s">
        <v>67</v>
      </c>
      <c r="E1753" s="6" t="s">
        <v>67</v>
      </c>
      <c r="F1753" s="6"/>
    </row>
    <row r="1754">
      <c r="A1754" s="6"/>
      <c r="B1754" s="6"/>
      <c r="C1754" s="6"/>
      <c r="D1754" s="6" t="s">
        <v>67</v>
      </c>
      <c r="E1754" s="6" t="s">
        <v>67</v>
      </c>
      <c r="F1754" s="6"/>
    </row>
    <row r="1755">
      <c r="A1755" s="6"/>
      <c r="B1755" s="6"/>
      <c r="C1755" s="6"/>
      <c r="D1755" s="6" t="s">
        <v>67</v>
      </c>
      <c r="E1755" s="6" t="s">
        <v>67</v>
      </c>
      <c r="F1755" s="6"/>
    </row>
    <row r="1756">
      <c r="A1756" s="6"/>
      <c r="B1756" s="6"/>
      <c r="C1756" s="6"/>
      <c r="D1756" s="6" t="s">
        <v>67</v>
      </c>
      <c r="E1756" s="6" t="s">
        <v>67</v>
      </c>
      <c r="F1756" s="6"/>
    </row>
    <row r="1757">
      <c r="A1757" s="6"/>
      <c r="B1757" s="6"/>
      <c r="C1757" s="6"/>
      <c r="D1757" s="6" t="s">
        <v>67</v>
      </c>
      <c r="E1757" s="6" t="s">
        <v>67</v>
      </c>
      <c r="F1757" s="6"/>
    </row>
    <row r="1758">
      <c r="A1758" s="6"/>
      <c r="B1758" s="6"/>
      <c r="C1758" s="6"/>
      <c r="D1758" s="6" t="s">
        <v>67</v>
      </c>
      <c r="E1758" s="6" t="s">
        <v>67</v>
      </c>
      <c r="F1758" s="6"/>
    </row>
    <row r="1759">
      <c r="A1759" s="6"/>
      <c r="B1759" s="6"/>
      <c r="C1759" s="6"/>
      <c r="D1759" s="6" t="s">
        <v>67</v>
      </c>
      <c r="E1759" s="6" t="s">
        <v>67</v>
      </c>
      <c r="F1759" s="6"/>
    </row>
    <row r="1760">
      <c r="A1760" s="6"/>
      <c r="B1760" s="6"/>
      <c r="C1760" s="6"/>
      <c r="D1760" s="6" t="s">
        <v>67</v>
      </c>
      <c r="E1760" s="6" t="s">
        <v>67</v>
      </c>
      <c r="F1760" s="6"/>
    </row>
    <row r="1761">
      <c r="A1761" s="6"/>
      <c r="B1761" s="6"/>
      <c r="C1761" s="6"/>
      <c r="D1761" s="6" t="s">
        <v>67</v>
      </c>
      <c r="E1761" s="6" t="s">
        <v>67</v>
      </c>
      <c r="F1761" s="6"/>
    </row>
    <row r="1762">
      <c r="A1762" s="6"/>
      <c r="B1762" s="6"/>
      <c r="C1762" s="6"/>
      <c r="D1762" s="6" t="s">
        <v>67</v>
      </c>
      <c r="E1762" s="6" t="s">
        <v>67</v>
      </c>
      <c r="F1762" s="6"/>
    </row>
    <row r="1763">
      <c r="A1763" s="6"/>
      <c r="B1763" s="6"/>
      <c r="C1763" s="6"/>
      <c r="D1763" s="6" t="s">
        <v>67</v>
      </c>
      <c r="E1763" s="6" t="s">
        <v>67</v>
      </c>
      <c r="F1763" s="6"/>
    </row>
    <row r="1764">
      <c r="A1764" s="6"/>
      <c r="B1764" s="6"/>
      <c r="C1764" s="6"/>
      <c r="D1764" s="6" t="s">
        <v>67</v>
      </c>
      <c r="E1764" s="6" t="s">
        <v>67</v>
      </c>
      <c r="F1764" s="6"/>
    </row>
    <row r="1765">
      <c r="A1765" s="6"/>
      <c r="B1765" s="6"/>
      <c r="C1765" s="6"/>
      <c r="D1765" s="6" t="s">
        <v>67</v>
      </c>
      <c r="E1765" s="6" t="s">
        <v>67</v>
      </c>
      <c r="F1765" s="6"/>
    </row>
    <row r="1766">
      <c r="A1766" s="6"/>
      <c r="B1766" s="6"/>
      <c r="C1766" s="6"/>
      <c r="D1766" s="6" t="s">
        <v>67</v>
      </c>
      <c r="E1766" s="6" t="s">
        <v>67</v>
      </c>
      <c r="F1766" s="6"/>
    </row>
    <row r="1767">
      <c r="A1767" s="6"/>
      <c r="B1767" s="6"/>
      <c r="C1767" s="6"/>
      <c r="D1767" s="6" t="s">
        <v>67</v>
      </c>
      <c r="E1767" s="6" t="s">
        <v>67</v>
      </c>
      <c r="F1767" s="6"/>
    </row>
    <row r="1768">
      <c r="A1768" s="6"/>
      <c r="B1768" s="6"/>
      <c r="C1768" s="6"/>
      <c r="D1768" s="6" t="s">
        <v>67</v>
      </c>
      <c r="E1768" s="6" t="s">
        <v>67</v>
      </c>
      <c r="F1768" s="6"/>
    </row>
    <row r="1769">
      <c r="A1769" s="6"/>
      <c r="B1769" s="6"/>
      <c r="C1769" s="6"/>
      <c r="D1769" s="6" t="s">
        <v>67</v>
      </c>
      <c r="E1769" s="6" t="s">
        <v>67</v>
      </c>
      <c r="F1769" s="6"/>
    </row>
    <row r="1770">
      <c r="A1770" s="6"/>
      <c r="B1770" s="6"/>
      <c r="C1770" s="6"/>
      <c r="D1770" s="6" t="s">
        <v>67</v>
      </c>
      <c r="E1770" s="6" t="s">
        <v>67</v>
      </c>
      <c r="F1770" s="6"/>
    </row>
    <row r="1771">
      <c r="A1771" s="6"/>
      <c r="B1771" s="6"/>
      <c r="C1771" s="6"/>
      <c r="D1771" s="6" t="s">
        <v>67</v>
      </c>
      <c r="E1771" s="6" t="s">
        <v>67</v>
      </c>
      <c r="F1771" s="6"/>
    </row>
    <row r="1772">
      <c r="A1772" s="6"/>
      <c r="B1772" s="6"/>
      <c r="C1772" s="6"/>
      <c r="D1772" s="6" t="s">
        <v>67</v>
      </c>
      <c r="E1772" s="6" t="s">
        <v>67</v>
      </c>
      <c r="F1772" s="6"/>
    </row>
    <row r="1773">
      <c r="A1773" s="6"/>
      <c r="B1773" s="6"/>
      <c r="C1773" s="6"/>
      <c r="D1773" s="6" t="s">
        <v>67</v>
      </c>
      <c r="E1773" s="6" t="s">
        <v>67</v>
      </c>
      <c r="F1773" s="6"/>
    </row>
    <row r="1774">
      <c r="A1774" s="6"/>
      <c r="B1774" s="6"/>
      <c r="C1774" s="6"/>
      <c r="D1774" s="6" t="s">
        <v>67</v>
      </c>
      <c r="E1774" s="6" t="s">
        <v>67</v>
      </c>
      <c r="F1774" s="6"/>
    </row>
    <row r="1775">
      <c r="A1775" s="6"/>
      <c r="B1775" s="6"/>
      <c r="C1775" s="6"/>
      <c r="D1775" s="6" t="s">
        <v>67</v>
      </c>
      <c r="E1775" s="6" t="s">
        <v>67</v>
      </c>
      <c r="F1775" s="6"/>
    </row>
    <row r="1776">
      <c r="A1776" s="6"/>
      <c r="B1776" s="6"/>
      <c r="C1776" s="6"/>
      <c r="D1776" s="6" t="s">
        <v>67</v>
      </c>
      <c r="E1776" s="6" t="s">
        <v>67</v>
      </c>
      <c r="F1776" s="6"/>
    </row>
    <row r="1777">
      <c r="A1777" s="6"/>
      <c r="B1777" s="6"/>
      <c r="C1777" s="6"/>
      <c r="D1777" s="6" t="s">
        <v>67</v>
      </c>
      <c r="E1777" s="6" t="s">
        <v>67</v>
      </c>
      <c r="F1777" s="6"/>
    </row>
    <row r="1778">
      <c r="A1778" s="6"/>
      <c r="B1778" s="6"/>
      <c r="C1778" s="6"/>
      <c r="D1778" s="6" t="s">
        <v>67</v>
      </c>
      <c r="E1778" s="6" t="s">
        <v>67</v>
      </c>
      <c r="F1778" s="6"/>
    </row>
    <row r="1779">
      <c r="A1779" s="6"/>
      <c r="B1779" s="6"/>
      <c r="C1779" s="6"/>
      <c r="D1779" s="6" t="s">
        <v>67</v>
      </c>
      <c r="E1779" s="6" t="s">
        <v>67</v>
      </c>
      <c r="F1779" s="6"/>
    </row>
    <row r="1780">
      <c r="A1780" s="6"/>
      <c r="B1780" s="6"/>
      <c r="C1780" s="6"/>
      <c r="D1780" s="6" t="s">
        <v>67</v>
      </c>
      <c r="E1780" s="6" t="s">
        <v>67</v>
      </c>
      <c r="F1780" s="6"/>
    </row>
    <row r="1781">
      <c r="A1781" s="6"/>
      <c r="B1781" s="6"/>
      <c r="C1781" s="6"/>
      <c r="D1781" s="6" t="s">
        <v>67</v>
      </c>
      <c r="E1781" s="6" t="s">
        <v>67</v>
      </c>
      <c r="F1781" s="6"/>
    </row>
    <row r="1782">
      <c r="A1782" s="6"/>
      <c r="B1782" s="6"/>
      <c r="C1782" s="6"/>
      <c r="D1782" s="6" t="s">
        <v>67</v>
      </c>
      <c r="E1782" s="6" t="s">
        <v>67</v>
      </c>
      <c r="F1782" s="6"/>
    </row>
    <row r="1783">
      <c r="A1783" s="6"/>
      <c r="B1783" s="6"/>
      <c r="C1783" s="6"/>
      <c r="D1783" s="6" t="s">
        <v>67</v>
      </c>
      <c r="E1783" s="6" t="s">
        <v>67</v>
      </c>
      <c r="F1783" s="6"/>
    </row>
    <row r="1784">
      <c r="A1784" s="6"/>
      <c r="B1784" s="6"/>
      <c r="C1784" s="6"/>
      <c r="D1784" s="6" t="s">
        <v>67</v>
      </c>
      <c r="E1784" s="6" t="s">
        <v>67</v>
      </c>
      <c r="F1784" s="6"/>
    </row>
    <row r="1785">
      <c r="A1785" s="6"/>
      <c r="B1785" s="6"/>
      <c r="C1785" s="6"/>
      <c r="D1785" s="6" t="s">
        <v>67</v>
      </c>
      <c r="E1785" s="6" t="s">
        <v>67</v>
      </c>
      <c r="F1785" s="6"/>
    </row>
    <row r="1786">
      <c r="A1786" s="6"/>
      <c r="B1786" s="6"/>
      <c r="C1786" s="6"/>
      <c r="D1786" s="6" t="s">
        <v>67</v>
      </c>
      <c r="E1786" s="6" t="s">
        <v>67</v>
      </c>
      <c r="F1786" s="6"/>
    </row>
    <row r="1787">
      <c r="A1787" s="6"/>
      <c r="B1787" s="6"/>
      <c r="C1787" s="6"/>
      <c r="D1787" s="6" t="s">
        <v>67</v>
      </c>
      <c r="E1787" s="6" t="s">
        <v>67</v>
      </c>
      <c r="F1787" s="6"/>
    </row>
    <row r="1788">
      <c r="A1788" s="6"/>
      <c r="B1788" s="6"/>
      <c r="C1788" s="6"/>
      <c r="D1788" s="6" t="s">
        <v>67</v>
      </c>
      <c r="E1788" s="6" t="s">
        <v>67</v>
      </c>
      <c r="F1788" s="6"/>
    </row>
    <row r="1789">
      <c r="A1789" s="6"/>
      <c r="B1789" s="6"/>
      <c r="C1789" s="6"/>
      <c r="D1789" s="6" t="s">
        <v>67</v>
      </c>
      <c r="E1789" s="6" t="s">
        <v>67</v>
      </c>
      <c r="F1789" s="6"/>
    </row>
    <row r="1790">
      <c r="A1790" s="6"/>
      <c r="B1790" s="6"/>
      <c r="C1790" s="6"/>
      <c r="D1790" s="6" t="s">
        <v>67</v>
      </c>
      <c r="E1790" s="6" t="s">
        <v>67</v>
      </c>
      <c r="F1790" s="6"/>
    </row>
    <row r="1791">
      <c r="A1791" s="6"/>
      <c r="B1791" s="6"/>
      <c r="C1791" s="6"/>
      <c r="D1791" s="6" t="s">
        <v>67</v>
      </c>
      <c r="E1791" s="6" t="s">
        <v>67</v>
      </c>
      <c r="F1791" s="6"/>
    </row>
    <row r="1792">
      <c r="A1792" s="6"/>
      <c r="B1792" s="6"/>
      <c r="C1792" s="6"/>
      <c r="D1792" s="6" t="s">
        <v>67</v>
      </c>
      <c r="E1792" s="6" t="s">
        <v>67</v>
      </c>
      <c r="F1792" s="6"/>
    </row>
    <row r="1793">
      <c r="A1793" s="6"/>
      <c r="B1793" s="6"/>
      <c r="C1793" s="6"/>
      <c r="D1793" s="6" t="s">
        <v>67</v>
      </c>
      <c r="E1793" s="6" t="s">
        <v>67</v>
      </c>
      <c r="F1793" s="6"/>
    </row>
    <row r="1794">
      <c r="A1794" s="6"/>
      <c r="B1794" s="6"/>
      <c r="C1794" s="6"/>
      <c r="D1794" s="6" t="s">
        <v>67</v>
      </c>
      <c r="E1794" s="6" t="s">
        <v>67</v>
      </c>
      <c r="F1794" s="6"/>
    </row>
    <row r="1795">
      <c r="A1795" s="6"/>
      <c r="B1795" s="6"/>
      <c r="C1795" s="6"/>
      <c r="D1795" s="6" t="s">
        <v>67</v>
      </c>
      <c r="E1795" s="6" t="s">
        <v>67</v>
      </c>
      <c r="F1795" s="6"/>
    </row>
    <row r="1796">
      <c r="A1796" s="6"/>
      <c r="B1796" s="6"/>
      <c r="C1796" s="6"/>
      <c r="D1796" s="6" t="s">
        <v>67</v>
      </c>
      <c r="E1796" s="6" t="s">
        <v>67</v>
      </c>
      <c r="F1796" s="6"/>
    </row>
    <row r="1797">
      <c r="A1797" s="6"/>
      <c r="B1797" s="6"/>
      <c r="C1797" s="6"/>
      <c r="D1797" s="6" t="s">
        <v>67</v>
      </c>
      <c r="E1797" s="6" t="s">
        <v>67</v>
      </c>
      <c r="F1797" s="6"/>
    </row>
    <row r="1798">
      <c r="A1798" s="6"/>
      <c r="B1798" s="6"/>
      <c r="C1798" s="6"/>
      <c r="D1798" s="6" t="s">
        <v>67</v>
      </c>
      <c r="E1798" s="6" t="s">
        <v>67</v>
      </c>
      <c r="F1798" s="6"/>
    </row>
    <row r="1799">
      <c r="A1799" s="6"/>
      <c r="B1799" s="6"/>
      <c r="C1799" s="6"/>
      <c r="D1799" s="6" t="s">
        <v>67</v>
      </c>
      <c r="E1799" s="6" t="s">
        <v>67</v>
      </c>
      <c r="F1799" s="6"/>
    </row>
    <row r="1800">
      <c r="A1800" s="6"/>
      <c r="B1800" s="6"/>
      <c r="C1800" s="6"/>
      <c r="D1800" s="6" t="s">
        <v>67</v>
      </c>
      <c r="E1800" s="6" t="s">
        <v>67</v>
      </c>
      <c r="F1800" s="6"/>
    </row>
    <row r="1801">
      <c r="A1801" s="6"/>
      <c r="B1801" s="6"/>
      <c r="C1801" s="6"/>
      <c r="D1801" s="6" t="s">
        <v>67</v>
      </c>
      <c r="E1801" s="6" t="s">
        <v>67</v>
      </c>
      <c r="F1801" s="6"/>
    </row>
    <row r="1802">
      <c r="A1802" s="6"/>
      <c r="B1802" s="6"/>
      <c r="C1802" s="6"/>
      <c r="D1802" s="6" t="s">
        <v>67</v>
      </c>
      <c r="E1802" s="6" t="s">
        <v>67</v>
      </c>
      <c r="F1802" s="6"/>
    </row>
    <row r="1803">
      <c r="A1803" s="6"/>
      <c r="B1803" s="6"/>
      <c r="C1803" s="6"/>
      <c r="D1803" s="6" t="s">
        <v>67</v>
      </c>
      <c r="E1803" s="6" t="s">
        <v>67</v>
      </c>
      <c r="F1803" s="6"/>
    </row>
    <row r="1804">
      <c r="A1804" s="6"/>
      <c r="B1804" s="6"/>
      <c r="C1804" s="6"/>
      <c r="D1804" s="6" t="s">
        <v>67</v>
      </c>
      <c r="E1804" s="6" t="s">
        <v>67</v>
      </c>
      <c r="F1804" s="6"/>
    </row>
    <row r="1805">
      <c r="A1805" s="6"/>
      <c r="B1805" s="6"/>
      <c r="C1805" s="6"/>
      <c r="D1805" s="6" t="s">
        <v>67</v>
      </c>
      <c r="E1805" s="6" t="s">
        <v>67</v>
      </c>
      <c r="F1805" s="6"/>
    </row>
    <row r="1806">
      <c r="A1806" s="6"/>
      <c r="B1806" s="6"/>
      <c r="C1806" s="6"/>
      <c r="D1806" s="6" t="s">
        <v>67</v>
      </c>
      <c r="E1806" s="6" t="s">
        <v>67</v>
      </c>
      <c r="F1806" s="6"/>
    </row>
    <row r="1807">
      <c r="A1807" s="6"/>
      <c r="B1807" s="6"/>
      <c r="C1807" s="6"/>
      <c r="D1807" s="6" t="s">
        <v>67</v>
      </c>
      <c r="E1807" s="6" t="s">
        <v>67</v>
      </c>
      <c r="F1807" s="6"/>
    </row>
    <row r="1808">
      <c r="A1808" s="6"/>
      <c r="B1808" s="6"/>
      <c r="C1808" s="6"/>
      <c r="D1808" s="6" t="s">
        <v>67</v>
      </c>
      <c r="E1808" s="6" t="s">
        <v>67</v>
      </c>
      <c r="F1808" s="6"/>
    </row>
    <row r="1809">
      <c r="A1809" s="6"/>
      <c r="B1809" s="6"/>
      <c r="C1809" s="6"/>
      <c r="D1809" s="6" t="s">
        <v>67</v>
      </c>
      <c r="E1809" s="6" t="s">
        <v>67</v>
      </c>
      <c r="F1809" s="6"/>
    </row>
    <row r="1810">
      <c r="A1810" s="6"/>
      <c r="B1810" s="6"/>
      <c r="C1810" s="6"/>
      <c r="D1810" s="6" t="s">
        <v>67</v>
      </c>
      <c r="E1810" s="6" t="s">
        <v>67</v>
      </c>
      <c r="F1810" s="6"/>
    </row>
    <row r="1811">
      <c r="A1811" s="6"/>
      <c r="B1811" s="6"/>
      <c r="C1811" s="6"/>
      <c r="D1811" s="6" t="s">
        <v>67</v>
      </c>
      <c r="E1811" s="6" t="s">
        <v>67</v>
      </c>
      <c r="F1811" s="6"/>
    </row>
    <row r="1812">
      <c r="A1812" s="6"/>
      <c r="B1812" s="6"/>
      <c r="C1812" s="6"/>
      <c r="D1812" s="6" t="s">
        <v>67</v>
      </c>
      <c r="E1812" s="6" t="s">
        <v>67</v>
      </c>
      <c r="F1812" s="6"/>
    </row>
    <row r="1813">
      <c r="A1813" s="6"/>
      <c r="B1813" s="6"/>
      <c r="C1813" s="6"/>
      <c r="D1813" s="6" t="s">
        <v>67</v>
      </c>
      <c r="E1813" s="6" t="s">
        <v>67</v>
      </c>
      <c r="F1813" s="6"/>
    </row>
    <row r="1814">
      <c r="A1814" s="6"/>
      <c r="B1814" s="6"/>
      <c r="C1814" s="6"/>
      <c r="D1814" s="6" t="s">
        <v>67</v>
      </c>
      <c r="E1814" s="6" t="s">
        <v>67</v>
      </c>
      <c r="F1814" s="6"/>
    </row>
    <row r="1815">
      <c r="A1815" s="6"/>
      <c r="B1815" s="6"/>
      <c r="C1815" s="6"/>
      <c r="D1815" s="6" t="s">
        <v>67</v>
      </c>
      <c r="E1815" s="6" t="s">
        <v>67</v>
      </c>
      <c r="F1815" s="6"/>
    </row>
    <row r="1816">
      <c r="A1816" s="6"/>
      <c r="B1816" s="6"/>
      <c r="C1816" s="6"/>
      <c r="D1816" s="6" t="s">
        <v>67</v>
      </c>
      <c r="E1816" s="6" t="s">
        <v>67</v>
      </c>
      <c r="F1816" s="6"/>
    </row>
    <row r="1817">
      <c r="A1817" s="6"/>
      <c r="B1817" s="6"/>
      <c r="C1817" s="6"/>
      <c r="D1817" s="6" t="s">
        <v>67</v>
      </c>
      <c r="E1817" s="6" t="s">
        <v>67</v>
      </c>
      <c r="F1817" s="6"/>
    </row>
    <row r="1818">
      <c r="A1818" s="6"/>
      <c r="B1818" s="6"/>
      <c r="C1818" s="6"/>
      <c r="D1818" s="6" t="s">
        <v>67</v>
      </c>
      <c r="E1818" s="6" t="s">
        <v>67</v>
      </c>
      <c r="F1818" s="6"/>
    </row>
    <row r="1819">
      <c r="A1819" s="6"/>
      <c r="B1819" s="6"/>
      <c r="C1819" s="6"/>
      <c r="D1819" s="6" t="s">
        <v>67</v>
      </c>
      <c r="E1819" s="6" t="s">
        <v>67</v>
      </c>
      <c r="F1819" s="6"/>
    </row>
    <row r="1820">
      <c r="A1820" s="6"/>
      <c r="B1820" s="6"/>
      <c r="C1820" s="6"/>
      <c r="D1820" s="6" t="s">
        <v>67</v>
      </c>
      <c r="E1820" s="6" t="s">
        <v>67</v>
      </c>
      <c r="F1820" s="6"/>
    </row>
    <row r="1821">
      <c r="A1821" s="6"/>
      <c r="B1821" s="6"/>
      <c r="C1821" s="6"/>
      <c r="D1821" s="6" t="s">
        <v>67</v>
      </c>
      <c r="E1821" s="6" t="s">
        <v>67</v>
      </c>
      <c r="F1821" s="6"/>
    </row>
    <row r="1822">
      <c r="A1822" s="6"/>
      <c r="B1822" s="6"/>
      <c r="C1822" s="6"/>
      <c r="D1822" s="6" t="s">
        <v>67</v>
      </c>
      <c r="E1822" s="6" t="s">
        <v>67</v>
      </c>
      <c r="F1822" s="6"/>
    </row>
    <row r="1823">
      <c r="A1823" s="6"/>
      <c r="B1823" s="6"/>
      <c r="C1823" s="6"/>
      <c r="D1823" s="6" t="s">
        <v>67</v>
      </c>
      <c r="E1823" s="6" t="s">
        <v>67</v>
      </c>
      <c r="F1823" s="6"/>
    </row>
    <row r="1824">
      <c r="A1824" s="6"/>
      <c r="B1824" s="6"/>
      <c r="C1824" s="6"/>
      <c r="D1824" s="6" t="s">
        <v>67</v>
      </c>
      <c r="E1824" s="6" t="s">
        <v>67</v>
      </c>
      <c r="F1824" s="6"/>
    </row>
    <row r="1825">
      <c r="A1825" s="6"/>
      <c r="B1825" s="6"/>
      <c r="C1825" s="6"/>
      <c r="D1825" s="6" t="s">
        <v>67</v>
      </c>
      <c r="E1825" s="6" t="s">
        <v>67</v>
      </c>
      <c r="F1825" s="6"/>
    </row>
    <row r="1826">
      <c r="A1826" s="6"/>
      <c r="B1826" s="6"/>
      <c r="C1826" s="6"/>
      <c r="D1826" s="6" t="s">
        <v>67</v>
      </c>
      <c r="E1826" s="6" t="s">
        <v>67</v>
      </c>
      <c r="F1826" s="6"/>
    </row>
    <row r="1827">
      <c r="A1827" s="6"/>
      <c r="B1827" s="6"/>
      <c r="C1827" s="6"/>
      <c r="D1827" s="6" t="s">
        <v>67</v>
      </c>
      <c r="E1827" s="6" t="s">
        <v>67</v>
      </c>
      <c r="F1827" s="6"/>
    </row>
    <row r="1828">
      <c r="A1828" s="6"/>
      <c r="B1828" s="6"/>
      <c r="C1828" s="6"/>
      <c r="D1828" s="6" t="s">
        <v>67</v>
      </c>
      <c r="E1828" s="6" t="s">
        <v>67</v>
      </c>
      <c r="F1828" s="6"/>
    </row>
    <row r="1829">
      <c r="A1829" s="6"/>
      <c r="B1829" s="6"/>
      <c r="C1829" s="6"/>
      <c r="D1829" s="6" t="s">
        <v>67</v>
      </c>
      <c r="E1829" s="6" t="s">
        <v>67</v>
      </c>
      <c r="F1829" s="6"/>
    </row>
    <row r="1830">
      <c r="A1830" s="6"/>
      <c r="B1830" s="6"/>
      <c r="C1830" s="6"/>
      <c r="D1830" s="6" t="s">
        <v>67</v>
      </c>
      <c r="E1830" s="6" t="s">
        <v>67</v>
      </c>
      <c r="F1830" s="6"/>
    </row>
    <row r="1831">
      <c r="A1831" s="6"/>
      <c r="B1831" s="6"/>
      <c r="C1831" s="6"/>
      <c r="D1831" s="6" t="s">
        <v>67</v>
      </c>
      <c r="E1831" s="6" t="s">
        <v>67</v>
      </c>
      <c r="F1831" s="6"/>
    </row>
    <row r="1832">
      <c r="A1832" s="6"/>
      <c r="B1832" s="6"/>
      <c r="C1832" s="6"/>
      <c r="D1832" s="6" t="s">
        <v>67</v>
      </c>
      <c r="E1832" s="6" t="s">
        <v>67</v>
      </c>
      <c r="F1832" s="6"/>
    </row>
    <row r="1833">
      <c r="A1833" s="6"/>
      <c r="B1833" s="6"/>
      <c r="C1833" s="6"/>
      <c r="D1833" s="6" t="s">
        <v>67</v>
      </c>
      <c r="E1833" s="6" t="s">
        <v>67</v>
      </c>
      <c r="F1833" s="6"/>
    </row>
    <row r="1834">
      <c r="A1834" s="6"/>
      <c r="B1834" s="6"/>
      <c r="C1834" s="6"/>
      <c r="D1834" s="6" t="s">
        <v>67</v>
      </c>
      <c r="E1834" s="6" t="s">
        <v>67</v>
      </c>
      <c r="F1834" s="6"/>
    </row>
    <row r="1835">
      <c r="A1835" s="6"/>
      <c r="B1835" s="6"/>
      <c r="C1835" s="6"/>
      <c r="D1835" s="6" t="s">
        <v>67</v>
      </c>
      <c r="E1835" s="6" t="s">
        <v>67</v>
      </c>
      <c r="F1835" s="6"/>
    </row>
    <row r="1836">
      <c r="A1836" s="6"/>
      <c r="B1836" s="6"/>
      <c r="C1836" s="6"/>
      <c r="D1836" s="6" t="s">
        <v>67</v>
      </c>
      <c r="E1836" s="6" t="s">
        <v>67</v>
      </c>
      <c r="F1836" s="6"/>
    </row>
    <row r="1837">
      <c r="A1837" s="6"/>
      <c r="B1837" s="6"/>
      <c r="C1837" s="6"/>
      <c r="D1837" s="6" t="s">
        <v>67</v>
      </c>
      <c r="E1837" s="6" t="s">
        <v>67</v>
      </c>
      <c r="F1837" s="6"/>
    </row>
    <row r="1838">
      <c r="A1838" s="6"/>
      <c r="B1838" s="6"/>
      <c r="C1838" s="6"/>
      <c r="D1838" s="6" t="s">
        <v>67</v>
      </c>
      <c r="E1838" s="6" t="s">
        <v>67</v>
      </c>
      <c r="F1838" s="6"/>
    </row>
    <row r="1839">
      <c r="A1839" s="6"/>
      <c r="B1839" s="6"/>
      <c r="C1839" s="6"/>
      <c r="D1839" s="6" t="s">
        <v>67</v>
      </c>
      <c r="E1839" s="6" t="s">
        <v>67</v>
      </c>
      <c r="F1839" s="6"/>
    </row>
    <row r="1840">
      <c r="A1840" s="6"/>
      <c r="B1840" s="6"/>
      <c r="C1840" s="6"/>
      <c r="D1840" s="6" t="s">
        <v>67</v>
      </c>
      <c r="E1840" s="6" t="s">
        <v>67</v>
      </c>
      <c r="F1840" s="6"/>
    </row>
    <row r="1841">
      <c r="A1841" s="6"/>
      <c r="B1841" s="6"/>
      <c r="C1841" s="6"/>
      <c r="D1841" s="6" t="s">
        <v>67</v>
      </c>
      <c r="E1841" s="6" t="s">
        <v>67</v>
      </c>
      <c r="F1841" s="6"/>
    </row>
    <row r="1842">
      <c r="A1842" s="6"/>
      <c r="B1842" s="6"/>
      <c r="C1842" s="6"/>
      <c r="D1842" s="6" t="s">
        <v>67</v>
      </c>
      <c r="E1842" s="6" t="s">
        <v>67</v>
      </c>
      <c r="F1842" s="6"/>
    </row>
    <row r="1843">
      <c r="A1843" s="6"/>
      <c r="B1843" s="6"/>
      <c r="C1843" s="6"/>
      <c r="D1843" s="6" t="s">
        <v>67</v>
      </c>
      <c r="E1843" s="6" t="s">
        <v>67</v>
      </c>
      <c r="F1843" s="6"/>
    </row>
    <row r="1844">
      <c r="A1844" s="6"/>
      <c r="B1844" s="6"/>
      <c r="C1844" s="6"/>
      <c r="D1844" s="6" t="s">
        <v>67</v>
      </c>
      <c r="E1844" s="6" t="s">
        <v>67</v>
      </c>
      <c r="F1844" s="6"/>
    </row>
    <row r="1845">
      <c r="A1845" s="6"/>
      <c r="B1845" s="6"/>
      <c r="C1845" s="6"/>
      <c r="D1845" s="6" t="s">
        <v>67</v>
      </c>
      <c r="E1845" s="6" t="s">
        <v>67</v>
      </c>
      <c r="F1845" s="6"/>
    </row>
    <row r="1846">
      <c r="A1846" s="6"/>
      <c r="B1846" s="6"/>
      <c r="C1846" s="6"/>
      <c r="D1846" s="6" t="s">
        <v>67</v>
      </c>
      <c r="E1846" s="6" t="s">
        <v>67</v>
      </c>
      <c r="F1846" s="6"/>
    </row>
    <row r="1847">
      <c r="A1847" s="6"/>
      <c r="B1847" s="6"/>
      <c r="C1847" s="6"/>
      <c r="D1847" s="6" t="s">
        <v>67</v>
      </c>
      <c r="E1847" s="6" t="s">
        <v>67</v>
      </c>
      <c r="F1847" s="6"/>
    </row>
    <row r="1848">
      <c r="A1848" s="6"/>
      <c r="B1848" s="6"/>
      <c r="C1848" s="6"/>
      <c r="D1848" s="6" t="s">
        <v>67</v>
      </c>
      <c r="E1848" s="6" t="s">
        <v>67</v>
      </c>
      <c r="F1848" s="6"/>
    </row>
    <row r="1849">
      <c r="A1849" s="6"/>
      <c r="B1849" s="6"/>
      <c r="C1849" s="6"/>
      <c r="D1849" s="6" t="s">
        <v>67</v>
      </c>
      <c r="E1849" s="6" t="s">
        <v>67</v>
      </c>
      <c r="F1849" s="6"/>
    </row>
    <row r="1850">
      <c r="A1850" s="6"/>
      <c r="B1850" s="6"/>
      <c r="C1850" s="6"/>
      <c r="D1850" s="6" t="s">
        <v>67</v>
      </c>
      <c r="E1850" s="6" t="s">
        <v>67</v>
      </c>
      <c r="F1850" s="6"/>
    </row>
    <row r="1851">
      <c r="A1851" s="6"/>
      <c r="B1851" s="6"/>
      <c r="C1851" s="6"/>
      <c r="D1851" s="6" t="s">
        <v>67</v>
      </c>
      <c r="E1851" s="6" t="s">
        <v>67</v>
      </c>
      <c r="F1851" s="6"/>
    </row>
    <row r="1852">
      <c r="A1852" s="6"/>
      <c r="B1852" s="6"/>
      <c r="C1852" s="6"/>
      <c r="D1852" s="6" t="s">
        <v>67</v>
      </c>
      <c r="E1852" s="6" t="s">
        <v>67</v>
      </c>
      <c r="F1852" s="6"/>
    </row>
    <row r="1853">
      <c r="A1853" s="6"/>
      <c r="B1853" s="6"/>
      <c r="C1853" s="6"/>
      <c r="D1853" s="6" t="s">
        <v>67</v>
      </c>
      <c r="E1853" s="6" t="s">
        <v>67</v>
      </c>
      <c r="F1853" s="6"/>
    </row>
    <row r="1854">
      <c r="A1854" s="6"/>
      <c r="B1854" s="6"/>
      <c r="C1854" s="6"/>
      <c r="D1854" s="6" t="s">
        <v>67</v>
      </c>
      <c r="E1854" s="6" t="s">
        <v>67</v>
      </c>
      <c r="F1854" s="6"/>
    </row>
    <row r="1855">
      <c r="A1855" s="6"/>
      <c r="B1855" s="6"/>
      <c r="C1855" s="6"/>
      <c r="D1855" s="6" t="s">
        <v>67</v>
      </c>
      <c r="E1855" s="6" t="s">
        <v>67</v>
      </c>
      <c r="F1855" s="6"/>
    </row>
    <row r="1856">
      <c r="A1856" s="6"/>
      <c r="B1856" s="6"/>
      <c r="C1856" s="6"/>
      <c r="D1856" s="6" t="s">
        <v>67</v>
      </c>
      <c r="E1856" s="6" t="s">
        <v>67</v>
      </c>
      <c r="F1856" s="6"/>
    </row>
    <row r="1857">
      <c r="A1857" s="6"/>
      <c r="B1857" s="6"/>
      <c r="C1857" s="6"/>
      <c r="D1857" s="6" t="s">
        <v>67</v>
      </c>
      <c r="E1857" s="6" t="s">
        <v>67</v>
      </c>
      <c r="F1857" s="6"/>
    </row>
    <row r="1858">
      <c r="A1858" s="6"/>
      <c r="B1858" s="6"/>
      <c r="C1858" s="6"/>
      <c r="D1858" s="6" t="s">
        <v>67</v>
      </c>
      <c r="E1858" s="6" t="s">
        <v>67</v>
      </c>
      <c r="F1858" s="6"/>
    </row>
    <row r="1859">
      <c r="A1859" s="6"/>
      <c r="B1859" s="6"/>
      <c r="C1859" s="6"/>
      <c r="D1859" s="6" t="s">
        <v>67</v>
      </c>
      <c r="E1859" s="6" t="s">
        <v>67</v>
      </c>
      <c r="F1859" s="6"/>
    </row>
    <row r="1860">
      <c r="A1860" s="6"/>
      <c r="B1860" s="6"/>
      <c r="C1860" s="6"/>
      <c r="D1860" s="6" t="s">
        <v>67</v>
      </c>
      <c r="E1860" s="6" t="s">
        <v>67</v>
      </c>
      <c r="F1860" s="6"/>
    </row>
    <row r="1861">
      <c r="A1861" s="6"/>
      <c r="B1861" s="6"/>
      <c r="C1861" s="6"/>
      <c r="D1861" s="6" t="s">
        <v>67</v>
      </c>
      <c r="E1861" s="6" t="s">
        <v>67</v>
      </c>
      <c r="F1861" s="6"/>
    </row>
    <row r="1862">
      <c r="A1862" s="6"/>
      <c r="B1862" s="6"/>
      <c r="C1862" s="6"/>
      <c r="D1862" s="6" t="s">
        <v>67</v>
      </c>
      <c r="E1862" s="6" t="s">
        <v>67</v>
      </c>
      <c r="F1862" s="6"/>
    </row>
    <row r="1863">
      <c r="A1863" s="6"/>
      <c r="B1863" s="6"/>
      <c r="C1863" s="6"/>
      <c r="D1863" s="6" t="s">
        <v>67</v>
      </c>
      <c r="E1863" s="6" t="s">
        <v>67</v>
      </c>
      <c r="F1863" s="6"/>
    </row>
    <row r="1864">
      <c r="A1864" s="6"/>
      <c r="B1864" s="6"/>
      <c r="C1864" s="6"/>
      <c r="D1864" s="6" t="s">
        <v>67</v>
      </c>
      <c r="E1864" s="6" t="s">
        <v>67</v>
      </c>
      <c r="F1864" s="6"/>
    </row>
    <row r="1865">
      <c r="A1865" s="6"/>
      <c r="B1865" s="6"/>
      <c r="C1865" s="6"/>
      <c r="D1865" s="6" t="s">
        <v>67</v>
      </c>
      <c r="E1865" s="6" t="s">
        <v>67</v>
      </c>
      <c r="F1865" s="6"/>
    </row>
    <row r="1866">
      <c r="A1866" s="6"/>
      <c r="B1866" s="6"/>
      <c r="C1866" s="6"/>
      <c r="D1866" s="6" t="s">
        <v>67</v>
      </c>
      <c r="E1866" s="6" t="s">
        <v>67</v>
      </c>
      <c r="F186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38"/>
    <col customWidth="1" min="3" max="3" width="16.75"/>
    <col customWidth="1" min="4" max="4" width="20.63"/>
    <col customWidth="1" min="5" max="5" width="13.13"/>
    <col customWidth="1" min="6" max="6" width="13.5"/>
    <col customWidth="1" min="7" max="7" width="14.38"/>
    <col customWidth="1" min="8" max="8" width="12.5"/>
    <col customWidth="1" min="9" max="9" width="16.13"/>
    <col customWidth="1" min="10" max="10" width="15.25"/>
    <col customWidth="1" min="11" max="11" width="28.5"/>
    <col customWidth="1" min="12" max="12" width="20.0"/>
    <col customWidth="1" min="13" max="13" width="17.75"/>
    <col customWidth="1" min="14" max="14" width="19.88"/>
    <col customWidth="1" min="15" max="15" width="12.5"/>
    <col customWidth="1" min="16" max="16" width="17.63"/>
    <col customWidth="1" min="19" max="19" width="24.0"/>
    <col customWidth="1" min="20" max="20" width="18.13"/>
    <col customWidth="1" min="21" max="21" width="23.75"/>
    <col customWidth="1" min="22" max="22" width="20.63"/>
    <col customWidth="1" min="23" max="23" width="13.88"/>
    <col customWidth="1" min="24" max="24" width="17.38"/>
    <col customWidth="1" min="25" max="25" width="16.25"/>
    <col customWidth="1" min="26" max="26" width="23.88"/>
    <col customWidth="1" min="27" max="27" width="20.38"/>
    <col customWidth="1" min="28" max="28" width="18.88"/>
    <col customWidth="1" min="29" max="29" width="15.63"/>
    <col customWidth="1" min="30" max="30" width="11.63"/>
    <col customWidth="1" min="31" max="31" width="17.0"/>
  </cols>
  <sheetData>
    <row r="1">
      <c r="A1" s="10" t="str">
        <f>IFERROR(__xludf.DUMMYFUNCTION("QUERY(
  clean_data!A:E,
  ""SELECT Col4, SUM(Col3)
   WHERE Col5 &lt;&gt; 'PIB'
     AND Col5 IS NOT NULL
     AND Col3 IS NOT NULL
   GROUP BY Col4
   ORDER BY Col4
   LABEL Col4 'Año', SUM(Col3) 'Gasto total (MM$)'"",
  1
)
"),"Año")</f>
        <v>Año</v>
      </c>
      <c r="B1" s="10" t="str">
        <f>IFERROR(__xludf.DUMMYFUNCTION("""COMPUTED_VALUE"""),"Gasto total (MM$)")</f>
        <v>Gasto total (MM$)</v>
      </c>
      <c r="C1" s="6"/>
    </row>
    <row r="2">
      <c r="A2" s="11">
        <f>IFERROR(__xludf.DUMMYFUNCTION("""COMPUTED_VALUE"""),1980.0)</f>
        <v>1980</v>
      </c>
      <c r="B2" s="11">
        <f>IFERROR(__xludf.DUMMYFUNCTION("""COMPUTED_VALUE"""),55.76845929469088)</f>
        <v>55.76845929</v>
      </c>
      <c r="C2" s="6"/>
    </row>
    <row r="3">
      <c r="A3" s="11">
        <f>IFERROR(__xludf.DUMMYFUNCTION("""COMPUTED_VALUE"""),1981.0)</f>
        <v>1981</v>
      </c>
      <c r="B3" s="11">
        <f>IFERROR(__xludf.DUMMYFUNCTION("""COMPUTED_VALUE"""),57.955025513066246)</f>
        <v>57.95502551</v>
      </c>
      <c r="C3" s="6"/>
    </row>
    <row r="4">
      <c r="A4" s="11">
        <f>IFERROR(__xludf.DUMMYFUNCTION("""COMPUTED_VALUE"""),1982.0)</f>
        <v>1982</v>
      </c>
      <c r="B4" s="11">
        <f>IFERROR(__xludf.DUMMYFUNCTION("""COMPUTED_VALUE"""),49.978852852706915)</f>
        <v>49.97885285</v>
      </c>
      <c r="C4" s="6"/>
    </row>
    <row r="5">
      <c r="A5" s="11">
        <f>IFERROR(__xludf.DUMMYFUNCTION("""COMPUTED_VALUE"""),1983.0)</f>
        <v>1983</v>
      </c>
      <c r="B5" s="11">
        <f>IFERROR(__xludf.DUMMYFUNCTION("""COMPUTED_VALUE"""),48.53277741871091)</f>
        <v>48.53277742</v>
      </c>
      <c r="C5" s="6"/>
    </row>
    <row r="6">
      <c r="A6" s="11">
        <f>IFERROR(__xludf.DUMMYFUNCTION("""COMPUTED_VALUE"""),1984.0)</f>
        <v>1984</v>
      </c>
      <c r="B6" s="11">
        <f>IFERROR(__xludf.DUMMYFUNCTION("""COMPUTED_VALUE"""),50.09226308875722)</f>
        <v>50.09226309</v>
      </c>
      <c r="C6" s="6"/>
    </row>
    <row r="7">
      <c r="A7" s="11">
        <f>IFERROR(__xludf.DUMMYFUNCTION("""COMPUTED_VALUE"""),1985.0)</f>
        <v>1985</v>
      </c>
      <c r="B7" s="11">
        <f>IFERROR(__xludf.DUMMYFUNCTION("""COMPUTED_VALUE"""),56.22909432960189)</f>
        <v>56.22909433</v>
      </c>
      <c r="C7" s="6"/>
    </row>
    <row r="8">
      <c r="A8" s="11">
        <f>IFERROR(__xludf.DUMMYFUNCTION("""COMPUTED_VALUE"""),1986.0)</f>
        <v>1986</v>
      </c>
      <c r="B8" s="11">
        <f>IFERROR(__xludf.DUMMYFUNCTION("""COMPUTED_VALUE"""),61.47517683368064)</f>
        <v>61.47517683</v>
      </c>
      <c r="C8" s="6"/>
    </row>
    <row r="9">
      <c r="A9" s="11">
        <f>IFERROR(__xludf.DUMMYFUNCTION("""COMPUTED_VALUE"""),1987.0)</f>
        <v>1987</v>
      </c>
      <c r="B9" s="11">
        <f>IFERROR(__xludf.DUMMYFUNCTION("""COMPUTED_VALUE"""),66.56376301536845)</f>
        <v>66.56376302</v>
      </c>
      <c r="C9" s="6"/>
    </row>
    <row r="10">
      <c r="A10" s="11">
        <f>IFERROR(__xludf.DUMMYFUNCTION("""COMPUTED_VALUE"""),1988.0)</f>
        <v>1988</v>
      </c>
      <c r="B10" s="11">
        <f>IFERROR(__xludf.DUMMYFUNCTION("""COMPUTED_VALUE"""),62.090202352633476)</f>
        <v>62.09020235</v>
      </c>
      <c r="C10" s="6"/>
    </row>
    <row r="11">
      <c r="A11" s="11">
        <f>IFERROR(__xludf.DUMMYFUNCTION("""COMPUTED_VALUE"""),1989.0)</f>
        <v>1989</v>
      </c>
      <c r="B11" s="11">
        <f>IFERROR(__xludf.DUMMYFUNCTION("""COMPUTED_VALUE"""),60.605027803426985)</f>
        <v>60.6050278</v>
      </c>
      <c r="C11" s="6"/>
    </row>
    <row r="12">
      <c r="A12" s="11">
        <f>IFERROR(__xludf.DUMMYFUNCTION("""COMPUTED_VALUE"""),1990.0)</f>
        <v>1990</v>
      </c>
      <c r="B12" s="11">
        <f>IFERROR(__xludf.DUMMYFUNCTION("""COMPUTED_VALUE"""),59.16761790019247)</f>
        <v>59.1676179</v>
      </c>
      <c r="C12" s="6"/>
    </row>
    <row r="13">
      <c r="A13" s="11">
        <f>IFERROR(__xludf.DUMMYFUNCTION("""COMPUTED_VALUE"""),1991.0)</f>
        <v>1991</v>
      </c>
      <c r="B13" s="11">
        <f>IFERROR(__xludf.DUMMYFUNCTION("""COMPUTED_VALUE"""),60.094516705905455)</f>
        <v>60.09451671</v>
      </c>
      <c r="C13" s="6"/>
    </row>
    <row r="14">
      <c r="A14" s="11">
        <f>IFERROR(__xludf.DUMMYFUNCTION("""COMPUTED_VALUE"""),1992.0)</f>
        <v>1992</v>
      </c>
      <c r="B14" s="11">
        <f>IFERROR(__xludf.DUMMYFUNCTION("""COMPUTED_VALUE"""),60.47893442755646)</f>
        <v>60.47893443</v>
      </c>
      <c r="C14" s="6"/>
    </row>
    <row r="15">
      <c r="A15" s="11">
        <f>IFERROR(__xludf.DUMMYFUNCTION("""COMPUTED_VALUE"""),1993.0)</f>
        <v>1993</v>
      </c>
      <c r="B15" s="11">
        <f>IFERROR(__xludf.DUMMYFUNCTION("""COMPUTED_VALUE"""),61.57635358497606)</f>
        <v>61.57635358</v>
      </c>
      <c r="C15" s="6"/>
    </row>
    <row r="16">
      <c r="A16" s="11">
        <f>IFERROR(__xludf.DUMMYFUNCTION("""COMPUTED_VALUE"""),1994.0)</f>
        <v>1994</v>
      </c>
      <c r="B16" s="11">
        <f>IFERROR(__xludf.DUMMYFUNCTION("""COMPUTED_VALUE"""),61.9025272503163)</f>
        <v>61.90252725</v>
      </c>
      <c r="C16" s="6"/>
    </row>
    <row r="17">
      <c r="A17" s="11">
        <f>IFERROR(__xludf.DUMMYFUNCTION("""COMPUTED_VALUE"""),1995.0)</f>
        <v>1995</v>
      </c>
      <c r="B17" s="11">
        <f>IFERROR(__xludf.DUMMYFUNCTION("""COMPUTED_VALUE"""),62.64856978274476)</f>
        <v>62.64856978</v>
      </c>
      <c r="C17" s="6"/>
    </row>
    <row r="18">
      <c r="A18" s="11">
        <f>IFERROR(__xludf.DUMMYFUNCTION("""COMPUTED_VALUE"""),1996.0)</f>
        <v>1996</v>
      </c>
      <c r="B18" s="11">
        <f>IFERROR(__xludf.DUMMYFUNCTION("""COMPUTED_VALUE"""),58.88067384042132)</f>
        <v>58.88067384</v>
      </c>
      <c r="C18" s="6"/>
    </row>
    <row r="19">
      <c r="A19" s="11">
        <f>IFERROR(__xludf.DUMMYFUNCTION("""COMPUTED_VALUE"""),1997.0)</f>
        <v>1997</v>
      </c>
      <c r="B19" s="11">
        <f>IFERROR(__xludf.DUMMYFUNCTION("""COMPUTED_VALUE"""),58.040525719165814)</f>
        <v>58.04052572</v>
      </c>
      <c r="C19" s="6"/>
    </row>
    <row r="20">
      <c r="A20" s="11">
        <f>IFERROR(__xludf.DUMMYFUNCTION("""COMPUTED_VALUE"""),1998.0)</f>
        <v>1998</v>
      </c>
      <c r="B20" s="11">
        <f>IFERROR(__xludf.DUMMYFUNCTION("""COMPUTED_VALUE"""),59.22762978019533)</f>
        <v>59.22762978</v>
      </c>
      <c r="C20" s="6"/>
    </row>
    <row r="21">
      <c r="A21" s="11">
        <f>IFERROR(__xludf.DUMMYFUNCTION("""COMPUTED_VALUE"""),1999.0)</f>
        <v>1999</v>
      </c>
      <c r="B21" s="11">
        <f>IFERROR(__xludf.DUMMYFUNCTION("""COMPUTED_VALUE"""),64.90085283777276)</f>
        <v>64.90085284</v>
      </c>
      <c r="C21" s="6"/>
    </row>
    <row r="22">
      <c r="A22" s="11">
        <f>IFERROR(__xludf.DUMMYFUNCTION("""COMPUTED_VALUE"""),2000.0)</f>
        <v>2000</v>
      </c>
      <c r="B22" s="11">
        <f>IFERROR(__xludf.DUMMYFUNCTION("""COMPUTED_VALUE"""),63.39289968420462)</f>
        <v>63.39289968</v>
      </c>
      <c r="C22" s="6"/>
    </row>
    <row r="23">
      <c r="A23" s="11">
        <f>IFERROR(__xludf.DUMMYFUNCTION("""COMPUTED_VALUE"""),2001.0)</f>
        <v>2001</v>
      </c>
      <c r="B23" s="11">
        <f>IFERROR(__xludf.DUMMYFUNCTION("""COMPUTED_VALUE"""),65.87723992613192)</f>
        <v>65.87723993</v>
      </c>
      <c r="C23" s="6"/>
    </row>
    <row r="24">
      <c r="A24" s="11">
        <f>IFERROR(__xludf.DUMMYFUNCTION("""COMPUTED_VALUE"""),2002.0)</f>
        <v>2002</v>
      </c>
      <c r="B24" s="11">
        <f>IFERROR(__xludf.DUMMYFUNCTION("""COMPUTED_VALUE"""),55.580083562458945)</f>
        <v>55.58008356</v>
      </c>
      <c r="C24" s="6"/>
    </row>
    <row r="25">
      <c r="A25" s="11">
        <f>IFERROR(__xludf.DUMMYFUNCTION("""COMPUTED_VALUE"""),2003.0)</f>
        <v>2003</v>
      </c>
      <c r="B25" s="11">
        <f>IFERROR(__xludf.DUMMYFUNCTION("""COMPUTED_VALUE"""),56.48017574995261)</f>
        <v>56.48017575</v>
      </c>
      <c r="C25" s="6"/>
    </row>
    <row r="26">
      <c r="A26" s="11">
        <f>IFERROR(__xludf.DUMMYFUNCTION("""COMPUTED_VALUE"""),2004.0)</f>
        <v>2004</v>
      </c>
      <c r="B26" s="11">
        <f>IFERROR(__xludf.DUMMYFUNCTION("""COMPUTED_VALUE"""),51.62300125910646)</f>
        <v>51.62300126</v>
      </c>
      <c r="C26" s="6"/>
    </row>
    <row r="27">
      <c r="A27" s="11">
        <f>IFERROR(__xludf.DUMMYFUNCTION("""COMPUTED_VALUE"""),2005.0)</f>
        <v>2005</v>
      </c>
      <c r="B27" s="11">
        <f>IFERROR(__xludf.DUMMYFUNCTION("""COMPUTED_VALUE"""),55.90327761245447)</f>
        <v>55.90327761</v>
      </c>
      <c r="C27" s="6"/>
    </row>
    <row r="28">
      <c r="A28" s="11">
        <f>IFERROR(__xludf.DUMMYFUNCTION("""COMPUTED_VALUE"""),2006.0)</f>
        <v>2006</v>
      </c>
      <c r="B28" s="11">
        <f>IFERROR(__xludf.DUMMYFUNCTION("""COMPUTED_VALUE"""),57.417900371189766)</f>
        <v>57.41790037</v>
      </c>
      <c r="C28" s="6"/>
    </row>
    <row r="29">
      <c r="A29" s="11">
        <f>IFERROR(__xludf.DUMMYFUNCTION("""COMPUTED_VALUE"""),2007.0)</f>
        <v>2007</v>
      </c>
      <c r="B29" s="11">
        <f>IFERROR(__xludf.DUMMYFUNCTION("""COMPUTED_VALUE"""),62.88290228938135)</f>
        <v>62.88290229</v>
      </c>
      <c r="C29" s="6"/>
    </row>
    <row r="30">
      <c r="A30" s="11">
        <f>IFERROR(__xludf.DUMMYFUNCTION("""COMPUTED_VALUE"""),2008.0)</f>
        <v>2008</v>
      </c>
      <c r="B30" s="11">
        <f>IFERROR(__xludf.DUMMYFUNCTION("""COMPUTED_VALUE"""),66.60906247606762)</f>
        <v>66.60906248</v>
      </c>
      <c r="C30" s="6"/>
    </row>
    <row r="31">
      <c r="A31" s="11">
        <f>IFERROR(__xludf.DUMMYFUNCTION("""COMPUTED_VALUE"""),2009.0)</f>
        <v>2009</v>
      </c>
      <c r="B31" s="11">
        <f>IFERROR(__xludf.DUMMYFUNCTION("""COMPUTED_VALUE"""),77.47380121328533)</f>
        <v>77.47380121</v>
      </c>
      <c r="C31" s="6"/>
    </row>
    <row r="32">
      <c r="A32" s="11">
        <f>IFERROR(__xludf.DUMMYFUNCTION("""COMPUTED_VALUE"""),2010.0)</f>
        <v>2010</v>
      </c>
      <c r="B32" s="11">
        <f>IFERROR(__xludf.DUMMYFUNCTION("""COMPUTED_VALUE"""),74.94953285123064)</f>
        <v>74.94953285</v>
      </c>
      <c r="C32" s="6"/>
    </row>
    <row r="33">
      <c r="A33" s="11">
        <f>IFERROR(__xludf.DUMMYFUNCTION("""COMPUTED_VALUE"""),2011.0)</f>
        <v>2011</v>
      </c>
      <c r="B33" s="11">
        <f>IFERROR(__xludf.DUMMYFUNCTION("""COMPUTED_VALUE"""),77.92400772079985)</f>
        <v>77.92400772</v>
      </c>
      <c r="C33" s="6"/>
    </row>
    <row r="34">
      <c r="A34" s="11">
        <f>IFERROR(__xludf.DUMMYFUNCTION("""COMPUTED_VALUE"""),2012.0)</f>
        <v>2012</v>
      </c>
      <c r="B34" s="11">
        <f>IFERROR(__xludf.DUMMYFUNCTION("""COMPUTED_VALUE"""),80.52476011600295)</f>
        <v>80.52476012</v>
      </c>
      <c r="C34" s="6"/>
    </row>
    <row r="35">
      <c r="A35" s="11">
        <f>IFERROR(__xludf.DUMMYFUNCTION("""COMPUTED_VALUE"""),2013.0)</f>
        <v>2013</v>
      </c>
      <c r="B35" s="11">
        <f>IFERROR(__xludf.DUMMYFUNCTION("""COMPUTED_VALUE"""),84.15580811581833)</f>
        <v>84.15580812</v>
      </c>
      <c r="C35" s="6"/>
    </row>
    <row r="36">
      <c r="A36" s="11">
        <f>IFERROR(__xludf.DUMMYFUNCTION("""COMPUTED_VALUE"""),2014.0)</f>
        <v>2014</v>
      </c>
      <c r="B36" s="11">
        <f>IFERROR(__xludf.DUMMYFUNCTION("""COMPUTED_VALUE"""),87.8368977335145)</f>
        <v>87.83689773</v>
      </c>
      <c r="C36" s="6"/>
    </row>
    <row r="37">
      <c r="A37" s="11">
        <f>IFERROR(__xludf.DUMMYFUNCTION("""COMPUTED_VALUE"""),2015.0)</f>
        <v>2015</v>
      </c>
      <c r="B37" s="11">
        <f>IFERROR(__xludf.DUMMYFUNCTION("""COMPUTED_VALUE"""),90.49517105377888)</f>
        <v>90.49517105</v>
      </c>
      <c r="C37" s="6"/>
    </row>
    <row r="38">
      <c r="A38" s="11">
        <f>IFERROR(__xludf.DUMMYFUNCTION("""COMPUTED_VALUE"""),2016.0)</f>
        <v>2016</v>
      </c>
      <c r="B38" s="11">
        <f>IFERROR(__xludf.DUMMYFUNCTION("""COMPUTED_VALUE"""),90.55110743672927)</f>
        <v>90.55110744</v>
      </c>
      <c r="C38" s="6"/>
    </row>
    <row r="39">
      <c r="A39" s="11">
        <f>IFERROR(__xludf.DUMMYFUNCTION("""COMPUTED_VALUE"""),2017.0)</f>
        <v>2017</v>
      </c>
      <c r="B39" s="11">
        <f>IFERROR(__xludf.DUMMYFUNCTION("""COMPUTED_VALUE"""),89.08475201882693)</f>
        <v>89.08475202</v>
      </c>
      <c r="C39" s="6"/>
    </row>
    <row r="40">
      <c r="A40" s="11">
        <f>IFERROR(__xludf.DUMMYFUNCTION("""COMPUTED_VALUE"""),2018.0)</f>
        <v>2018</v>
      </c>
      <c r="B40" s="11">
        <f>IFERROR(__xludf.DUMMYFUNCTION("""COMPUTED_VALUE"""),82.86030203914825)</f>
        <v>82.86030204</v>
      </c>
      <c r="C40" s="6"/>
    </row>
    <row r="41">
      <c r="A41" s="11">
        <f>IFERROR(__xludf.DUMMYFUNCTION("""COMPUTED_VALUE"""),2019.0)</f>
        <v>2019</v>
      </c>
      <c r="B41" s="11">
        <f>IFERROR(__xludf.DUMMYFUNCTION("""COMPUTED_VALUE"""),81.88137439501708)</f>
        <v>81.8813744</v>
      </c>
      <c r="C41" s="6"/>
    </row>
    <row r="42">
      <c r="A42" s="11">
        <f>IFERROR(__xludf.DUMMYFUNCTION("""COMPUTED_VALUE"""),2020.0)</f>
        <v>2020</v>
      </c>
      <c r="B42" s="11">
        <f>IFERROR(__xludf.DUMMYFUNCTION("""COMPUTED_VALUE"""),91.92766990610174)</f>
        <v>91.92766991</v>
      </c>
      <c r="C42" s="6"/>
    </row>
    <row r="43">
      <c r="A43" s="11">
        <f>IFERROR(__xludf.DUMMYFUNCTION("""COMPUTED_VALUE"""),2021.0)</f>
        <v>2021</v>
      </c>
      <c r="B43" s="11">
        <f>IFERROR(__xludf.DUMMYFUNCTION("""COMPUTED_VALUE"""),83.59688681600055)</f>
        <v>83.59688682</v>
      </c>
      <c r="C43" s="6"/>
    </row>
    <row r="44">
      <c r="A44" s="11">
        <f>IFERROR(__xludf.DUMMYFUNCTION("""COMPUTED_VALUE"""),2022.0)</f>
        <v>2022</v>
      </c>
      <c r="B44" s="11">
        <f>IFERROR(__xludf.DUMMYFUNCTION("""COMPUTED_VALUE"""),82.26384424532709)</f>
        <v>82.26384425</v>
      </c>
      <c r="C44" s="6"/>
    </row>
    <row r="45">
      <c r="A45" s="12">
        <f>IFERROR(__xludf.DUMMYFUNCTION("""COMPUTED_VALUE"""),2023.0)</f>
        <v>2023</v>
      </c>
      <c r="B45" s="12">
        <f>IFERROR(__xludf.DUMMYFUNCTION("""COMPUTED_VALUE"""),81.55473898221379)</f>
        <v>81.55473898</v>
      </c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10" t="str">
        <f>IFERROR(__xludf.DUMMYFUNCTION("QUERY(
  clean_data!A:E,
  ""SELECT Col4, Col5, SUM(Col3)
   WHERE Col5 &lt;&gt; 'PIB'
   GROUP BY Col4, Col5
   ORDER BY Col4, Col5"",
  1
)
"),"AÑO")</f>
        <v>AÑO</v>
      </c>
      <c r="B48" s="10" t="str">
        <f>IFERROR(__xludf.DUMMYFUNCTION("""COMPUTED_VALUE"""),"FUNCION")</f>
        <v>FUNCION</v>
      </c>
      <c r="C48" s="10" t="str">
        <f>IFERROR(__xludf.DUMMYFUNCTION("""COMPUTED_VALUE"""),"sum GASTO (MM$)")</f>
        <v>sum GASTO (MM$)</v>
      </c>
    </row>
    <row r="49">
      <c r="A49" s="11"/>
      <c r="B49" s="11"/>
      <c r="C49" s="11"/>
    </row>
    <row r="50">
      <c r="A50" s="11">
        <f>IFERROR(__xludf.DUMMYFUNCTION("""COMPUTED_VALUE"""),1980.0)</f>
        <v>1980</v>
      </c>
      <c r="B50" s="11" t="str">
        <f>IFERROR(__xludf.DUMMYFUNCTION("""COMPUTED_VALUE"""),"Administracion General")</f>
        <v>Administracion General</v>
      </c>
      <c r="C50" s="11">
        <f>IFERROR(__xludf.DUMMYFUNCTION("""COMPUTED_VALUE"""),1.84961529673946)</f>
        <v>1.849615297</v>
      </c>
    </row>
    <row r="51">
      <c r="A51" s="11">
        <f>IFERROR(__xludf.DUMMYFUNCTION("""COMPUTED_VALUE"""),1980.0)</f>
        <v>1980</v>
      </c>
      <c r="B51" s="11" t="str">
        <f>IFERROR(__xludf.DUMMYFUNCTION("""COMPUTED_VALUE"""),"Agua Alcantarillado")</f>
        <v>Agua Alcantarillado</v>
      </c>
      <c r="C51" s="11">
        <f>IFERROR(__xludf.DUMMYFUNCTION("""COMPUTED_VALUE"""),0.239474735227702)</f>
        <v>0.2394747352</v>
      </c>
    </row>
    <row r="52">
      <c r="A52" s="11">
        <f>IFERROR(__xludf.DUMMYFUNCTION("""COMPUTED_VALUE"""),1980.0)</f>
        <v>1980</v>
      </c>
      <c r="B52" s="11" t="str">
        <f>IFERROR(__xludf.DUMMYFUNCTION("""COMPUTED_VALUE"""),"Asignaciones Familiares")</f>
        <v>Asignaciones Familiares</v>
      </c>
      <c r="C52" s="11">
        <f>IFERROR(__xludf.DUMMYFUNCTION("""COMPUTED_VALUE"""),0.770671174153505)</f>
        <v>0.7706711742</v>
      </c>
    </row>
    <row r="53">
      <c r="A53" s="11">
        <f>IFERROR(__xludf.DUMMYFUNCTION("""COMPUTED_VALUE"""),1980.0)</f>
        <v>1980</v>
      </c>
      <c r="B53" s="11" t="str">
        <f>IFERROR(__xludf.DUMMYFUNCTION("""COMPUTED_VALUE"""),"Atencion Salud")</f>
        <v>Atencion Salud</v>
      </c>
      <c r="C53" s="11">
        <f>IFERROR(__xludf.DUMMYFUNCTION("""COMPUTED_VALUE"""),1.16087184147473)</f>
        <v>1.160871841</v>
      </c>
    </row>
    <row r="54">
      <c r="A54" s="11">
        <f>IFERROR(__xludf.DUMMYFUNCTION("""COMPUTED_VALUE"""),1980.0)</f>
        <v>1980</v>
      </c>
      <c r="B54" s="11" t="str">
        <f>IFERROR(__xludf.DUMMYFUNCTION("""COMPUTED_VALUE"""),"Ciencia Tecnica")</f>
        <v>Ciencia Tecnica</v>
      </c>
      <c r="C54" s="11">
        <f>IFERROR(__xludf.DUMMYFUNCTION("""COMPUTED_VALUE"""),0.251231805850851)</f>
        <v>0.2512318059</v>
      </c>
    </row>
    <row r="55">
      <c r="A55" s="11">
        <f>IFERROR(__xludf.DUMMYFUNCTION("""COMPUTED_VALUE"""),1980.0)</f>
        <v>1980</v>
      </c>
      <c r="B55" s="11" t="str">
        <f>IFERROR(__xludf.DUMMYFUNCTION("""COMPUTED_VALUE"""),"Comunicaciones")</f>
        <v>Comunicaciones</v>
      </c>
      <c r="C55" s="11">
        <f>IFERROR(__xludf.DUMMYFUNCTION("""COMPUTED_VALUE"""),0.523981143424143)</f>
        <v>0.5239811434</v>
      </c>
    </row>
    <row r="56">
      <c r="A56" s="11">
        <f>IFERROR(__xludf.DUMMYFUNCTION("""COMPUTED_VALUE"""),1980.0)</f>
        <v>1980</v>
      </c>
      <c r="B56" s="11" t="str">
        <f>IFERROR(__xludf.DUMMYFUNCTION("""COMPUTED_VALUE"""),"Cultura")</f>
        <v>Cultura</v>
      </c>
      <c r="C56" s="11">
        <f>IFERROR(__xludf.DUMMYFUNCTION("""COMPUTED_VALUE"""),0.0704388240703323)</f>
        <v>0.07043882407</v>
      </c>
    </row>
    <row r="57">
      <c r="A57" s="11">
        <f>IFERROR(__xludf.DUMMYFUNCTION("""COMPUTED_VALUE"""),1980.0)</f>
        <v>1980</v>
      </c>
      <c r="B57" s="11" t="str">
        <f>IFERROR(__xludf.DUMMYFUNCTION("""COMPUTED_VALUE"""),"Defensa Seguridad")</f>
        <v>Defensa Seguridad</v>
      </c>
      <c r="C57" s="11">
        <f>IFERROR(__xludf.DUMMYFUNCTION("""COMPUTED_VALUE"""),3.19119339475479)</f>
        <v>3.191193395</v>
      </c>
    </row>
    <row r="58">
      <c r="A58" s="11">
        <f>IFERROR(__xludf.DUMMYFUNCTION("""COMPUTED_VALUE"""),1980.0)</f>
        <v>1980</v>
      </c>
      <c r="B58" s="11" t="str">
        <f>IFERROR(__xludf.DUMMYFUNCTION("""COMPUTED_VALUE"""),"Educacion Basica")</f>
        <v>Educacion Basica</v>
      </c>
      <c r="C58" s="11">
        <f>IFERROR(__xludf.DUMMYFUNCTION("""COMPUTED_VALUE"""),2.02497873277004)</f>
        <v>2.024978733</v>
      </c>
    </row>
    <row r="59">
      <c r="A59" s="11">
        <f>IFERROR(__xludf.DUMMYFUNCTION("""COMPUTED_VALUE"""),1980.0)</f>
        <v>1980</v>
      </c>
      <c r="B59" s="11" t="str">
        <f>IFERROR(__xludf.DUMMYFUNCTION("""COMPUTED_VALUE"""),"Educacion Cultura Sin Discriminar")</f>
        <v>Educacion Cultura Sin Discriminar</v>
      </c>
      <c r="C59" s="11">
        <f>IFERROR(__xludf.DUMMYFUNCTION("""COMPUTED_VALUE"""),0.187836864187552)</f>
        <v>0.1878368642</v>
      </c>
    </row>
    <row r="60">
      <c r="A60" s="11">
        <f>IFERROR(__xludf.DUMMYFUNCTION("""COMPUTED_VALUE"""),1980.0)</f>
        <v>1980</v>
      </c>
      <c r="B60" s="11" t="str">
        <f>IFERROR(__xludf.DUMMYFUNCTION("""COMPUTED_VALUE"""),"Educacion Universitaria")</f>
        <v>Educacion Universitaria</v>
      </c>
      <c r="C60" s="11">
        <f>IFERROR(__xludf.DUMMYFUNCTION("""COMPUTED_VALUE"""),0.453309991488944)</f>
        <v>0.4533099915</v>
      </c>
    </row>
    <row r="61">
      <c r="A61" s="11">
        <f>IFERROR(__xludf.DUMMYFUNCTION("""COMPUTED_VALUE"""),1980.0)</f>
        <v>1980</v>
      </c>
      <c r="B61" s="11" t="str">
        <f>IFERROR(__xludf.DUMMYFUNCTION("""COMPUTED_VALUE"""),"Energia Combustible")</f>
        <v>Energia Combustible</v>
      </c>
      <c r="C61" s="11">
        <f>IFERROR(__xludf.DUMMYFUNCTION("""COMPUTED_VALUE"""),2.42010967264515)</f>
        <v>2.420109673</v>
      </c>
    </row>
    <row r="62">
      <c r="A62" s="11">
        <f>IFERROR(__xludf.DUMMYFUNCTION("""COMPUTED_VALUE"""),1980.0)</f>
        <v>1980</v>
      </c>
      <c r="B62" s="11" t="str">
        <f>IFERROR(__xludf.DUMMYFUNCTION("""COMPUTED_VALUE"""),"Funcionamiento Estado")</f>
        <v>Funcionamiento Estado</v>
      </c>
      <c r="C62" s="11">
        <f>IFERROR(__xludf.DUMMYFUNCTION("""COMPUTED_VALUE"""),5.36965402960544)</f>
        <v>5.36965403</v>
      </c>
    </row>
    <row r="63">
      <c r="A63" s="11">
        <f>IFERROR(__xludf.DUMMYFUNCTION("""COMPUTED_VALUE"""),1980.0)</f>
        <v>1980</v>
      </c>
      <c r="B63" s="11" t="str">
        <f>IFERROR(__xludf.DUMMYFUNCTION("""COMPUTED_VALUE"""),"Industria")</f>
        <v>Industria</v>
      </c>
      <c r="C63" s="11">
        <f>IFERROR(__xludf.DUMMYFUNCTION("""COMPUTED_VALUE"""),0.448835519552453)</f>
        <v>0.4488355196</v>
      </c>
    </row>
    <row r="64">
      <c r="A64" s="11">
        <f>IFERROR(__xludf.DUMMYFUNCTION("""COMPUTED_VALUE"""),1980.0)</f>
        <v>1980</v>
      </c>
      <c r="B64" s="11" t="str">
        <f>IFERROR(__xludf.DUMMYFUNCTION("""COMPUTED_VALUE"""),"Inssjyp Prestaciones")</f>
        <v>Inssjyp Prestaciones</v>
      </c>
      <c r="C64" s="11">
        <f>IFERROR(__xludf.DUMMYFUNCTION("""COMPUTED_VALUE"""),0.0312278786711806)</f>
        <v>0.03122787867</v>
      </c>
    </row>
    <row r="65">
      <c r="A65" s="11">
        <f>IFERROR(__xludf.DUMMYFUNCTION("""COMPUTED_VALUE"""),1980.0)</f>
        <v>1980</v>
      </c>
      <c r="B65" s="11" t="str">
        <f>IFERROR(__xludf.DUMMYFUNCTION("""COMPUTED_VALUE"""),"Inssjyp Salud")</f>
        <v>Inssjyp Salud</v>
      </c>
      <c r="C65" s="11">
        <f>IFERROR(__xludf.DUMMYFUNCTION("""COMPUTED_VALUE"""),0.414884673774257)</f>
        <v>0.4148846738</v>
      </c>
    </row>
    <row r="66">
      <c r="A66" s="11">
        <f>IFERROR(__xludf.DUMMYFUNCTION("""COMPUTED_VALUE"""),1980.0)</f>
        <v>1980</v>
      </c>
      <c r="B66" s="11" t="str">
        <f>IFERROR(__xludf.DUMMYFUNCTION("""COMPUTED_VALUE"""),"Justicia")</f>
        <v>Justicia</v>
      </c>
      <c r="C66" s="11">
        <f>IFERROR(__xludf.DUMMYFUNCTION("""COMPUTED_VALUE"""),0.32884533811118)</f>
        <v>0.3288453381</v>
      </c>
    </row>
    <row r="67">
      <c r="A67" s="11">
        <f>IFERROR(__xludf.DUMMYFUNCTION("""COMPUTED_VALUE"""),1980.0)</f>
        <v>1980</v>
      </c>
      <c r="B67" s="11" t="str">
        <f>IFERROR(__xludf.DUMMYFUNCTION("""COMPUTED_VALUE"""),"Obras Sociales Prestaciones")</f>
        <v>Obras Sociales Prestaciones</v>
      </c>
      <c r="C67" s="11">
        <f>IFERROR(__xludf.DUMMYFUNCTION("""COMPUTED_VALUE"""),0.235112786443145)</f>
        <v>0.2351127864</v>
      </c>
    </row>
    <row r="68">
      <c r="A68" s="11">
        <f>IFERROR(__xludf.DUMMYFUNCTION("""COMPUTED_VALUE"""),1980.0)</f>
        <v>1980</v>
      </c>
      <c r="B68" s="11" t="str">
        <f>IFERROR(__xludf.DUMMYFUNCTION("""COMPUTED_VALUE"""),"Obras Sociales Salud")</f>
        <v>Obras Sociales Salud</v>
      </c>
      <c r="C68" s="11">
        <f>IFERROR(__xludf.DUMMYFUNCTION("""COMPUTED_VALUE"""),1.6021218796724)</f>
        <v>1.60212188</v>
      </c>
    </row>
    <row r="69">
      <c r="A69" s="11">
        <f>IFERROR(__xludf.DUMMYFUNCTION("""COMPUTED_VALUE"""),1980.0)</f>
        <v>1980</v>
      </c>
      <c r="B69" s="11" t="str">
        <f>IFERROR(__xludf.DUMMYFUNCTION("""COMPUTED_VALUE"""),"Otros Servicios Economicos")</f>
        <v>Otros Servicios Economicos</v>
      </c>
      <c r="C69" s="11">
        <f>IFERROR(__xludf.DUMMYFUNCTION("""COMPUTED_VALUE"""),0.642529097403939)</f>
        <v>0.6425290974</v>
      </c>
    </row>
    <row r="70">
      <c r="A70" s="11">
        <f>IFERROR(__xludf.DUMMYFUNCTION("""COMPUTED_VALUE"""),1980.0)</f>
        <v>1980</v>
      </c>
      <c r="B70" s="11" t="str">
        <f>IFERROR(__xludf.DUMMYFUNCTION("""COMPUTED_VALUE"""),"Otros Servicios Urbanos")</f>
        <v>Otros Servicios Urbanos</v>
      </c>
      <c r="C70" s="11">
        <f>IFERROR(__xludf.DUMMYFUNCTION("""COMPUTED_VALUE"""),0.607884128050547)</f>
        <v>0.6078841281</v>
      </c>
    </row>
    <row r="71">
      <c r="A71" s="11">
        <f>IFERROR(__xludf.DUMMYFUNCTION("""COMPUTED_VALUE"""),1980.0)</f>
        <v>1980</v>
      </c>
      <c r="B71" s="11" t="str">
        <f>IFERROR(__xludf.DUMMYFUNCTION("""COMPUTED_VALUE"""),"Prevision Social")</f>
        <v>Prevision Social</v>
      </c>
      <c r="C71" s="11">
        <f>IFERROR(__xludf.DUMMYFUNCTION("""COMPUTED_VALUE"""),5.17820684125517)</f>
        <v>5.178206841</v>
      </c>
    </row>
    <row r="72">
      <c r="A72" s="11">
        <f>IFERROR(__xludf.DUMMYFUNCTION("""COMPUTED_VALUE"""),1980.0)</f>
        <v>1980</v>
      </c>
      <c r="B72" s="11" t="str">
        <f>IFERROR(__xludf.DUMMYFUNCTION("""COMPUTED_VALUE"""),"Produccion Primaria")</f>
        <v>Produccion Primaria</v>
      </c>
      <c r="C72" s="11">
        <f>IFERROR(__xludf.DUMMYFUNCTION("""COMPUTED_VALUE"""),0.515765636744978)</f>
        <v>0.5157656367</v>
      </c>
    </row>
    <row r="73">
      <c r="A73" s="11">
        <f>IFERROR(__xludf.DUMMYFUNCTION("""COMPUTED_VALUE"""),1980.0)</f>
        <v>1980</v>
      </c>
      <c r="B73" s="11" t="str">
        <f>IFERROR(__xludf.DUMMYFUNCTION("""COMPUTED_VALUE"""),"Programas Empleo")</f>
        <v>Programas Empleo</v>
      </c>
      <c r="C73" s="11">
        <f>IFERROR(__xludf.DUMMYFUNCTION("""COMPUTED_VALUE"""),0.0258275688257885)</f>
        <v>0.02582756883</v>
      </c>
    </row>
    <row r="74">
      <c r="A74" s="11">
        <f>IFERROR(__xludf.DUMMYFUNCTION("""COMPUTED_VALUE"""),1980.0)</f>
        <v>1980</v>
      </c>
      <c r="B74" s="11" t="str">
        <f>IFERROR(__xludf.DUMMYFUNCTION("""COMPUTED_VALUE"""),"Promocion Asistencia Social")</f>
        <v>Promocion Asistencia Social</v>
      </c>
      <c r="C74" s="11">
        <f>IFERROR(__xludf.DUMMYFUNCTION("""COMPUTED_VALUE"""),0.469522961111524)</f>
        <v>0.4695229611</v>
      </c>
    </row>
    <row r="75">
      <c r="A75" s="11">
        <f>IFERROR(__xludf.DUMMYFUNCTION("""COMPUTED_VALUE"""),1980.0)</f>
        <v>1980</v>
      </c>
      <c r="B75" s="11" t="str">
        <f>IFERROR(__xludf.DUMMYFUNCTION("""COMPUTED_VALUE"""),"Servicios Deuda Publica")</f>
        <v>Servicios Deuda Publica</v>
      </c>
      <c r="C75" s="11">
        <f>IFERROR(__xludf.DUMMYFUNCTION("""COMPUTED_VALUE"""),2.30583368962874)</f>
        <v>2.30583369</v>
      </c>
    </row>
    <row r="76">
      <c r="A76" s="11">
        <f>IFERROR(__xludf.DUMMYFUNCTION("""COMPUTED_VALUE"""),1980.0)</f>
        <v>1980</v>
      </c>
      <c r="B76" s="11" t="str">
        <f>IFERROR(__xludf.DUMMYFUNCTION("""COMPUTED_VALUE"""),"Servicios Economicos")</f>
        <v>Servicios Economicos</v>
      </c>
      <c r="C76" s="11">
        <f>IFERROR(__xludf.DUMMYFUNCTION("""COMPUTED_VALUE"""),6.85618513871731)</f>
        <v>6.856185139</v>
      </c>
    </row>
    <row r="77">
      <c r="A77" s="11">
        <f>IFERROR(__xludf.DUMMYFUNCTION("""COMPUTED_VALUE"""),1980.0)</f>
        <v>1980</v>
      </c>
      <c r="B77" s="11" t="str">
        <f>IFERROR(__xludf.DUMMYFUNCTION("""COMPUTED_VALUE"""),"Servicios Sociales")</f>
        <v>Servicios Sociales</v>
      </c>
      <c r="C77" s="11">
        <f>IFERROR(__xludf.DUMMYFUNCTION("""COMPUTED_VALUE"""),14.5054736342083)</f>
        <v>14.50547363</v>
      </c>
    </row>
    <row r="78">
      <c r="A78" s="11">
        <f>IFERROR(__xludf.DUMMYFUNCTION("""COMPUTED_VALUE"""),1980.0)</f>
        <v>1980</v>
      </c>
      <c r="B78" s="11" t="str">
        <f>IFERROR(__xludf.DUMMYFUNCTION("""COMPUTED_VALUE"""),"Transporte")</f>
        <v>Transporte</v>
      </c>
      <c r="C78" s="11">
        <f>IFERROR(__xludf.DUMMYFUNCTION("""COMPUTED_VALUE"""),2.30496406894664)</f>
        <v>2.304964069</v>
      </c>
    </row>
    <row r="79">
      <c r="A79" s="11">
        <f>IFERROR(__xludf.DUMMYFUNCTION("""COMPUTED_VALUE"""),1980.0)</f>
        <v>1980</v>
      </c>
      <c r="B79" s="11" t="str">
        <f>IFERROR(__xludf.DUMMYFUNCTION("""COMPUTED_VALUE"""),"Vivienda Urbanismo")</f>
        <v>Vivienda Urbanismo</v>
      </c>
      <c r="C79" s="11">
        <f>IFERROR(__xludf.DUMMYFUNCTION("""COMPUTED_VALUE"""),0.781870947180688)</f>
        <v>0.7818709472</v>
      </c>
    </row>
    <row r="80">
      <c r="A80" s="11">
        <f>IFERROR(__xludf.DUMMYFUNCTION("""COMPUTED_VALUE"""),1981.0)</f>
        <v>1981</v>
      </c>
      <c r="B80" s="11" t="str">
        <f>IFERROR(__xludf.DUMMYFUNCTION("""COMPUTED_VALUE"""),"Administracion General")</f>
        <v>Administracion General</v>
      </c>
      <c r="C80" s="11">
        <f>IFERROR(__xludf.DUMMYFUNCTION("""COMPUTED_VALUE"""),1.84944885061433)</f>
        <v>1.849448851</v>
      </c>
    </row>
    <row r="81">
      <c r="A81" s="11">
        <f>IFERROR(__xludf.DUMMYFUNCTION("""COMPUTED_VALUE"""),1981.0)</f>
        <v>1981</v>
      </c>
      <c r="B81" s="11" t="str">
        <f>IFERROR(__xludf.DUMMYFUNCTION("""COMPUTED_VALUE"""),"Agua Alcantarillado")</f>
        <v>Agua Alcantarillado</v>
      </c>
      <c r="C81" s="11">
        <f>IFERROR(__xludf.DUMMYFUNCTION("""COMPUTED_VALUE"""),0.199911124006597)</f>
        <v>0.199911124</v>
      </c>
    </row>
    <row r="82">
      <c r="A82" s="11">
        <f>IFERROR(__xludf.DUMMYFUNCTION("""COMPUTED_VALUE"""),1981.0)</f>
        <v>1981</v>
      </c>
      <c r="B82" s="11" t="str">
        <f>IFERROR(__xludf.DUMMYFUNCTION("""COMPUTED_VALUE"""),"Asignaciones Familiares")</f>
        <v>Asignaciones Familiares</v>
      </c>
      <c r="C82" s="11">
        <f>IFERROR(__xludf.DUMMYFUNCTION("""COMPUTED_VALUE"""),0.507165812297359)</f>
        <v>0.5071658123</v>
      </c>
    </row>
    <row r="83">
      <c r="A83" s="11">
        <f>IFERROR(__xludf.DUMMYFUNCTION("""COMPUTED_VALUE"""),1981.0)</f>
        <v>1981</v>
      </c>
      <c r="B83" s="11" t="str">
        <f>IFERROR(__xludf.DUMMYFUNCTION("""COMPUTED_VALUE"""),"Atencion Salud")</f>
        <v>Atencion Salud</v>
      </c>
      <c r="C83" s="11">
        <f>IFERROR(__xludf.DUMMYFUNCTION("""COMPUTED_VALUE"""),1.26647910107366)</f>
        <v>1.266479101</v>
      </c>
    </row>
    <row r="84">
      <c r="A84" s="11">
        <f>IFERROR(__xludf.DUMMYFUNCTION("""COMPUTED_VALUE"""),1981.0)</f>
        <v>1981</v>
      </c>
      <c r="B84" s="11" t="str">
        <f>IFERROR(__xludf.DUMMYFUNCTION("""COMPUTED_VALUE"""),"Ciencia Tecnica")</f>
        <v>Ciencia Tecnica</v>
      </c>
      <c r="C84" s="11">
        <f>IFERROR(__xludf.DUMMYFUNCTION("""COMPUTED_VALUE"""),0.268635772723715)</f>
        <v>0.2686357727</v>
      </c>
    </row>
    <row r="85">
      <c r="A85" s="11">
        <f>IFERROR(__xludf.DUMMYFUNCTION("""COMPUTED_VALUE"""),1981.0)</f>
        <v>1981</v>
      </c>
      <c r="B85" s="11" t="str">
        <f>IFERROR(__xludf.DUMMYFUNCTION("""COMPUTED_VALUE"""),"Comunicaciones")</f>
        <v>Comunicaciones</v>
      </c>
      <c r="C85" s="11">
        <f>IFERROR(__xludf.DUMMYFUNCTION("""COMPUTED_VALUE"""),0.409757684094867)</f>
        <v>0.4097576841</v>
      </c>
    </row>
    <row r="86">
      <c r="A86" s="11">
        <f>IFERROR(__xludf.DUMMYFUNCTION("""COMPUTED_VALUE"""),1981.0)</f>
        <v>1981</v>
      </c>
      <c r="B86" s="11" t="str">
        <f>IFERROR(__xludf.DUMMYFUNCTION("""COMPUTED_VALUE"""),"Cultura")</f>
        <v>Cultura</v>
      </c>
      <c r="C86" s="11">
        <f>IFERROR(__xludf.DUMMYFUNCTION("""COMPUTED_VALUE"""),0.0752643328751789)</f>
        <v>0.07526433288</v>
      </c>
    </row>
    <row r="87">
      <c r="A87" s="11">
        <f>IFERROR(__xludf.DUMMYFUNCTION("""COMPUTED_VALUE"""),1981.0)</f>
        <v>1981</v>
      </c>
      <c r="B87" s="11" t="str">
        <f>IFERROR(__xludf.DUMMYFUNCTION("""COMPUTED_VALUE"""),"Defensa Seguridad")</f>
        <v>Defensa Seguridad</v>
      </c>
      <c r="C87" s="11">
        <f>IFERROR(__xludf.DUMMYFUNCTION("""COMPUTED_VALUE"""),3.10723253642554)</f>
        <v>3.107232536</v>
      </c>
    </row>
    <row r="88">
      <c r="A88" s="11">
        <f>IFERROR(__xludf.DUMMYFUNCTION("""COMPUTED_VALUE"""),1981.0)</f>
        <v>1981</v>
      </c>
      <c r="B88" s="11" t="str">
        <f>IFERROR(__xludf.DUMMYFUNCTION("""COMPUTED_VALUE"""),"Educacion Basica")</f>
        <v>Educacion Basica</v>
      </c>
      <c r="C88" s="11">
        <f>IFERROR(__xludf.DUMMYFUNCTION("""COMPUTED_VALUE"""),1.84122222589511)</f>
        <v>1.841222226</v>
      </c>
    </row>
    <row r="89">
      <c r="A89" s="11">
        <f>IFERROR(__xludf.DUMMYFUNCTION("""COMPUTED_VALUE"""),1981.0)</f>
        <v>1981</v>
      </c>
      <c r="B89" s="11" t="str">
        <f>IFERROR(__xludf.DUMMYFUNCTION("""COMPUTED_VALUE"""),"Educacion Cultura Sin Discriminar")</f>
        <v>Educacion Cultura Sin Discriminar</v>
      </c>
      <c r="C89" s="11">
        <f>IFERROR(__xludf.DUMMYFUNCTION("""COMPUTED_VALUE"""),0.260530383029465)</f>
        <v>0.260530383</v>
      </c>
    </row>
    <row r="90">
      <c r="A90" s="11">
        <f>IFERROR(__xludf.DUMMYFUNCTION("""COMPUTED_VALUE"""),1981.0)</f>
        <v>1981</v>
      </c>
      <c r="B90" s="11" t="str">
        <f>IFERROR(__xludf.DUMMYFUNCTION("""COMPUTED_VALUE"""),"Educacion Universitaria")</f>
        <v>Educacion Universitaria</v>
      </c>
      <c r="C90" s="11">
        <f>IFERROR(__xludf.DUMMYFUNCTION("""COMPUTED_VALUE"""),0.475915366539897)</f>
        <v>0.4759153665</v>
      </c>
    </row>
    <row r="91">
      <c r="A91" s="11">
        <f>IFERROR(__xludf.DUMMYFUNCTION("""COMPUTED_VALUE"""),1981.0)</f>
        <v>1981</v>
      </c>
      <c r="B91" s="11" t="str">
        <f>IFERROR(__xludf.DUMMYFUNCTION("""COMPUTED_VALUE"""),"Energia Combustible")</f>
        <v>Energia Combustible</v>
      </c>
      <c r="C91" s="11">
        <f>IFERROR(__xludf.DUMMYFUNCTION("""COMPUTED_VALUE"""),2.87076110964043)</f>
        <v>2.87076111</v>
      </c>
    </row>
    <row r="92">
      <c r="A92" s="11">
        <f>IFERROR(__xludf.DUMMYFUNCTION("""COMPUTED_VALUE"""),1981.0)</f>
        <v>1981</v>
      </c>
      <c r="B92" s="11" t="str">
        <f>IFERROR(__xludf.DUMMYFUNCTION("""COMPUTED_VALUE"""),"Funcionamiento Estado")</f>
        <v>Funcionamiento Estado</v>
      </c>
      <c r="C92" s="11">
        <f>IFERROR(__xludf.DUMMYFUNCTION("""COMPUTED_VALUE"""),5.24268585196555)</f>
        <v>5.242685852</v>
      </c>
    </row>
    <row r="93">
      <c r="A93" s="11">
        <f>IFERROR(__xludf.DUMMYFUNCTION("""COMPUTED_VALUE"""),1981.0)</f>
        <v>1981</v>
      </c>
      <c r="B93" s="11" t="str">
        <f>IFERROR(__xludf.DUMMYFUNCTION("""COMPUTED_VALUE"""),"Industria")</f>
        <v>Industria</v>
      </c>
      <c r="C93" s="11">
        <f>IFERROR(__xludf.DUMMYFUNCTION("""COMPUTED_VALUE"""),0.35054167503386)</f>
        <v>0.350541675</v>
      </c>
    </row>
    <row r="94">
      <c r="A94" s="11">
        <f>IFERROR(__xludf.DUMMYFUNCTION("""COMPUTED_VALUE"""),1981.0)</f>
        <v>1981</v>
      </c>
      <c r="B94" s="11" t="str">
        <f>IFERROR(__xludf.DUMMYFUNCTION("""COMPUTED_VALUE"""),"Inssjyp Prestaciones")</f>
        <v>Inssjyp Prestaciones</v>
      </c>
      <c r="C94" s="11">
        <f>IFERROR(__xludf.DUMMYFUNCTION("""COMPUTED_VALUE"""),0.0380953315629752)</f>
        <v>0.03809533156</v>
      </c>
    </row>
    <row r="95">
      <c r="A95" s="11">
        <f>IFERROR(__xludf.DUMMYFUNCTION("""COMPUTED_VALUE"""),1981.0)</f>
        <v>1981</v>
      </c>
      <c r="B95" s="11" t="str">
        <f>IFERROR(__xludf.DUMMYFUNCTION("""COMPUTED_VALUE"""),"Inssjyp Salud")</f>
        <v>Inssjyp Salud</v>
      </c>
      <c r="C95" s="11">
        <f>IFERROR(__xludf.DUMMYFUNCTION("""COMPUTED_VALUE"""),0.506123690765242)</f>
        <v>0.5061236908</v>
      </c>
    </row>
    <row r="96">
      <c r="A96" s="11">
        <f>IFERROR(__xludf.DUMMYFUNCTION("""COMPUTED_VALUE"""),1981.0)</f>
        <v>1981</v>
      </c>
      <c r="B96" s="11" t="str">
        <f>IFERROR(__xludf.DUMMYFUNCTION("""COMPUTED_VALUE"""),"Justicia")</f>
        <v>Justicia</v>
      </c>
      <c r="C96" s="11">
        <f>IFERROR(__xludf.DUMMYFUNCTION("""COMPUTED_VALUE"""),0.28600446492568)</f>
        <v>0.2860044649</v>
      </c>
    </row>
    <row r="97">
      <c r="A97" s="11">
        <f>IFERROR(__xludf.DUMMYFUNCTION("""COMPUTED_VALUE"""),1981.0)</f>
        <v>1981</v>
      </c>
      <c r="B97" s="11" t="str">
        <f>IFERROR(__xludf.DUMMYFUNCTION("""COMPUTED_VALUE"""),"Obras Sociales Prestaciones")</f>
        <v>Obras Sociales Prestaciones</v>
      </c>
      <c r="C97" s="11">
        <f>IFERROR(__xludf.DUMMYFUNCTION("""COMPUTED_VALUE"""),0.331709345182097)</f>
        <v>0.3317093452</v>
      </c>
    </row>
    <row r="98">
      <c r="A98" s="11">
        <f>IFERROR(__xludf.DUMMYFUNCTION("""COMPUTED_VALUE"""),1981.0)</f>
        <v>1981</v>
      </c>
      <c r="B98" s="11" t="str">
        <f>IFERROR(__xludf.DUMMYFUNCTION("""COMPUTED_VALUE"""),"Obras Sociales Salud")</f>
        <v>Obras Sociales Salud</v>
      </c>
      <c r="C98" s="11">
        <f>IFERROR(__xludf.DUMMYFUNCTION("""COMPUTED_VALUE"""),2.19780758941842)</f>
        <v>2.197807589</v>
      </c>
    </row>
    <row r="99">
      <c r="A99" s="11">
        <f>IFERROR(__xludf.DUMMYFUNCTION("""COMPUTED_VALUE"""),1981.0)</f>
        <v>1981</v>
      </c>
      <c r="B99" s="11" t="str">
        <f>IFERROR(__xludf.DUMMYFUNCTION("""COMPUTED_VALUE"""),"Otros Servicios Economicos")</f>
        <v>Otros Servicios Economicos</v>
      </c>
      <c r="C99" s="11">
        <f>IFERROR(__xludf.DUMMYFUNCTION("""COMPUTED_VALUE"""),0.64512310962876)</f>
        <v>0.6451231096</v>
      </c>
    </row>
    <row r="100">
      <c r="A100" s="11">
        <f>IFERROR(__xludf.DUMMYFUNCTION("""COMPUTED_VALUE"""),1981.0)</f>
        <v>1981</v>
      </c>
      <c r="B100" s="11" t="str">
        <f>IFERROR(__xludf.DUMMYFUNCTION("""COMPUTED_VALUE"""),"Otros Servicios Urbanos")</f>
        <v>Otros Servicios Urbanos</v>
      </c>
      <c r="C100" s="11">
        <f>IFERROR(__xludf.DUMMYFUNCTION("""COMPUTED_VALUE"""),0.62670068606596)</f>
        <v>0.6267006861</v>
      </c>
    </row>
    <row r="101">
      <c r="A101" s="11">
        <f>IFERROR(__xludf.DUMMYFUNCTION("""COMPUTED_VALUE"""),1981.0)</f>
        <v>1981</v>
      </c>
      <c r="B101" s="11" t="str">
        <f>IFERROR(__xludf.DUMMYFUNCTION("""COMPUTED_VALUE"""),"Prevision Social")</f>
        <v>Prevision Social</v>
      </c>
      <c r="C101" s="11">
        <f>IFERROR(__xludf.DUMMYFUNCTION("""COMPUTED_VALUE"""),5.31007237126589)</f>
        <v>5.310072371</v>
      </c>
    </row>
    <row r="102">
      <c r="A102" s="11">
        <f>IFERROR(__xludf.DUMMYFUNCTION("""COMPUTED_VALUE"""),1981.0)</f>
        <v>1981</v>
      </c>
      <c r="B102" s="11" t="str">
        <f>IFERROR(__xludf.DUMMYFUNCTION("""COMPUTED_VALUE"""),"Produccion Primaria")</f>
        <v>Produccion Primaria</v>
      </c>
      <c r="C102" s="11">
        <f>IFERROR(__xludf.DUMMYFUNCTION("""COMPUTED_VALUE"""),0.321040168457362)</f>
        <v>0.3210401685</v>
      </c>
    </row>
    <row r="103">
      <c r="A103" s="11">
        <f>IFERROR(__xludf.DUMMYFUNCTION("""COMPUTED_VALUE"""),1981.0)</f>
        <v>1981</v>
      </c>
      <c r="B103" s="11" t="str">
        <f>IFERROR(__xludf.DUMMYFUNCTION("""COMPUTED_VALUE"""),"Programas Empleo")</f>
        <v>Programas Empleo</v>
      </c>
      <c r="C103" s="11">
        <f>IFERROR(__xludf.DUMMYFUNCTION("""COMPUTED_VALUE"""),0.0208424306423572)</f>
        <v>0.02084243064</v>
      </c>
    </row>
    <row r="104">
      <c r="A104" s="11">
        <f>IFERROR(__xludf.DUMMYFUNCTION("""COMPUTED_VALUE"""),1981.0)</f>
        <v>1981</v>
      </c>
      <c r="B104" s="11" t="str">
        <f>IFERROR(__xludf.DUMMYFUNCTION("""COMPUTED_VALUE"""),"Promocion Asistencia Social")</f>
        <v>Promocion Asistencia Social</v>
      </c>
      <c r="C104" s="11">
        <f>IFERROR(__xludf.DUMMYFUNCTION("""COMPUTED_VALUE"""),0.512867873100666)</f>
        <v>0.5128678731</v>
      </c>
    </row>
    <row r="105">
      <c r="A105" s="11">
        <f>IFERROR(__xludf.DUMMYFUNCTION("""COMPUTED_VALUE"""),1981.0)</f>
        <v>1981</v>
      </c>
      <c r="B105" s="11" t="str">
        <f>IFERROR(__xludf.DUMMYFUNCTION("""COMPUTED_VALUE"""),"Servicios Deuda Publica")</f>
        <v>Servicios Deuda Publica</v>
      </c>
      <c r="C105" s="11">
        <f>IFERROR(__xludf.DUMMYFUNCTION("""COMPUTED_VALUE"""),4.73007384300163)</f>
        <v>4.730073843</v>
      </c>
    </row>
    <row r="106">
      <c r="A106" s="11">
        <f>IFERROR(__xludf.DUMMYFUNCTION("""COMPUTED_VALUE"""),1981.0)</f>
        <v>1981</v>
      </c>
      <c r="B106" s="11" t="str">
        <f>IFERROR(__xludf.DUMMYFUNCTION("""COMPUTED_VALUE"""),"Servicios Economicos")</f>
        <v>Servicios Economicos</v>
      </c>
      <c r="C106" s="11">
        <f>IFERROR(__xludf.DUMMYFUNCTION("""COMPUTED_VALUE"""),6.48001846218456)</f>
        <v>6.480018462</v>
      </c>
    </row>
    <row r="107">
      <c r="A107" s="11">
        <f>IFERROR(__xludf.DUMMYFUNCTION("""COMPUTED_VALUE"""),1981.0)</f>
        <v>1981</v>
      </c>
      <c r="B107" s="11" t="str">
        <f>IFERROR(__xludf.DUMMYFUNCTION("""COMPUTED_VALUE"""),"Servicios Sociales")</f>
        <v>Servicios Sociales</v>
      </c>
      <c r="C107" s="11">
        <f>IFERROR(__xludf.DUMMYFUNCTION("""COMPUTED_VALUE"""),14.8897715208822)</f>
        <v>14.88977152</v>
      </c>
    </row>
    <row r="108">
      <c r="A108" s="11">
        <f>IFERROR(__xludf.DUMMYFUNCTION("""COMPUTED_VALUE"""),1981.0)</f>
        <v>1981</v>
      </c>
      <c r="B108" s="11" t="str">
        <f>IFERROR(__xludf.DUMMYFUNCTION("""COMPUTED_VALUE"""),"Transporte")</f>
        <v>Transporte</v>
      </c>
      <c r="C108" s="11">
        <f>IFERROR(__xludf.DUMMYFUNCTION("""COMPUTED_VALUE"""),1.88279471532927)</f>
        <v>1.882794715</v>
      </c>
    </row>
    <row r="109">
      <c r="A109" s="11">
        <f>IFERROR(__xludf.DUMMYFUNCTION("""COMPUTED_VALUE"""),1981.0)</f>
        <v>1981</v>
      </c>
      <c r="B109" s="11" t="str">
        <f>IFERROR(__xludf.DUMMYFUNCTION("""COMPUTED_VALUE"""),"Vivienda Urbanismo")</f>
        <v>Vivienda Urbanismo</v>
      </c>
      <c r="C109" s="11">
        <f>IFERROR(__xludf.DUMMYFUNCTION("""COMPUTED_VALUE"""),0.450428084437609)</f>
        <v>0.4504280844</v>
      </c>
    </row>
    <row r="110">
      <c r="A110" s="11">
        <f>IFERROR(__xludf.DUMMYFUNCTION("""COMPUTED_VALUE"""),1982.0)</f>
        <v>1982</v>
      </c>
      <c r="B110" s="11" t="str">
        <f>IFERROR(__xludf.DUMMYFUNCTION("""COMPUTED_VALUE"""),"Administracion General")</f>
        <v>Administracion General</v>
      </c>
      <c r="C110" s="11">
        <f>IFERROR(__xludf.DUMMYFUNCTION("""COMPUTED_VALUE"""),1.33318393199603)</f>
        <v>1.333183932</v>
      </c>
    </row>
    <row r="111">
      <c r="A111" s="11">
        <f>IFERROR(__xludf.DUMMYFUNCTION("""COMPUTED_VALUE"""),1982.0)</f>
        <v>1982</v>
      </c>
      <c r="B111" s="11" t="str">
        <f>IFERROR(__xludf.DUMMYFUNCTION("""COMPUTED_VALUE"""),"Agua Alcantarillado")</f>
        <v>Agua Alcantarillado</v>
      </c>
      <c r="C111" s="11">
        <f>IFERROR(__xludf.DUMMYFUNCTION("""COMPUTED_VALUE"""),0.154530503226678)</f>
        <v>0.1545305032</v>
      </c>
    </row>
    <row r="112">
      <c r="A112" s="11">
        <f>IFERROR(__xludf.DUMMYFUNCTION("""COMPUTED_VALUE"""),1982.0)</f>
        <v>1982</v>
      </c>
      <c r="B112" s="11" t="str">
        <f>IFERROR(__xludf.DUMMYFUNCTION("""COMPUTED_VALUE"""),"Asignaciones Familiares")</f>
        <v>Asignaciones Familiares</v>
      </c>
      <c r="C112" s="11">
        <f>IFERROR(__xludf.DUMMYFUNCTION("""COMPUTED_VALUE"""),0.337817121421007)</f>
        <v>0.3378171214</v>
      </c>
    </row>
    <row r="113">
      <c r="A113" s="11">
        <f>IFERROR(__xludf.DUMMYFUNCTION("""COMPUTED_VALUE"""),1982.0)</f>
        <v>1982</v>
      </c>
      <c r="B113" s="11" t="str">
        <f>IFERROR(__xludf.DUMMYFUNCTION("""COMPUTED_VALUE"""),"Atencion Salud")</f>
        <v>Atencion Salud</v>
      </c>
      <c r="C113" s="11">
        <f>IFERROR(__xludf.DUMMYFUNCTION("""COMPUTED_VALUE"""),0.931264510403112)</f>
        <v>0.9312645104</v>
      </c>
    </row>
    <row r="114">
      <c r="A114" s="11">
        <f>IFERROR(__xludf.DUMMYFUNCTION("""COMPUTED_VALUE"""),1982.0)</f>
        <v>1982</v>
      </c>
      <c r="B114" s="11" t="str">
        <f>IFERROR(__xludf.DUMMYFUNCTION("""COMPUTED_VALUE"""),"Ciencia Tecnica")</f>
        <v>Ciencia Tecnica</v>
      </c>
      <c r="C114" s="11">
        <f>IFERROR(__xludf.DUMMYFUNCTION("""COMPUTED_VALUE"""),0.223356732045418)</f>
        <v>0.223356732</v>
      </c>
    </row>
    <row r="115">
      <c r="A115" s="11">
        <f>IFERROR(__xludf.DUMMYFUNCTION("""COMPUTED_VALUE"""),1982.0)</f>
        <v>1982</v>
      </c>
      <c r="B115" s="11" t="str">
        <f>IFERROR(__xludf.DUMMYFUNCTION("""COMPUTED_VALUE"""),"Comunicaciones")</f>
        <v>Comunicaciones</v>
      </c>
      <c r="C115" s="11">
        <f>IFERROR(__xludf.DUMMYFUNCTION("""COMPUTED_VALUE"""),0.384514549936598)</f>
        <v>0.3845145499</v>
      </c>
    </row>
    <row r="116">
      <c r="A116" s="11">
        <f>IFERROR(__xludf.DUMMYFUNCTION("""COMPUTED_VALUE"""),1982.0)</f>
        <v>1982</v>
      </c>
      <c r="B116" s="11" t="str">
        <f>IFERROR(__xludf.DUMMYFUNCTION("""COMPUTED_VALUE"""),"Cultura")</f>
        <v>Cultura</v>
      </c>
      <c r="C116" s="11">
        <f>IFERROR(__xludf.DUMMYFUNCTION("""COMPUTED_VALUE"""),0.0556404670575776)</f>
        <v>0.05564046706</v>
      </c>
    </row>
    <row r="117">
      <c r="A117" s="11">
        <f>IFERROR(__xludf.DUMMYFUNCTION("""COMPUTED_VALUE"""),1982.0)</f>
        <v>1982</v>
      </c>
      <c r="B117" s="11" t="str">
        <f>IFERROR(__xludf.DUMMYFUNCTION("""COMPUTED_VALUE"""),"Defensa Seguridad")</f>
        <v>Defensa Seguridad</v>
      </c>
      <c r="C117" s="11">
        <f>IFERROR(__xludf.DUMMYFUNCTION("""COMPUTED_VALUE"""),2.79966775060664)</f>
        <v>2.799667751</v>
      </c>
    </row>
    <row r="118">
      <c r="A118" s="11">
        <f>IFERROR(__xludf.DUMMYFUNCTION("""COMPUTED_VALUE"""),1982.0)</f>
        <v>1982</v>
      </c>
      <c r="B118" s="11" t="str">
        <f>IFERROR(__xludf.DUMMYFUNCTION("""COMPUTED_VALUE"""),"Educacion Basica")</f>
        <v>Educacion Basica</v>
      </c>
      <c r="C118" s="11">
        <f>IFERROR(__xludf.DUMMYFUNCTION("""COMPUTED_VALUE"""),1.33411566212678)</f>
        <v>1.334115662</v>
      </c>
    </row>
    <row r="119">
      <c r="A119" s="11">
        <f>IFERROR(__xludf.DUMMYFUNCTION("""COMPUTED_VALUE"""),1982.0)</f>
        <v>1982</v>
      </c>
      <c r="B119" s="11" t="str">
        <f>IFERROR(__xludf.DUMMYFUNCTION("""COMPUTED_VALUE"""),"Educacion Cultura Sin Discriminar")</f>
        <v>Educacion Cultura Sin Discriminar</v>
      </c>
      <c r="C119" s="11">
        <f>IFERROR(__xludf.DUMMYFUNCTION("""COMPUTED_VALUE"""),0.216202957709444)</f>
        <v>0.2162029577</v>
      </c>
    </row>
    <row r="120">
      <c r="A120" s="11">
        <f>IFERROR(__xludf.DUMMYFUNCTION("""COMPUTED_VALUE"""),1982.0)</f>
        <v>1982</v>
      </c>
      <c r="B120" s="11" t="str">
        <f>IFERROR(__xludf.DUMMYFUNCTION("""COMPUTED_VALUE"""),"Educacion Universitaria")</f>
        <v>Educacion Universitaria</v>
      </c>
      <c r="C120" s="11">
        <f>IFERROR(__xludf.DUMMYFUNCTION("""COMPUTED_VALUE"""),0.345840238311565)</f>
        <v>0.3458402383</v>
      </c>
    </row>
    <row r="121">
      <c r="A121" s="11">
        <f>IFERROR(__xludf.DUMMYFUNCTION("""COMPUTED_VALUE"""),1982.0)</f>
        <v>1982</v>
      </c>
      <c r="B121" s="11" t="str">
        <f>IFERROR(__xludf.DUMMYFUNCTION("""COMPUTED_VALUE"""),"Energia Combustible")</f>
        <v>Energia Combustible</v>
      </c>
      <c r="C121" s="11">
        <f>IFERROR(__xludf.DUMMYFUNCTION("""COMPUTED_VALUE"""),3.18328690697262)</f>
        <v>3.183286907</v>
      </c>
    </row>
    <row r="122">
      <c r="A122" s="11">
        <f>IFERROR(__xludf.DUMMYFUNCTION("""COMPUTED_VALUE"""),1982.0)</f>
        <v>1982</v>
      </c>
      <c r="B122" s="11" t="str">
        <f>IFERROR(__xludf.DUMMYFUNCTION("""COMPUTED_VALUE"""),"Funcionamiento Estado")</f>
        <v>Funcionamiento Estado</v>
      </c>
      <c r="C122" s="11">
        <f>IFERROR(__xludf.DUMMYFUNCTION("""COMPUTED_VALUE"""),4.35422125511031)</f>
        <v>4.354221255</v>
      </c>
    </row>
    <row r="123">
      <c r="A123" s="11">
        <f>IFERROR(__xludf.DUMMYFUNCTION("""COMPUTED_VALUE"""),1982.0)</f>
        <v>1982</v>
      </c>
      <c r="B123" s="11" t="str">
        <f>IFERROR(__xludf.DUMMYFUNCTION("""COMPUTED_VALUE"""),"Industria")</f>
        <v>Industria</v>
      </c>
      <c r="C123" s="11">
        <f>IFERROR(__xludf.DUMMYFUNCTION("""COMPUTED_VALUE"""),0.418082646559603)</f>
        <v>0.4180826466</v>
      </c>
    </row>
    <row r="124">
      <c r="A124" s="11">
        <f>IFERROR(__xludf.DUMMYFUNCTION("""COMPUTED_VALUE"""),1982.0)</f>
        <v>1982</v>
      </c>
      <c r="B124" s="11" t="str">
        <f>IFERROR(__xludf.DUMMYFUNCTION("""COMPUTED_VALUE"""),"Inssjyp Prestaciones")</f>
        <v>Inssjyp Prestaciones</v>
      </c>
      <c r="C124" s="11">
        <f>IFERROR(__xludf.DUMMYFUNCTION("""COMPUTED_VALUE"""),0.0319932685581071)</f>
        <v>0.03199326856</v>
      </c>
    </row>
    <row r="125">
      <c r="A125" s="11">
        <f>IFERROR(__xludf.DUMMYFUNCTION("""COMPUTED_VALUE"""),1982.0)</f>
        <v>1982</v>
      </c>
      <c r="B125" s="11" t="str">
        <f>IFERROR(__xludf.DUMMYFUNCTION("""COMPUTED_VALUE"""),"Inssjyp Salud")</f>
        <v>Inssjyp Salud</v>
      </c>
      <c r="C125" s="11">
        <f>IFERROR(__xludf.DUMMYFUNCTION("""COMPUTED_VALUE"""),0.425053425129137)</f>
        <v>0.4250534251</v>
      </c>
    </row>
    <row r="126">
      <c r="A126" s="11">
        <f>IFERROR(__xludf.DUMMYFUNCTION("""COMPUTED_VALUE"""),1982.0)</f>
        <v>1982</v>
      </c>
      <c r="B126" s="11" t="str">
        <f>IFERROR(__xludf.DUMMYFUNCTION("""COMPUTED_VALUE"""),"Justicia")</f>
        <v>Justicia</v>
      </c>
      <c r="C126" s="11">
        <f>IFERROR(__xludf.DUMMYFUNCTION("""COMPUTED_VALUE"""),0.221369572507648)</f>
        <v>0.2213695725</v>
      </c>
    </row>
    <row r="127">
      <c r="A127" s="11">
        <f>IFERROR(__xludf.DUMMYFUNCTION("""COMPUTED_VALUE"""),1982.0)</f>
        <v>1982</v>
      </c>
      <c r="B127" s="11" t="str">
        <f>IFERROR(__xludf.DUMMYFUNCTION("""COMPUTED_VALUE"""),"Obras Sociales Prestaciones")</f>
        <v>Obras Sociales Prestaciones</v>
      </c>
      <c r="C127" s="11">
        <f>IFERROR(__xludf.DUMMYFUNCTION("""COMPUTED_VALUE"""),0.262289313353473)</f>
        <v>0.2622893134</v>
      </c>
    </row>
    <row r="128">
      <c r="A128" s="11">
        <f>IFERROR(__xludf.DUMMYFUNCTION("""COMPUTED_VALUE"""),1982.0)</f>
        <v>1982</v>
      </c>
      <c r="B128" s="11" t="str">
        <f>IFERROR(__xludf.DUMMYFUNCTION("""COMPUTED_VALUE"""),"Obras Sociales Salud")</f>
        <v>Obras Sociales Salud</v>
      </c>
      <c r="C128" s="11">
        <f>IFERROR(__xludf.DUMMYFUNCTION("""COMPUTED_VALUE"""),1.72913590005419)</f>
        <v>1.7291359</v>
      </c>
    </row>
    <row r="129">
      <c r="A129" s="11">
        <f>IFERROR(__xludf.DUMMYFUNCTION("""COMPUTED_VALUE"""),1982.0)</f>
        <v>1982</v>
      </c>
      <c r="B129" s="11" t="str">
        <f>IFERROR(__xludf.DUMMYFUNCTION("""COMPUTED_VALUE"""),"Otros Servicios Economicos")</f>
        <v>Otros Servicios Economicos</v>
      </c>
      <c r="C129" s="11">
        <f>IFERROR(__xludf.DUMMYFUNCTION("""COMPUTED_VALUE"""),0.648139089740444)</f>
        <v>0.6481390897</v>
      </c>
    </row>
    <row r="130">
      <c r="A130" s="11">
        <f>IFERROR(__xludf.DUMMYFUNCTION("""COMPUTED_VALUE"""),1982.0)</f>
        <v>1982</v>
      </c>
      <c r="B130" s="11" t="str">
        <f>IFERROR(__xludf.DUMMYFUNCTION("""COMPUTED_VALUE"""),"Otros Servicios Urbanos")</f>
        <v>Otros Servicios Urbanos</v>
      </c>
      <c r="C130" s="11">
        <f>IFERROR(__xludf.DUMMYFUNCTION("""COMPUTED_VALUE"""),0.403470278974098)</f>
        <v>0.403470279</v>
      </c>
    </row>
    <row r="131">
      <c r="A131" s="11">
        <f>IFERROR(__xludf.DUMMYFUNCTION("""COMPUTED_VALUE"""),1982.0)</f>
        <v>1982</v>
      </c>
      <c r="B131" s="11" t="str">
        <f>IFERROR(__xludf.DUMMYFUNCTION("""COMPUTED_VALUE"""),"Prevision Social")</f>
        <v>Prevision Social</v>
      </c>
      <c r="C131" s="11">
        <f>IFERROR(__xludf.DUMMYFUNCTION("""COMPUTED_VALUE"""),3.64663646776288)</f>
        <v>3.646636468</v>
      </c>
    </row>
    <row r="132">
      <c r="A132" s="11">
        <f>IFERROR(__xludf.DUMMYFUNCTION("""COMPUTED_VALUE"""),1982.0)</f>
        <v>1982</v>
      </c>
      <c r="B132" s="11" t="str">
        <f>IFERROR(__xludf.DUMMYFUNCTION("""COMPUTED_VALUE"""),"Produccion Primaria")</f>
        <v>Produccion Primaria</v>
      </c>
      <c r="C132" s="11">
        <f>IFERROR(__xludf.DUMMYFUNCTION("""COMPUTED_VALUE"""),0.275215046359756)</f>
        <v>0.2752150464</v>
      </c>
    </row>
    <row r="133">
      <c r="A133" s="11">
        <f>IFERROR(__xludf.DUMMYFUNCTION("""COMPUTED_VALUE"""),1982.0)</f>
        <v>1982</v>
      </c>
      <c r="B133" s="11" t="str">
        <f>IFERROR(__xludf.DUMMYFUNCTION("""COMPUTED_VALUE"""),"Programas Empleo")</f>
        <v>Programas Empleo</v>
      </c>
      <c r="C133" s="11">
        <f>IFERROR(__xludf.DUMMYFUNCTION("""COMPUTED_VALUE"""),0.0151024124870567)</f>
        <v>0.01510241249</v>
      </c>
    </row>
    <row r="134">
      <c r="A134" s="11">
        <f>IFERROR(__xludf.DUMMYFUNCTION("""COMPUTED_VALUE"""),1982.0)</f>
        <v>1982</v>
      </c>
      <c r="B134" s="11" t="str">
        <f>IFERROR(__xludf.DUMMYFUNCTION("""COMPUTED_VALUE"""),"Promocion Asistencia Social")</f>
        <v>Promocion Asistencia Social</v>
      </c>
      <c r="C134" s="11">
        <f>IFERROR(__xludf.DUMMYFUNCTION("""COMPUTED_VALUE"""),0.31611954263485)</f>
        <v>0.3161195426</v>
      </c>
    </row>
    <row r="135">
      <c r="A135" s="11">
        <f>IFERROR(__xludf.DUMMYFUNCTION("""COMPUTED_VALUE"""),1982.0)</f>
        <v>1982</v>
      </c>
      <c r="B135" s="11" t="str">
        <f>IFERROR(__xludf.DUMMYFUNCTION("""COMPUTED_VALUE"""),"Servicios Deuda Publica")</f>
        <v>Servicios Deuda Publica</v>
      </c>
      <c r="C135" s="11">
        <f>IFERROR(__xludf.DUMMYFUNCTION("""COMPUTED_VALUE"""),6.11448989772022)</f>
        <v>6.114489898</v>
      </c>
    </row>
    <row r="136">
      <c r="A136" s="11">
        <f>IFERROR(__xludf.DUMMYFUNCTION("""COMPUTED_VALUE"""),1982.0)</f>
        <v>1982</v>
      </c>
      <c r="B136" s="11" t="str">
        <f>IFERROR(__xludf.DUMMYFUNCTION("""COMPUTED_VALUE"""),"Servicios Economicos")</f>
        <v>Servicios Economicos</v>
      </c>
      <c r="C136" s="11">
        <f>IFERROR(__xludf.DUMMYFUNCTION("""COMPUTED_VALUE"""),6.69154986362533)</f>
        <v>6.691549864</v>
      </c>
    </row>
    <row r="137">
      <c r="A137" s="11">
        <f>IFERROR(__xludf.DUMMYFUNCTION("""COMPUTED_VALUE"""),1982.0)</f>
        <v>1982</v>
      </c>
      <c r="B137" s="11" t="str">
        <f>IFERROR(__xludf.DUMMYFUNCTION("""COMPUTED_VALUE"""),"Servicios Sociales")</f>
        <v>Servicios Sociales</v>
      </c>
      <c r="C137" s="11">
        <f>IFERROR(__xludf.DUMMYFUNCTION("""COMPUTED_VALUE"""),10.8864103587577)</f>
        <v>10.88641036</v>
      </c>
    </row>
    <row r="138">
      <c r="A138" s="11">
        <f>IFERROR(__xludf.DUMMYFUNCTION("""COMPUTED_VALUE"""),1982.0)</f>
        <v>1982</v>
      </c>
      <c r="B138" s="11" t="str">
        <f>IFERROR(__xludf.DUMMYFUNCTION("""COMPUTED_VALUE"""),"Transporte")</f>
        <v>Transporte</v>
      </c>
      <c r="C138" s="11">
        <f>IFERROR(__xludf.DUMMYFUNCTION("""COMPUTED_VALUE"""),1.7823116240563)</f>
        <v>1.782311624</v>
      </c>
    </row>
    <row r="139">
      <c r="A139" s="11">
        <f>IFERROR(__xludf.DUMMYFUNCTION("""COMPUTED_VALUE"""),1982.0)</f>
        <v>1982</v>
      </c>
      <c r="B139" s="11" t="str">
        <f>IFERROR(__xludf.DUMMYFUNCTION("""COMPUTED_VALUE"""),"Vivienda Urbanismo")</f>
        <v>Vivienda Urbanismo</v>
      </c>
      <c r="C139" s="11">
        <f>IFERROR(__xludf.DUMMYFUNCTION("""COMPUTED_VALUE"""),0.457841557502353)</f>
        <v>0.4578415575</v>
      </c>
    </row>
    <row r="140">
      <c r="A140" s="11">
        <f>IFERROR(__xludf.DUMMYFUNCTION("""COMPUTED_VALUE"""),1983.0)</f>
        <v>1983</v>
      </c>
      <c r="B140" s="11" t="str">
        <f>IFERROR(__xludf.DUMMYFUNCTION("""COMPUTED_VALUE"""),"Administracion General")</f>
        <v>Administracion General</v>
      </c>
      <c r="C140" s="11">
        <f>IFERROR(__xludf.DUMMYFUNCTION("""COMPUTED_VALUE"""),1.43482921615206)</f>
        <v>1.434829216</v>
      </c>
    </row>
    <row r="141">
      <c r="A141" s="11">
        <f>IFERROR(__xludf.DUMMYFUNCTION("""COMPUTED_VALUE"""),1983.0)</f>
        <v>1983</v>
      </c>
      <c r="B141" s="11" t="str">
        <f>IFERROR(__xludf.DUMMYFUNCTION("""COMPUTED_VALUE"""),"Agua Alcantarillado")</f>
        <v>Agua Alcantarillado</v>
      </c>
      <c r="C141" s="11">
        <f>IFERROR(__xludf.DUMMYFUNCTION("""COMPUTED_VALUE"""),0.148691785537325)</f>
        <v>0.1486917855</v>
      </c>
    </row>
    <row r="142">
      <c r="A142" s="11">
        <f>IFERROR(__xludf.DUMMYFUNCTION("""COMPUTED_VALUE"""),1983.0)</f>
        <v>1983</v>
      </c>
      <c r="B142" s="11" t="str">
        <f>IFERROR(__xludf.DUMMYFUNCTION("""COMPUTED_VALUE"""),"Asignaciones Familiares")</f>
        <v>Asignaciones Familiares</v>
      </c>
      <c r="C142" s="11">
        <f>IFERROR(__xludf.DUMMYFUNCTION("""COMPUTED_VALUE"""),0.446943758741587)</f>
        <v>0.4469437587</v>
      </c>
    </row>
    <row r="143">
      <c r="A143" s="11">
        <f>IFERROR(__xludf.DUMMYFUNCTION("""COMPUTED_VALUE"""),1983.0)</f>
        <v>1983</v>
      </c>
      <c r="B143" s="11" t="str">
        <f>IFERROR(__xludf.DUMMYFUNCTION("""COMPUTED_VALUE"""),"Atencion Salud")</f>
        <v>Atencion Salud</v>
      </c>
      <c r="C143" s="11">
        <f>IFERROR(__xludf.DUMMYFUNCTION("""COMPUTED_VALUE"""),0.990248970510988)</f>
        <v>0.9902489705</v>
      </c>
    </row>
    <row r="144">
      <c r="A144" s="11">
        <f>IFERROR(__xludf.DUMMYFUNCTION("""COMPUTED_VALUE"""),1983.0)</f>
        <v>1983</v>
      </c>
      <c r="B144" s="11" t="str">
        <f>IFERROR(__xludf.DUMMYFUNCTION("""COMPUTED_VALUE"""),"Ciencia Tecnica")</f>
        <v>Ciencia Tecnica</v>
      </c>
      <c r="C144" s="11">
        <f>IFERROR(__xludf.DUMMYFUNCTION("""COMPUTED_VALUE"""),0.220879961958736)</f>
        <v>0.220879962</v>
      </c>
    </row>
    <row r="145">
      <c r="A145" s="11">
        <f>IFERROR(__xludf.DUMMYFUNCTION("""COMPUTED_VALUE"""),1983.0)</f>
        <v>1983</v>
      </c>
      <c r="B145" s="11" t="str">
        <f>IFERROR(__xludf.DUMMYFUNCTION("""COMPUTED_VALUE"""),"Comunicaciones")</f>
        <v>Comunicaciones</v>
      </c>
      <c r="C145" s="11">
        <f>IFERROR(__xludf.DUMMYFUNCTION("""COMPUTED_VALUE"""),0.435688081351262)</f>
        <v>0.4356880814</v>
      </c>
    </row>
    <row r="146">
      <c r="A146" s="11">
        <f>IFERROR(__xludf.DUMMYFUNCTION("""COMPUTED_VALUE"""),1983.0)</f>
        <v>1983</v>
      </c>
      <c r="B146" s="11" t="str">
        <f>IFERROR(__xludf.DUMMYFUNCTION("""COMPUTED_VALUE"""),"Cultura")</f>
        <v>Cultura</v>
      </c>
      <c r="C146" s="11">
        <f>IFERROR(__xludf.DUMMYFUNCTION("""COMPUTED_VALUE"""),0.0563742037122408)</f>
        <v>0.05637420371</v>
      </c>
    </row>
    <row r="147">
      <c r="A147" s="11">
        <f>IFERROR(__xludf.DUMMYFUNCTION("""COMPUTED_VALUE"""),1983.0)</f>
        <v>1983</v>
      </c>
      <c r="B147" s="11" t="str">
        <f>IFERROR(__xludf.DUMMYFUNCTION("""COMPUTED_VALUE"""),"Defensa Seguridad")</f>
        <v>Defensa Seguridad</v>
      </c>
      <c r="C147" s="11">
        <f>IFERROR(__xludf.DUMMYFUNCTION("""COMPUTED_VALUE"""),2.57393671754158)</f>
        <v>2.573936718</v>
      </c>
    </row>
    <row r="148">
      <c r="A148" s="11">
        <f>IFERROR(__xludf.DUMMYFUNCTION("""COMPUTED_VALUE"""),1983.0)</f>
        <v>1983</v>
      </c>
      <c r="B148" s="11" t="str">
        <f>IFERROR(__xludf.DUMMYFUNCTION("""COMPUTED_VALUE"""),"Educacion Basica")</f>
        <v>Educacion Basica</v>
      </c>
      <c r="C148" s="11">
        <f>IFERROR(__xludf.DUMMYFUNCTION("""COMPUTED_VALUE"""),1.58591575930754)</f>
        <v>1.585915759</v>
      </c>
    </row>
    <row r="149">
      <c r="A149" s="11">
        <f>IFERROR(__xludf.DUMMYFUNCTION("""COMPUTED_VALUE"""),1983.0)</f>
        <v>1983</v>
      </c>
      <c r="B149" s="11" t="str">
        <f>IFERROR(__xludf.DUMMYFUNCTION("""COMPUTED_VALUE"""),"Educacion Cultura Sin Discriminar")</f>
        <v>Educacion Cultura Sin Discriminar</v>
      </c>
      <c r="C149" s="11">
        <f>IFERROR(__xludf.DUMMYFUNCTION("""COMPUTED_VALUE"""),0.244288216086377)</f>
        <v>0.2442882161</v>
      </c>
    </row>
    <row r="150">
      <c r="A150" s="11">
        <f>IFERROR(__xludf.DUMMYFUNCTION("""COMPUTED_VALUE"""),1983.0)</f>
        <v>1983</v>
      </c>
      <c r="B150" s="11" t="str">
        <f>IFERROR(__xludf.DUMMYFUNCTION("""COMPUTED_VALUE"""),"Educacion Universitaria")</f>
        <v>Educacion Universitaria</v>
      </c>
      <c r="C150" s="11">
        <f>IFERROR(__xludf.DUMMYFUNCTION("""COMPUTED_VALUE"""),0.361014844150238)</f>
        <v>0.3610148442</v>
      </c>
    </row>
    <row r="151">
      <c r="A151" s="11">
        <f>IFERROR(__xludf.DUMMYFUNCTION("""COMPUTED_VALUE"""),1983.0)</f>
        <v>1983</v>
      </c>
      <c r="B151" s="11" t="str">
        <f>IFERROR(__xludf.DUMMYFUNCTION("""COMPUTED_VALUE"""),"Energia Combustible")</f>
        <v>Energia Combustible</v>
      </c>
      <c r="C151" s="11">
        <f>IFERROR(__xludf.DUMMYFUNCTION("""COMPUTED_VALUE"""),2.91983953193836)</f>
        <v>2.919839532</v>
      </c>
    </row>
    <row r="152">
      <c r="A152" s="11">
        <f>IFERROR(__xludf.DUMMYFUNCTION("""COMPUTED_VALUE"""),1983.0)</f>
        <v>1983</v>
      </c>
      <c r="B152" s="11" t="str">
        <f>IFERROR(__xludf.DUMMYFUNCTION("""COMPUTED_VALUE"""),"Funcionamiento Estado")</f>
        <v>Funcionamiento Estado</v>
      </c>
      <c r="C152" s="11">
        <f>IFERROR(__xludf.DUMMYFUNCTION("""COMPUTED_VALUE"""),4.27225053811308)</f>
        <v>4.272250538</v>
      </c>
    </row>
    <row r="153">
      <c r="A153" s="11">
        <f>IFERROR(__xludf.DUMMYFUNCTION("""COMPUTED_VALUE"""),1983.0)</f>
        <v>1983</v>
      </c>
      <c r="B153" s="11" t="str">
        <f>IFERROR(__xludf.DUMMYFUNCTION("""COMPUTED_VALUE"""),"Industria")</f>
        <v>Industria</v>
      </c>
      <c r="C153" s="11">
        <f>IFERROR(__xludf.DUMMYFUNCTION("""COMPUTED_VALUE"""),0.525173421805062)</f>
        <v>0.5251734218</v>
      </c>
    </row>
    <row r="154">
      <c r="A154" s="11">
        <f>IFERROR(__xludf.DUMMYFUNCTION("""COMPUTED_VALUE"""),1983.0)</f>
        <v>1983</v>
      </c>
      <c r="B154" s="11" t="str">
        <f>IFERROR(__xludf.DUMMYFUNCTION("""COMPUTED_VALUE"""),"Inssjyp Prestaciones")</f>
        <v>Inssjyp Prestaciones</v>
      </c>
      <c r="C154" s="11">
        <f>IFERROR(__xludf.DUMMYFUNCTION("""COMPUTED_VALUE"""),0.0362301455754099)</f>
        <v>0.03623014558</v>
      </c>
    </row>
    <row r="155">
      <c r="A155" s="11">
        <f>IFERROR(__xludf.DUMMYFUNCTION("""COMPUTED_VALUE"""),1983.0)</f>
        <v>1983</v>
      </c>
      <c r="B155" s="11" t="str">
        <f>IFERROR(__xludf.DUMMYFUNCTION("""COMPUTED_VALUE"""),"Inssjyp Salud")</f>
        <v>Inssjyp Salud</v>
      </c>
      <c r="C155" s="11">
        <f>IFERROR(__xludf.DUMMYFUNCTION("""COMPUTED_VALUE"""),0.481343362644732)</f>
        <v>0.4813433626</v>
      </c>
    </row>
    <row r="156">
      <c r="A156" s="11">
        <f>IFERROR(__xludf.DUMMYFUNCTION("""COMPUTED_VALUE"""),1983.0)</f>
        <v>1983</v>
      </c>
      <c r="B156" s="11" t="str">
        <f>IFERROR(__xludf.DUMMYFUNCTION("""COMPUTED_VALUE"""),"Justicia")</f>
        <v>Justicia</v>
      </c>
      <c r="C156" s="11">
        <f>IFERROR(__xludf.DUMMYFUNCTION("""COMPUTED_VALUE"""),0.263484604419424)</f>
        <v>0.2634846044</v>
      </c>
    </row>
    <row r="157">
      <c r="A157" s="11">
        <f>IFERROR(__xludf.DUMMYFUNCTION("""COMPUTED_VALUE"""),1983.0)</f>
        <v>1983</v>
      </c>
      <c r="B157" s="11" t="str">
        <f>IFERROR(__xludf.DUMMYFUNCTION("""COMPUTED_VALUE"""),"Obras Sociales Prestaciones")</f>
        <v>Obras Sociales Prestaciones</v>
      </c>
      <c r="C157" s="11">
        <f>IFERROR(__xludf.DUMMYFUNCTION("""COMPUTED_VALUE"""),0.246925083929171)</f>
        <v>0.2469250839</v>
      </c>
    </row>
    <row r="158">
      <c r="A158" s="11">
        <f>IFERROR(__xludf.DUMMYFUNCTION("""COMPUTED_VALUE"""),1983.0)</f>
        <v>1983</v>
      </c>
      <c r="B158" s="11" t="str">
        <f>IFERROR(__xludf.DUMMYFUNCTION("""COMPUTED_VALUE"""),"Obras Sociales Salud")</f>
        <v>Obras Sociales Salud</v>
      </c>
      <c r="C158" s="11">
        <f>IFERROR(__xludf.DUMMYFUNCTION("""COMPUTED_VALUE"""),1.65288750610124)</f>
        <v>1.652887506</v>
      </c>
    </row>
    <row r="159">
      <c r="A159" s="11">
        <f>IFERROR(__xludf.DUMMYFUNCTION("""COMPUTED_VALUE"""),1983.0)</f>
        <v>1983</v>
      </c>
      <c r="B159" s="11" t="str">
        <f>IFERROR(__xludf.DUMMYFUNCTION("""COMPUTED_VALUE"""),"Otros Servicios Economicos")</f>
        <v>Otros Servicios Economicos</v>
      </c>
      <c r="C159" s="11">
        <f>IFERROR(__xludf.DUMMYFUNCTION("""COMPUTED_VALUE"""),0.943191815797895)</f>
        <v>0.9431918158</v>
      </c>
    </row>
    <row r="160">
      <c r="A160" s="11">
        <f>IFERROR(__xludf.DUMMYFUNCTION("""COMPUTED_VALUE"""),1983.0)</f>
        <v>1983</v>
      </c>
      <c r="B160" s="11" t="str">
        <f>IFERROR(__xludf.DUMMYFUNCTION("""COMPUTED_VALUE"""),"Otros Servicios Urbanos")</f>
        <v>Otros Servicios Urbanos</v>
      </c>
      <c r="C160" s="11">
        <f>IFERROR(__xludf.DUMMYFUNCTION("""COMPUTED_VALUE"""),0.449462037220989)</f>
        <v>0.4494620372</v>
      </c>
    </row>
    <row r="161">
      <c r="A161" s="11">
        <f>IFERROR(__xludf.DUMMYFUNCTION("""COMPUTED_VALUE"""),1983.0)</f>
        <v>1983</v>
      </c>
      <c r="B161" s="11" t="str">
        <f>IFERROR(__xludf.DUMMYFUNCTION("""COMPUTED_VALUE"""),"Prevision Social")</f>
        <v>Prevision Social</v>
      </c>
      <c r="C161" s="11">
        <f>IFERROR(__xludf.DUMMYFUNCTION("""COMPUTED_VALUE"""),3.45745583284585)</f>
        <v>3.457455833</v>
      </c>
    </row>
    <row r="162">
      <c r="A162" s="11">
        <f>IFERROR(__xludf.DUMMYFUNCTION("""COMPUTED_VALUE"""),1983.0)</f>
        <v>1983</v>
      </c>
      <c r="B162" s="11" t="str">
        <f>IFERROR(__xludf.DUMMYFUNCTION("""COMPUTED_VALUE"""),"Produccion Primaria")</f>
        <v>Produccion Primaria</v>
      </c>
      <c r="C162" s="11">
        <f>IFERROR(__xludf.DUMMYFUNCTION("""COMPUTED_VALUE"""),0.295178031305443)</f>
        <v>0.2951780313</v>
      </c>
    </row>
    <row r="163">
      <c r="A163" s="11">
        <f>IFERROR(__xludf.DUMMYFUNCTION("""COMPUTED_VALUE"""),1983.0)</f>
        <v>1983</v>
      </c>
      <c r="B163" s="11" t="str">
        <f>IFERROR(__xludf.DUMMYFUNCTION("""COMPUTED_VALUE"""),"Programas Empleo")</f>
        <v>Programas Empleo</v>
      </c>
      <c r="C163" s="11">
        <f>IFERROR(__xludf.DUMMYFUNCTION("""COMPUTED_VALUE"""),0.0143365431854405)</f>
        <v>0.01433654319</v>
      </c>
    </row>
    <row r="164">
      <c r="A164" s="11">
        <f>IFERROR(__xludf.DUMMYFUNCTION("""COMPUTED_VALUE"""),1983.0)</f>
        <v>1983</v>
      </c>
      <c r="B164" s="11" t="str">
        <f>IFERROR(__xludf.DUMMYFUNCTION("""COMPUTED_VALUE"""),"Promocion Asistencia Social")</f>
        <v>Promocion Asistencia Social</v>
      </c>
      <c r="C164" s="11">
        <f>IFERROR(__xludf.DUMMYFUNCTION("""COMPUTED_VALUE"""),0.35579950013311)</f>
        <v>0.3557995001</v>
      </c>
    </row>
    <row r="165">
      <c r="A165" s="11">
        <f>IFERROR(__xludf.DUMMYFUNCTION("""COMPUTED_VALUE"""),1983.0)</f>
        <v>1983</v>
      </c>
      <c r="B165" s="11" t="str">
        <f>IFERROR(__xludf.DUMMYFUNCTION("""COMPUTED_VALUE"""),"Servicios Deuda Publica")</f>
        <v>Servicios Deuda Publica</v>
      </c>
      <c r="C165" s="11">
        <f>IFERROR(__xludf.DUMMYFUNCTION("""COMPUTED_VALUE"""),3.30793459713781)</f>
        <v>3.307934597</v>
      </c>
    </row>
    <row r="166">
      <c r="A166" s="11">
        <f>IFERROR(__xludf.DUMMYFUNCTION("""COMPUTED_VALUE"""),1983.0)</f>
        <v>1983</v>
      </c>
      <c r="B166" s="11" t="str">
        <f>IFERROR(__xludf.DUMMYFUNCTION("""COMPUTED_VALUE"""),"Servicios Economicos")</f>
        <v>Servicios Economicos</v>
      </c>
      <c r="C166" s="11">
        <f>IFERROR(__xludf.DUMMYFUNCTION("""COMPUTED_VALUE"""),6.92055273582449)</f>
        <v>6.920552736</v>
      </c>
    </row>
    <row r="167">
      <c r="A167" s="11">
        <f>IFERROR(__xludf.DUMMYFUNCTION("""COMPUTED_VALUE"""),1983.0)</f>
        <v>1983</v>
      </c>
      <c r="B167" s="11" t="str">
        <f>IFERROR(__xludf.DUMMYFUNCTION("""COMPUTED_VALUE"""),"Servicios Sociales")</f>
        <v>Servicios Sociales</v>
      </c>
      <c r="C167" s="11">
        <f>IFERROR(__xludf.DUMMYFUNCTION("""COMPUTED_VALUE"""),11.419618136849)</f>
        <v>11.41961814</v>
      </c>
    </row>
    <row r="168">
      <c r="A168" s="11">
        <f>IFERROR(__xludf.DUMMYFUNCTION("""COMPUTED_VALUE"""),1983.0)</f>
        <v>1983</v>
      </c>
      <c r="B168" s="11" t="str">
        <f>IFERROR(__xludf.DUMMYFUNCTION("""COMPUTED_VALUE"""),"Transporte")</f>
        <v>Transporte</v>
      </c>
      <c r="C168" s="11">
        <f>IFERROR(__xludf.DUMMYFUNCTION("""COMPUTED_VALUE"""),1.80148185362646)</f>
        <v>1.801481854</v>
      </c>
    </row>
    <row r="169">
      <c r="A169" s="11">
        <f>IFERROR(__xludf.DUMMYFUNCTION("""COMPUTED_VALUE"""),1983.0)</f>
        <v>1983</v>
      </c>
      <c r="B169" s="11" t="str">
        <f>IFERROR(__xludf.DUMMYFUNCTION("""COMPUTED_VALUE"""),"Vivienda Urbanismo")</f>
        <v>Vivienda Urbanismo</v>
      </c>
      <c r="C169" s="11">
        <f>IFERROR(__xludf.DUMMYFUNCTION("""COMPUTED_VALUE"""),0.670820625208015)</f>
        <v>0.6708206252</v>
      </c>
    </row>
    <row r="170">
      <c r="A170" s="11">
        <f>IFERROR(__xludf.DUMMYFUNCTION("""COMPUTED_VALUE"""),1984.0)</f>
        <v>1984</v>
      </c>
      <c r="B170" s="11" t="str">
        <f>IFERROR(__xludf.DUMMYFUNCTION("""COMPUTED_VALUE"""),"Administracion General")</f>
        <v>Administracion General</v>
      </c>
      <c r="C170" s="11">
        <f>IFERROR(__xludf.DUMMYFUNCTION("""COMPUTED_VALUE"""),1.52145952434217)</f>
        <v>1.521459524</v>
      </c>
    </row>
    <row r="171">
      <c r="A171" s="11">
        <f>IFERROR(__xludf.DUMMYFUNCTION("""COMPUTED_VALUE"""),1984.0)</f>
        <v>1984</v>
      </c>
      <c r="B171" s="11" t="str">
        <f>IFERROR(__xludf.DUMMYFUNCTION("""COMPUTED_VALUE"""),"Agua Alcantarillado")</f>
        <v>Agua Alcantarillado</v>
      </c>
      <c r="C171" s="11">
        <f>IFERROR(__xludf.DUMMYFUNCTION("""COMPUTED_VALUE"""),0.193250814905607)</f>
        <v>0.1932508149</v>
      </c>
    </row>
    <row r="172">
      <c r="A172" s="11">
        <f>IFERROR(__xludf.DUMMYFUNCTION("""COMPUTED_VALUE"""),1984.0)</f>
        <v>1984</v>
      </c>
      <c r="B172" s="11" t="str">
        <f>IFERROR(__xludf.DUMMYFUNCTION("""COMPUTED_VALUE"""),"Asignaciones Familiares")</f>
        <v>Asignaciones Familiares</v>
      </c>
      <c r="C172" s="11">
        <f>IFERROR(__xludf.DUMMYFUNCTION("""COMPUTED_VALUE"""),0.385526904624868)</f>
        <v>0.3855269046</v>
      </c>
    </row>
    <row r="173">
      <c r="A173" s="11">
        <f>IFERROR(__xludf.DUMMYFUNCTION("""COMPUTED_VALUE"""),1984.0)</f>
        <v>1984</v>
      </c>
      <c r="B173" s="11" t="str">
        <f>IFERROR(__xludf.DUMMYFUNCTION("""COMPUTED_VALUE"""),"Atencion Salud")</f>
        <v>Atencion Salud</v>
      </c>
      <c r="C173" s="11">
        <f>IFERROR(__xludf.DUMMYFUNCTION("""COMPUTED_VALUE"""),1.20555957231099)</f>
        <v>1.205559572</v>
      </c>
    </row>
    <row r="174">
      <c r="A174" s="11">
        <f>IFERROR(__xludf.DUMMYFUNCTION("""COMPUTED_VALUE"""),1984.0)</f>
        <v>1984</v>
      </c>
      <c r="B174" s="11" t="str">
        <f>IFERROR(__xludf.DUMMYFUNCTION("""COMPUTED_VALUE"""),"Ciencia Tecnica")</f>
        <v>Ciencia Tecnica</v>
      </c>
      <c r="C174" s="11">
        <f>IFERROR(__xludf.DUMMYFUNCTION("""COMPUTED_VALUE"""),0.188317124265616)</f>
        <v>0.1883171243</v>
      </c>
    </row>
    <row r="175">
      <c r="A175" s="11">
        <f>IFERROR(__xludf.DUMMYFUNCTION("""COMPUTED_VALUE"""),1984.0)</f>
        <v>1984</v>
      </c>
      <c r="B175" s="11" t="str">
        <f>IFERROR(__xludf.DUMMYFUNCTION("""COMPUTED_VALUE"""),"Comunicaciones")</f>
        <v>Comunicaciones</v>
      </c>
      <c r="C175" s="11">
        <f>IFERROR(__xludf.DUMMYFUNCTION("""COMPUTED_VALUE"""),0.309528100719785)</f>
        <v>0.3095281007</v>
      </c>
    </row>
    <row r="176">
      <c r="A176" s="11">
        <f>IFERROR(__xludf.DUMMYFUNCTION("""COMPUTED_VALUE"""),1984.0)</f>
        <v>1984</v>
      </c>
      <c r="B176" s="11" t="str">
        <f>IFERROR(__xludf.DUMMYFUNCTION("""COMPUTED_VALUE"""),"Cultura")</f>
        <v>Cultura</v>
      </c>
      <c r="C176" s="11">
        <f>IFERROR(__xludf.DUMMYFUNCTION("""COMPUTED_VALUE"""),0.0814772155176039)</f>
        <v>0.08147721552</v>
      </c>
    </row>
    <row r="177">
      <c r="A177" s="11">
        <f>IFERROR(__xludf.DUMMYFUNCTION("""COMPUTED_VALUE"""),1984.0)</f>
        <v>1984</v>
      </c>
      <c r="B177" s="11" t="str">
        <f>IFERROR(__xludf.DUMMYFUNCTION("""COMPUTED_VALUE"""),"Defensa Seguridad")</f>
        <v>Defensa Seguridad</v>
      </c>
      <c r="C177" s="11">
        <f>IFERROR(__xludf.DUMMYFUNCTION("""COMPUTED_VALUE"""),2.02275525674268)</f>
        <v>2.022755257</v>
      </c>
    </row>
    <row r="178">
      <c r="A178" s="11">
        <f>IFERROR(__xludf.DUMMYFUNCTION("""COMPUTED_VALUE"""),1984.0)</f>
        <v>1984</v>
      </c>
      <c r="B178" s="11" t="str">
        <f>IFERROR(__xludf.DUMMYFUNCTION("""COMPUTED_VALUE"""),"Educacion Basica")</f>
        <v>Educacion Basica</v>
      </c>
      <c r="C178" s="11">
        <f>IFERROR(__xludf.DUMMYFUNCTION("""COMPUTED_VALUE"""),2.09235210663943)</f>
        <v>2.092352107</v>
      </c>
    </row>
    <row r="179">
      <c r="A179" s="11">
        <f>IFERROR(__xludf.DUMMYFUNCTION("""COMPUTED_VALUE"""),1984.0)</f>
        <v>1984</v>
      </c>
      <c r="B179" s="11" t="str">
        <f>IFERROR(__xludf.DUMMYFUNCTION("""COMPUTED_VALUE"""),"Educacion Cultura Sin Discriminar")</f>
        <v>Educacion Cultura Sin Discriminar</v>
      </c>
      <c r="C179" s="11">
        <f>IFERROR(__xludf.DUMMYFUNCTION("""COMPUTED_VALUE"""),0.279350453203213)</f>
        <v>0.2793504532</v>
      </c>
    </row>
    <row r="180">
      <c r="A180" s="11">
        <f>IFERROR(__xludf.DUMMYFUNCTION("""COMPUTED_VALUE"""),1984.0)</f>
        <v>1984</v>
      </c>
      <c r="B180" s="11" t="str">
        <f>IFERROR(__xludf.DUMMYFUNCTION("""COMPUTED_VALUE"""),"Educacion Universitaria")</f>
        <v>Educacion Universitaria</v>
      </c>
      <c r="C180" s="11">
        <f>IFERROR(__xludf.DUMMYFUNCTION("""COMPUTED_VALUE"""),0.43511897186118)</f>
        <v>0.4351189719</v>
      </c>
    </row>
    <row r="181">
      <c r="A181" s="11">
        <f>IFERROR(__xludf.DUMMYFUNCTION("""COMPUTED_VALUE"""),1984.0)</f>
        <v>1984</v>
      </c>
      <c r="B181" s="11" t="str">
        <f>IFERROR(__xludf.DUMMYFUNCTION("""COMPUTED_VALUE"""),"Energia Combustible")</f>
        <v>Energia Combustible</v>
      </c>
      <c r="C181" s="11">
        <f>IFERROR(__xludf.DUMMYFUNCTION("""COMPUTED_VALUE"""),2.68090019269312)</f>
        <v>2.680900193</v>
      </c>
    </row>
    <row r="182">
      <c r="A182" s="11">
        <f>IFERROR(__xludf.DUMMYFUNCTION("""COMPUTED_VALUE"""),1984.0)</f>
        <v>1984</v>
      </c>
      <c r="B182" s="11" t="str">
        <f>IFERROR(__xludf.DUMMYFUNCTION("""COMPUTED_VALUE"""),"Funcionamiento Estado")</f>
        <v>Funcionamiento Estado</v>
      </c>
      <c r="C182" s="11">
        <f>IFERROR(__xludf.DUMMYFUNCTION("""COMPUTED_VALUE"""),3.85834530386381)</f>
        <v>3.858345304</v>
      </c>
    </row>
    <row r="183">
      <c r="A183" s="11">
        <f>IFERROR(__xludf.DUMMYFUNCTION("""COMPUTED_VALUE"""),1984.0)</f>
        <v>1984</v>
      </c>
      <c r="B183" s="11" t="str">
        <f>IFERROR(__xludf.DUMMYFUNCTION("""COMPUTED_VALUE"""),"Industria")</f>
        <v>Industria</v>
      </c>
      <c r="C183" s="11">
        <f>IFERROR(__xludf.DUMMYFUNCTION("""COMPUTED_VALUE"""),0.364329069969511)</f>
        <v>0.36432907</v>
      </c>
    </row>
    <row r="184">
      <c r="A184" s="11">
        <f>IFERROR(__xludf.DUMMYFUNCTION("""COMPUTED_VALUE"""),1984.0)</f>
        <v>1984</v>
      </c>
      <c r="B184" s="11" t="str">
        <f>IFERROR(__xludf.DUMMYFUNCTION("""COMPUTED_VALUE"""),"Inssjyp Prestaciones")</f>
        <v>Inssjyp Prestaciones</v>
      </c>
      <c r="C184" s="11">
        <f>IFERROR(__xludf.DUMMYFUNCTION("""COMPUTED_VALUE"""),0.0391905406639674)</f>
        <v>0.03919054066</v>
      </c>
    </row>
    <row r="185">
      <c r="A185" s="11">
        <f>IFERROR(__xludf.DUMMYFUNCTION("""COMPUTED_VALUE"""),1984.0)</f>
        <v>1984</v>
      </c>
      <c r="B185" s="11" t="str">
        <f>IFERROR(__xludf.DUMMYFUNCTION("""COMPUTED_VALUE"""),"Inssjyp Salud")</f>
        <v>Inssjyp Salud</v>
      </c>
      <c r="C185" s="11">
        <f>IFERROR(__xludf.DUMMYFUNCTION("""COMPUTED_VALUE"""),0.520674325964139)</f>
        <v>0.520674326</v>
      </c>
    </row>
    <row r="186">
      <c r="A186" s="11">
        <f>IFERROR(__xludf.DUMMYFUNCTION("""COMPUTED_VALUE"""),1984.0)</f>
        <v>1984</v>
      </c>
      <c r="B186" s="11" t="str">
        <f>IFERROR(__xludf.DUMMYFUNCTION("""COMPUTED_VALUE"""),"Justicia")</f>
        <v>Justicia</v>
      </c>
      <c r="C186" s="11">
        <f>IFERROR(__xludf.DUMMYFUNCTION("""COMPUTED_VALUE"""),0.314130522778952)</f>
        <v>0.3141305228</v>
      </c>
    </row>
    <row r="187">
      <c r="A187" s="11">
        <f>IFERROR(__xludf.DUMMYFUNCTION("""COMPUTED_VALUE"""),1984.0)</f>
        <v>1984</v>
      </c>
      <c r="B187" s="11" t="str">
        <f>IFERROR(__xludf.DUMMYFUNCTION("""COMPUTED_VALUE"""),"Obras Sociales Prestaciones")</f>
        <v>Obras Sociales Prestaciones</v>
      </c>
      <c r="C187" s="11">
        <f>IFERROR(__xludf.DUMMYFUNCTION("""COMPUTED_VALUE"""),0.23964052643448)</f>
        <v>0.2396405264</v>
      </c>
    </row>
    <row r="188">
      <c r="A188" s="11">
        <f>IFERROR(__xludf.DUMMYFUNCTION("""COMPUTED_VALUE"""),1984.0)</f>
        <v>1984</v>
      </c>
      <c r="B188" s="11" t="str">
        <f>IFERROR(__xludf.DUMMYFUNCTION("""COMPUTED_VALUE"""),"Obras Sociales Salud")</f>
        <v>Obras Sociales Salud</v>
      </c>
      <c r="C188" s="11">
        <f>IFERROR(__xludf.DUMMYFUNCTION("""COMPUTED_VALUE"""),1.69108596641863)</f>
        <v>1.691085966</v>
      </c>
    </row>
    <row r="189">
      <c r="A189" s="11">
        <f>IFERROR(__xludf.DUMMYFUNCTION("""COMPUTED_VALUE"""),1984.0)</f>
        <v>1984</v>
      </c>
      <c r="B189" s="11" t="str">
        <f>IFERROR(__xludf.DUMMYFUNCTION("""COMPUTED_VALUE"""),"Otros Servicios Economicos")</f>
        <v>Otros Servicios Economicos</v>
      </c>
      <c r="C189" s="11">
        <f>IFERROR(__xludf.DUMMYFUNCTION("""COMPUTED_VALUE"""),0.892313293911421)</f>
        <v>0.8923132939</v>
      </c>
    </row>
    <row r="190">
      <c r="A190" s="11">
        <f>IFERROR(__xludf.DUMMYFUNCTION("""COMPUTED_VALUE"""),1984.0)</f>
        <v>1984</v>
      </c>
      <c r="B190" s="11" t="str">
        <f>IFERROR(__xludf.DUMMYFUNCTION("""COMPUTED_VALUE"""),"Otros Servicios Urbanos")</f>
        <v>Otros Servicios Urbanos</v>
      </c>
      <c r="C190" s="11">
        <f>IFERROR(__xludf.DUMMYFUNCTION("""COMPUTED_VALUE"""),0.457362174219518)</f>
        <v>0.4573621742</v>
      </c>
    </row>
    <row r="191">
      <c r="A191" s="11">
        <f>IFERROR(__xludf.DUMMYFUNCTION("""COMPUTED_VALUE"""),1984.0)</f>
        <v>1984</v>
      </c>
      <c r="B191" s="11" t="str">
        <f>IFERROR(__xludf.DUMMYFUNCTION("""COMPUTED_VALUE"""),"Prevision Social")</f>
        <v>Prevision Social</v>
      </c>
      <c r="C191" s="11">
        <f>IFERROR(__xludf.DUMMYFUNCTION("""COMPUTED_VALUE"""),4.04485488715592)</f>
        <v>4.044854887</v>
      </c>
    </row>
    <row r="192">
      <c r="A192" s="11">
        <f>IFERROR(__xludf.DUMMYFUNCTION("""COMPUTED_VALUE"""),1984.0)</f>
        <v>1984</v>
      </c>
      <c r="B192" s="11" t="str">
        <f>IFERROR(__xludf.DUMMYFUNCTION("""COMPUTED_VALUE"""),"Produccion Primaria")</f>
        <v>Produccion Primaria</v>
      </c>
      <c r="C192" s="11">
        <f>IFERROR(__xludf.DUMMYFUNCTION("""COMPUTED_VALUE"""),0.367261280068554)</f>
        <v>0.3672612801</v>
      </c>
    </row>
    <row r="193">
      <c r="A193" s="11">
        <f>IFERROR(__xludf.DUMMYFUNCTION("""COMPUTED_VALUE"""),1984.0)</f>
        <v>1984</v>
      </c>
      <c r="B193" s="11" t="str">
        <f>IFERROR(__xludf.DUMMYFUNCTION("""COMPUTED_VALUE"""),"Programas Empleo")</f>
        <v>Programas Empleo</v>
      </c>
      <c r="C193" s="11">
        <f>IFERROR(__xludf.DUMMYFUNCTION("""COMPUTED_VALUE"""),0.0184254903091952)</f>
        <v>0.01842549031</v>
      </c>
    </row>
    <row r="194">
      <c r="A194" s="11">
        <f>IFERROR(__xludf.DUMMYFUNCTION("""COMPUTED_VALUE"""),1984.0)</f>
        <v>1984</v>
      </c>
      <c r="B194" s="11" t="str">
        <f>IFERROR(__xludf.DUMMYFUNCTION("""COMPUTED_VALUE"""),"Promocion Asistencia Social")</f>
        <v>Promocion Asistencia Social</v>
      </c>
      <c r="C194" s="11">
        <f>IFERROR(__xludf.DUMMYFUNCTION("""COMPUTED_VALUE"""),0.501225025298512)</f>
        <v>0.5012250253</v>
      </c>
    </row>
    <row r="195">
      <c r="A195" s="11">
        <f>IFERROR(__xludf.DUMMYFUNCTION("""COMPUTED_VALUE"""),1984.0)</f>
        <v>1984</v>
      </c>
      <c r="B195" s="11" t="str">
        <f>IFERROR(__xludf.DUMMYFUNCTION("""COMPUTED_VALUE"""),"Servicios Deuda Publica")</f>
        <v>Servicios Deuda Publica</v>
      </c>
      <c r="C195" s="11">
        <f>IFERROR(__xludf.DUMMYFUNCTION("""COMPUTED_VALUE"""),3.07101731319775)</f>
        <v>3.071017313</v>
      </c>
    </row>
    <row r="196">
      <c r="A196" s="11">
        <f>IFERROR(__xludf.DUMMYFUNCTION("""COMPUTED_VALUE"""),1984.0)</f>
        <v>1984</v>
      </c>
      <c r="B196" s="11" t="str">
        <f>IFERROR(__xludf.DUMMYFUNCTION("""COMPUTED_VALUE"""),"Servicios Economicos")</f>
        <v>Servicios Economicos</v>
      </c>
      <c r="C196" s="11">
        <f>IFERROR(__xludf.DUMMYFUNCTION("""COMPUTED_VALUE"""),6.68606219371701)</f>
        <v>6.686062194</v>
      </c>
    </row>
    <row r="197">
      <c r="A197" s="11">
        <f>IFERROR(__xludf.DUMMYFUNCTION("""COMPUTED_VALUE"""),1984.0)</f>
        <v>1984</v>
      </c>
      <c r="B197" s="11" t="str">
        <f>IFERROR(__xludf.DUMMYFUNCTION("""COMPUTED_VALUE"""),"Servicios Sociales")</f>
        <v>Servicios Sociales</v>
      </c>
      <c r="C197" s="11">
        <f>IFERROR(__xludf.DUMMYFUNCTION("""COMPUTED_VALUE"""),12.9662153901989)</f>
        <v>12.96621539</v>
      </c>
    </row>
    <row r="198">
      <c r="A198" s="11">
        <f>IFERROR(__xludf.DUMMYFUNCTION("""COMPUTED_VALUE"""),1984.0)</f>
        <v>1984</v>
      </c>
      <c r="B198" s="11" t="str">
        <f>IFERROR(__xludf.DUMMYFUNCTION("""COMPUTED_VALUE"""),"Transporte")</f>
        <v>Transporte</v>
      </c>
      <c r="C198" s="11">
        <f>IFERROR(__xludf.DUMMYFUNCTION("""COMPUTED_VALUE"""),2.07173025635461)</f>
        <v>2.071730256</v>
      </c>
    </row>
    <row r="199">
      <c r="A199" s="11">
        <f>IFERROR(__xludf.DUMMYFUNCTION("""COMPUTED_VALUE"""),1984.0)</f>
        <v>1984</v>
      </c>
      <c r="B199" s="11" t="str">
        <f>IFERROR(__xludf.DUMMYFUNCTION("""COMPUTED_VALUE"""),"Vivienda Urbanismo")</f>
        <v>Vivienda Urbanismo</v>
      </c>
      <c r="C199" s="11">
        <f>IFERROR(__xludf.DUMMYFUNCTION("""COMPUTED_VALUE"""),0.592803290406058)</f>
        <v>0.5928032904</v>
      </c>
    </row>
    <row r="200">
      <c r="A200" s="11">
        <f>IFERROR(__xludf.DUMMYFUNCTION("""COMPUTED_VALUE"""),1985.0)</f>
        <v>1985</v>
      </c>
      <c r="B200" s="11" t="str">
        <f>IFERROR(__xludf.DUMMYFUNCTION("""COMPUTED_VALUE"""),"Administracion General")</f>
        <v>Administracion General</v>
      </c>
      <c r="C200" s="11">
        <f>IFERROR(__xludf.DUMMYFUNCTION("""COMPUTED_VALUE"""),1.90517464782132)</f>
        <v>1.905174648</v>
      </c>
    </row>
    <row r="201">
      <c r="A201" s="11">
        <f>IFERROR(__xludf.DUMMYFUNCTION("""COMPUTED_VALUE"""),1985.0)</f>
        <v>1985</v>
      </c>
      <c r="B201" s="11" t="str">
        <f>IFERROR(__xludf.DUMMYFUNCTION("""COMPUTED_VALUE"""),"Agua Alcantarillado")</f>
        <v>Agua Alcantarillado</v>
      </c>
      <c r="C201" s="11">
        <f>IFERROR(__xludf.DUMMYFUNCTION("""COMPUTED_VALUE"""),0.176710920446439)</f>
        <v>0.1767109204</v>
      </c>
    </row>
    <row r="202">
      <c r="A202" s="11">
        <f>IFERROR(__xludf.DUMMYFUNCTION("""COMPUTED_VALUE"""),1985.0)</f>
        <v>1985</v>
      </c>
      <c r="B202" s="11" t="str">
        <f>IFERROR(__xludf.DUMMYFUNCTION("""COMPUTED_VALUE"""),"Asignaciones Familiares")</f>
        <v>Asignaciones Familiares</v>
      </c>
      <c r="C202" s="11">
        <f>IFERROR(__xludf.DUMMYFUNCTION("""COMPUTED_VALUE"""),0.439728716075503)</f>
        <v>0.4397287161</v>
      </c>
    </row>
    <row r="203">
      <c r="A203" s="11">
        <f>IFERROR(__xludf.DUMMYFUNCTION("""COMPUTED_VALUE"""),1985.0)</f>
        <v>1985</v>
      </c>
      <c r="B203" s="11" t="str">
        <f>IFERROR(__xludf.DUMMYFUNCTION("""COMPUTED_VALUE"""),"Atencion Salud")</f>
        <v>Atencion Salud</v>
      </c>
      <c r="C203" s="11">
        <f>IFERROR(__xludf.DUMMYFUNCTION("""COMPUTED_VALUE"""),1.24423651134349)</f>
        <v>1.244236511</v>
      </c>
    </row>
    <row r="204">
      <c r="A204" s="11">
        <f>IFERROR(__xludf.DUMMYFUNCTION("""COMPUTED_VALUE"""),1985.0)</f>
        <v>1985</v>
      </c>
      <c r="B204" s="11" t="str">
        <f>IFERROR(__xludf.DUMMYFUNCTION("""COMPUTED_VALUE"""),"Ciencia Tecnica")</f>
        <v>Ciencia Tecnica</v>
      </c>
      <c r="C204" s="11">
        <f>IFERROR(__xludf.DUMMYFUNCTION("""COMPUTED_VALUE"""),0.244116144555823)</f>
        <v>0.2441161446</v>
      </c>
    </row>
    <row r="205">
      <c r="A205" s="11">
        <f>IFERROR(__xludf.DUMMYFUNCTION("""COMPUTED_VALUE"""),1985.0)</f>
        <v>1985</v>
      </c>
      <c r="B205" s="11" t="str">
        <f>IFERROR(__xludf.DUMMYFUNCTION("""COMPUTED_VALUE"""),"Comunicaciones")</f>
        <v>Comunicaciones</v>
      </c>
      <c r="C205" s="11">
        <f>IFERROR(__xludf.DUMMYFUNCTION("""COMPUTED_VALUE"""),0.254335858886947)</f>
        <v>0.2543358589</v>
      </c>
    </row>
    <row r="206">
      <c r="A206" s="11">
        <f>IFERROR(__xludf.DUMMYFUNCTION("""COMPUTED_VALUE"""),1985.0)</f>
        <v>1985</v>
      </c>
      <c r="B206" s="11" t="str">
        <f>IFERROR(__xludf.DUMMYFUNCTION("""COMPUTED_VALUE"""),"Cultura")</f>
        <v>Cultura</v>
      </c>
      <c r="C206" s="11">
        <f>IFERROR(__xludf.DUMMYFUNCTION("""COMPUTED_VALUE"""),0.087484765795333)</f>
        <v>0.0874847658</v>
      </c>
    </row>
    <row r="207">
      <c r="A207" s="11">
        <f>IFERROR(__xludf.DUMMYFUNCTION("""COMPUTED_VALUE"""),1985.0)</f>
        <v>1985</v>
      </c>
      <c r="B207" s="11" t="str">
        <f>IFERROR(__xludf.DUMMYFUNCTION("""COMPUTED_VALUE"""),"Defensa Seguridad")</f>
        <v>Defensa Seguridad</v>
      </c>
      <c r="C207" s="11">
        <f>IFERROR(__xludf.DUMMYFUNCTION("""COMPUTED_VALUE"""),2.05245792032393)</f>
        <v>2.05245792</v>
      </c>
    </row>
    <row r="208">
      <c r="A208" s="11">
        <f>IFERROR(__xludf.DUMMYFUNCTION("""COMPUTED_VALUE"""),1985.0)</f>
        <v>1985</v>
      </c>
      <c r="B208" s="11" t="str">
        <f>IFERROR(__xludf.DUMMYFUNCTION("""COMPUTED_VALUE"""),"Educacion Basica")</f>
        <v>Educacion Basica</v>
      </c>
      <c r="C208" s="11">
        <f>IFERROR(__xludf.DUMMYFUNCTION("""COMPUTED_VALUE"""),2.05230702385168)</f>
        <v>2.052307024</v>
      </c>
    </row>
    <row r="209">
      <c r="A209" s="11">
        <f>IFERROR(__xludf.DUMMYFUNCTION("""COMPUTED_VALUE"""),1985.0)</f>
        <v>1985</v>
      </c>
      <c r="B209" s="11" t="str">
        <f>IFERROR(__xludf.DUMMYFUNCTION("""COMPUTED_VALUE"""),"Educacion Cultura Sin Discriminar")</f>
        <v>Educacion Cultura Sin Discriminar</v>
      </c>
      <c r="C209" s="11">
        <f>IFERROR(__xludf.DUMMYFUNCTION("""COMPUTED_VALUE"""),0.29071860633526)</f>
        <v>0.2907186063</v>
      </c>
    </row>
    <row r="210">
      <c r="A210" s="11">
        <f>IFERROR(__xludf.DUMMYFUNCTION("""COMPUTED_VALUE"""),1985.0)</f>
        <v>1985</v>
      </c>
      <c r="B210" s="11" t="str">
        <f>IFERROR(__xludf.DUMMYFUNCTION("""COMPUTED_VALUE"""),"Educacion Universitaria")</f>
        <v>Educacion Universitaria</v>
      </c>
      <c r="C210" s="11">
        <f>IFERROR(__xludf.DUMMYFUNCTION("""COMPUTED_VALUE"""),0.452058715212229)</f>
        <v>0.4520587152</v>
      </c>
    </row>
    <row r="211">
      <c r="A211" s="11">
        <f>IFERROR(__xludf.DUMMYFUNCTION("""COMPUTED_VALUE"""),1985.0)</f>
        <v>1985</v>
      </c>
      <c r="B211" s="11" t="str">
        <f>IFERROR(__xludf.DUMMYFUNCTION("""COMPUTED_VALUE"""),"Energia Combustible")</f>
        <v>Energia Combustible</v>
      </c>
      <c r="C211" s="11">
        <f>IFERROR(__xludf.DUMMYFUNCTION("""COMPUTED_VALUE"""),2.48784092613939)</f>
        <v>2.487840926</v>
      </c>
    </row>
    <row r="212">
      <c r="A212" s="11">
        <f>IFERROR(__xludf.DUMMYFUNCTION("""COMPUTED_VALUE"""),1985.0)</f>
        <v>1985</v>
      </c>
      <c r="B212" s="11" t="str">
        <f>IFERROR(__xludf.DUMMYFUNCTION("""COMPUTED_VALUE"""),"Funcionamiento Estado")</f>
        <v>Funcionamiento Estado</v>
      </c>
      <c r="C212" s="11">
        <f>IFERROR(__xludf.DUMMYFUNCTION("""COMPUTED_VALUE"""),4.31129011920676)</f>
        <v>4.311290119</v>
      </c>
    </row>
    <row r="213">
      <c r="A213" s="11">
        <f>IFERROR(__xludf.DUMMYFUNCTION("""COMPUTED_VALUE"""),1985.0)</f>
        <v>1985</v>
      </c>
      <c r="B213" s="11" t="str">
        <f>IFERROR(__xludf.DUMMYFUNCTION("""COMPUTED_VALUE"""),"Industria")</f>
        <v>Industria</v>
      </c>
      <c r="C213" s="11">
        <f>IFERROR(__xludf.DUMMYFUNCTION("""COMPUTED_VALUE"""),0.388239650005205)</f>
        <v>0.38823965</v>
      </c>
    </row>
    <row r="214">
      <c r="A214" s="11">
        <f>IFERROR(__xludf.DUMMYFUNCTION("""COMPUTED_VALUE"""),1985.0)</f>
        <v>1985</v>
      </c>
      <c r="B214" s="11" t="str">
        <f>IFERROR(__xludf.DUMMYFUNCTION("""COMPUTED_VALUE"""),"Inssjyp Prestaciones")</f>
        <v>Inssjyp Prestaciones</v>
      </c>
      <c r="C214" s="11">
        <f>IFERROR(__xludf.DUMMYFUNCTION("""COMPUTED_VALUE"""),0.0419960523804442)</f>
        <v>0.04199605238</v>
      </c>
    </row>
    <row r="215">
      <c r="A215" s="11">
        <f>IFERROR(__xludf.DUMMYFUNCTION("""COMPUTED_VALUE"""),1985.0)</f>
        <v>1985</v>
      </c>
      <c r="B215" s="11" t="str">
        <f>IFERROR(__xludf.DUMMYFUNCTION("""COMPUTED_VALUE"""),"Inssjyp Salud")</f>
        <v>Inssjyp Salud</v>
      </c>
      <c r="C215" s="11">
        <f>IFERROR(__xludf.DUMMYFUNCTION("""COMPUTED_VALUE"""),0.557947553054473)</f>
        <v>0.5579475531</v>
      </c>
    </row>
    <row r="216">
      <c r="A216" s="11">
        <f>IFERROR(__xludf.DUMMYFUNCTION("""COMPUTED_VALUE"""),1985.0)</f>
        <v>1985</v>
      </c>
      <c r="B216" s="11" t="str">
        <f>IFERROR(__xludf.DUMMYFUNCTION("""COMPUTED_VALUE"""),"Justicia")</f>
        <v>Justicia</v>
      </c>
      <c r="C216" s="11">
        <f>IFERROR(__xludf.DUMMYFUNCTION("""COMPUTED_VALUE"""),0.353657551061509)</f>
        <v>0.3536575511</v>
      </c>
    </row>
    <row r="217">
      <c r="A217" s="11">
        <f>IFERROR(__xludf.DUMMYFUNCTION("""COMPUTED_VALUE"""),1985.0)</f>
        <v>1985</v>
      </c>
      <c r="B217" s="11" t="str">
        <f>IFERROR(__xludf.DUMMYFUNCTION("""COMPUTED_VALUE"""),"Obras Sociales Prestaciones")</f>
        <v>Obras Sociales Prestaciones</v>
      </c>
      <c r="C217" s="11">
        <f>IFERROR(__xludf.DUMMYFUNCTION("""COMPUTED_VALUE"""),0.244372879282295)</f>
        <v>0.2443728793</v>
      </c>
    </row>
    <row r="218">
      <c r="A218" s="11">
        <f>IFERROR(__xludf.DUMMYFUNCTION("""COMPUTED_VALUE"""),1985.0)</f>
        <v>1985</v>
      </c>
      <c r="B218" s="11" t="str">
        <f>IFERROR(__xludf.DUMMYFUNCTION("""COMPUTED_VALUE"""),"Obras Sociales Salud")</f>
        <v>Obras Sociales Salud</v>
      </c>
      <c r="C218" s="11">
        <f>IFERROR(__xludf.DUMMYFUNCTION("""COMPUTED_VALUE"""),1.68971340453145)</f>
        <v>1.689713405</v>
      </c>
    </row>
    <row r="219">
      <c r="A219" s="11">
        <f>IFERROR(__xludf.DUMMYFUNCTION("""COMPUTED_VALUE"""),1985.0)</f>
        <v>1985</v>
      </c>
      <c r="B219" s="11" t="str">
        <f>IFERROR(__xludf.DUMMYFUNCTION("""COMPUTED_VALUE"""),"Otros Servicios Economicos")</f>
        <v>Otros Servicios Economicos</v>
      </c>
      <c r="C219" s="11">
        <f>IFERROR(__xludf.DUMMYFUNCTION("""COMPUTED_VALUE"""),1.56743934212163)</f>
        <v>1.567439342</v>
      </c>
    </row>
    <row r="220">
      <c r="A220" s="11">
        <f>IFERROR(__xludf.DUMMYFUNCTION("""COMPUTED_VALUE"""),1985.0)</f>
        <v>1985</v>
      </c>
      <c r="B220" s="11" t="str">
        <f>IFERROR(__xludf.DUMMYFUNCTION("""COMPUTED_VALUE"""),"Otros Servicios Urbanos")</f>
        <v>Otros Servicios Urbanos</v>
      </c>
      <c r="C220" s="11">
        <f>IFERROR(__xludf.DUMMYFUNCTION("""COMPUTED_VALUE"""),0.613467213368809)</f>
        <v>0.6134672134</v>
      </c>
    </row>
    <row r="221">
      <c r="A221" s="11">
        <f>IFERROR(__xludf.DUMMYFUNCTION("""COMPUTED_VALUE"""),1985.0)</f>
        <v>1985</v>
      </c>
      <c r="B221" s="11" t="str">
        <f>IFERROR(__xludf.DUMMYFUNCTION("""COMPUTED_VALUE"""),"Prevision Social")</f>
        <v>Prevision Social</v>
      </c>
      <c r="C221" s="11">
        <f>IFERROR(__xludf.DUMMYFUNCTION("""COMPUTED_VALUE"""),5.51343967396334)</f>
        <v>5.513439674</v>
      </c>
    </row>
    <row r="222">
      <c r="A222" s="11">
        <f>IFERROR(__xludf.DUMMYFUNCTION("""COMPUTED_VALUE"""),1985.0)</f>
        <v>1985</v>
      </c>
      <c r="B222" s="11" t="str">
        <f>IFERROR(__xludf.DUMMYFUNCTION("""COMPUTED_VALUE"""),"Produccion Primaria")</f>
        <v>Produccion Primaria</v>
      </c>
      <c r="C222" s="11">
        <f>IFERROR(__xludf.DUMMYFUNCTION("""COMPUTED_VALUE"""),0.365961417797174)</f>
        <v>0.3659614178</v>
      </c>
    </row>
    <row r="223">
      <c r="A223" s="11">
        <f>IFERROR(__xludf.DUMMYFUNCTION("""COMPUTED_VALUE"""),1985.0)</f>
        <v>1985</v>
      </c>
      <c r="B223" s="11" t="str">
        <f>IFERROR(__xludf.DUMMYFUNCTION("""COMPUTED_VALUE"""),"Programas Empleo")</f>
        <v>Programas Empleo</v>
      </c>
      <c r="C223" s="11">
        <f>IFERROR(__xludf.DUMMYFUNCTION("""COMPUTED_VALUE"""),0.0223759112514986)</f>
        <v>0.02237591125</v>
      </c>
    </row>
    <row r="224">
      <c r="A224" s="11">
        <f>IFERROR(__xludf.DUMMYFUNCTION("""COMPUTED_VALUE"""),1985.0)</f>
        <v>1985</v>
      </c>
      <c r="B224" s="11" t="str">
        <f>IFERROR(__xludf.DUMMYFUNCTION("""COMPUTED_VALUE"""),"Promocion Asistencia Social")</f>
        <v>Promocion Asistencia Social</v>
      </c>
      <c r="C224" s="11">
        <f>IFERROR(__xludf.DUMMYFUNCTION("""COMPUTED_VALUE"""),0.686592888014836)</f>
        <v>0.686592888</v>
      </c>
    </row>
    <row r="225">
      <c r="A225" s="11">
        <f>IFERROR(__xludf.DUMMYFUNCTION("""COMPUTED_VALUE"""),1985.0)</f>
        <v>1985</v>
      </c>
      <c r="B225" s="11" t="str">
        <f>IFERROR(__xludf.DUMMYFUNCTION("""COMPUTED_VALUE"""),"Servicios Deuda Publica")</f>
        <v>Servicios Deuda Publica</v>
      </c>
      <c r="C225" s="11">
        <f>IFERROR(__xludf.DUMMYFUNCTION("""COMPUTED_VALUE"""),3.67879126679151)</f>
        <v>3.678791267</v>
      </c>
    </row>
    <row r="226">
      <c r="A226" s="11">
        <f>IFERROR(__xludf.DUMMYFUNCTION("""COMPUTED_VALUE"""),1985.0)</f>
        <v>1985</v>
      </c>
      <c r="B226" s="11" t="str">
        <f>IFERROR(__xludf.DUMMYFUNCTION("""COMPUTED_VALUE"""),"Servicios Economicos")</f>
        <v>Servicios Economicos</v>
      </c>
      <c r="C226" s="11">
        <f>IFERROR(__xludf.DUMMYFUNCTION("""COMPUTED_VALUE"""),7.01869546067143)</f>
        <v>7.018695461</v>
      </c>
    </row>
    <row r="227">
      <c r="A227" s="11">
        <f>IFERROR(__xludf.DUMMYFUNCTION("""COMPUTED_VALUE"""),1985.0)</f>
        <v>1985</v>
      </c>
      <c r="B227" s="11" t="str">
        <f>IFERROR(__xludf.DUMMYFUNCTION("""COMPUTED_VALUE"""),"Servicios Sociales")</f>
        <v>Servicios Sociales</v>
      </c>
      <c r="C227" s="11">
        <f>IFERROR(__xludf.DUMMYFUNCTION("""COMPUTED_VALUE"""),14.945165951527)</f>
        <v>14.94516595</v>
      </c>
    </row>
    <row r="228">
      <c r="A228" s="11">
        <f>IFERROR(__xludf.DUMMYFUNCTION("""COMPUTED_VALUE"""),1985.0)</f>
        <v>1985</v>
      </c>
      <c r="B228" s="11" t="str">
        <f>IFERROR(__xludf.DUMMYFUNCTION("""COMPUTED_VALUE"""),"Transporte")</f>
        <v>Transporte</v>
      </c>
      <c r="C228" s="11">
        <f>IFERROR(__xludf.DUMMYFUNCTION("""COMPUTED_VALUE"""),1.95487826572107)</f>
        <v>1.954878266</v>
      </c>
    </row>
    <row r="229">
      <c r="A229" s="11">
        <f>IFERROR(__xludf.DUMMYFUNCTION("""COMPUTED_VALUE"""),1985.0)</f>
        <v>1985</v>
      </c>
      <c r="B229" s="11" t="str">
        <f>IFERROR(__xludf.DUMMYFUNCTION("""COMPUTED_VALUE"""),"Vivienda Urbanismo")</f>
        <v>Vivienda Urbanismo</v>
      </c>
      <c r="C229" s="11">
        <f>IFERROR(__xludf.DUMMYFUNCTION("""COMPUTED_VALUE"""),0.587898972064111)</f>
        <v>0.5878989721</v>
      </c>
    </row>
    <row r="230">
      <c r="A230" s="11">
        <f>IFERROR(__xludf.DUMMYFUNCTION("""COMPUTED_VALUE"""),1986.0)</f>
        <v>1986</v>
      </c>
      <c r="B230" s="11" t="str">
        <f>IFERROR(__xludf.DUMMYFUNCTION("""COMPUTED_VALUE"""),"Administracion General")</f>
        <v>Administracion General</v>
      </c>
      <c r="C230" s="11">
        <f>IFERROR(__xludf.DUMMYFUNCTION("""COMPUTED_VALUE"""),2.22002362086046)</f>
        <v>2.220023621</v>
      </c>
    </row>
    <row r="231">
      <c r="A231" s="11">
        <f>IFERROR(__xludf.DUMMYFUNCTION("""COMPUTED_VALUE"""),1986.0)</f>
        <v>1986</v>
      </c>
      <c r="B231" s="11" t="str">
        <f>IFERROR(__xludf.DUMMYFUNCTION("""COMPUTED_VALUE"""),"Agua Alcantarillado")</f>
        <v>Agua Alcantarillado</v>
      </c>
      <c r="C231" s="11">
        <f>IFERROR(__xludf.DUMMYFUNCTION("""COMPUTED_VALUE"""),0.184753591590178)</f>
        <v>0.1847535916</v>
      </c>
    </row>
    <row r="232">
      <c r="A232" s="11">
        <f>IFERROR(__xludf.DUMMYFUNCTION("""COMPUTED_VALUE"""),1986.0)</f>
        <v>1986</v>
      </c>
      <c r="B232" s="11" t="str">
        <f>IFERROR(__xludf.DUMMYFUNCTION("""COMPUTED_VALUE"""),"Asignaciones Familiares")</f>
        <v>Asignaciones Familiares</v>
      </c>
      <c r="C232" s="11">
        <f>IFERROR(__xludf.DUMMYFUNCTION("""COMPUTED_VALUE"""),0.689500565992154)</f>
        <v>0.689500566</v>
      </c>
    </row>
    <row r="233">
      <c r="A233" s="11">
        <f>IFERROR(__xludf.DUMMYFUNCTION("""COMPUTED_VALUE"""),1986.0)</f>
        <v>1986</v>
      </c>
      <c r="B233" s="11" t="str">
        <f>IFERROR(__xludf.DUMMYFUNCTION("""COMPUTED_VALUE"""),"Atencion Salud")</f>
        <v>Atencion Salud</v>
      </c>
      <c r="C233" s="11">
        <f>IFERROR(__xludf.DUMMYFUNCTION("""COMPUTED_VALUE"""),1.52156870760225)</f>
        <v>1.521568708</v>
      </c>
    </row>
    <row r="234">
      <c r="A234" s="11">
        <f>IFERROR(__xludf.DUMMYFUNCTION("""COMPUTED_VALUE"""),1986.0)</f>
        <v>1986</v>
      </c>
      <c r="B234" s="11" t="str">
        <f>IFERROR(__xludf.DUMMYFUNCTION("""COMPUTED_VALUE"""),"Ciencia Tecnica")</f>
        <v>Ciencia Tecnica</v>
      </c>
      <c r="C234" s="11">
        <f>IFERROR(__xludf.DUMMYFUNCTION("""COMPUTED_VALUE"""),0.285517458537226)</f>
        <v>0.2855174585</v>
      </c>
    </row>
    <row r="235">
      <c r="A235" s="11">
        <f>IFERROR(__xludf.DUMMYFUNCTION("""COMPUTED_VALUE"""),1986.0)</f>
        <v>1986</v>
      </c>
      <c r="B235" s="11" t="str">
        <f>IFERROR(__xludf.DUMMYFUNCTION("""COMPUTED_VALUE"""),"Comunicaciones")</f>
        <v>Comunicaciones</v>
      </c>
      <c r="C235" s="11">
        <f>IFERROR(__xludf.DUMMYFUNCTION("""COMPUTED_VALUE"""),0.395365315807652)</f>
        <v>0.3953653158</v>
      </c>
    </row>
    <row r="236">
      <c r="A236" s="11">
        <f>IFERROR(__xludf.DUMMYFUNCTION("""COMPUTED_VALUE"""),1986.0)</f>
        <v>1986</v>
      </c>
      <c r="B236" s="11" t="str">
        <f>IFERROR(__xludf.DUMMYFUNCTION("""COMPUTED_VALUE"""),"Cultura")</f>
        <v>Cultura</v>
      </c>
      <c r="C236" s="11">
        <f>IFERROR(__xludf.DUMMYFUNCTION("""COMPUTED_VALUE"""),0.0881238866170701)</f>
        <v>0.08812388662</v>
      </c>
    </row>
    <row r="237">
      <c r="A237" s="11">
        <f>IFERROR(__xludf.DUMMYFUNCTION("""COMPUTED_VALUE"""),1986.0)</f>
        <v>1986</v>
      </c>
      <c r="B237" s="11" t="str">
        <f>IFERROR(__xludf.DUMMYFUNCTION("""COMPUTED_VALUE"""),"Defensa Seguridad")</f>
        <v>Defensa Seguridad</v>
      </c>
      <c r="C237" s="11">
        <f>IFERROR(__xludf.DUMMYFUNCTION("""COMPUTED_VALUE"""),2.45488056658577)</f>
        <v>2.454880567</v>
      </c>
    </row>
    <row r="238">
      <c r="A238" s="11">
        <f>IFERROR(__xludf.DUMMYFUNCTION("""COMPUTED_VALUE"""),1986.0)</f>
        <v>1986</v>
      </c>
      <c r="B238" s="11" t="str">
        <f>IFERROR(__xludf.DUMMYFUNCTION("""COMPUTED_VALUE"""),"Educacion Basica")</f>
        <v>Educacion Basica</v>
      </c>
      <c r="C238" s="11">
        <f>IFERROR(__xludf.DUMMYFUNCTION("""COMPUTED_VALUE"""),2.54323305810903)</f>
        <v>2.543233058</v>
      </c>
    </row>
    <row r="239">
      <c r="A239" s="11">
        <f>IFERROR(__xludf.DUMMYFUNCTION("""COMPUTED_VALUE"""),1986.0)</f>
        <v>1986</v>
      </c>
      <c r="B239" s="11" t="str">
        <f>IFERROR(__xludf.DUMMYFUNCTION("""COMPUTED_VALUE"""),"Educacion Cultura Sin Discriminar")</f>
        <v>Educacion Cultura Sin Discriminar</v>
      </c>
      <c r="C239" s="11">
        <f>IFERROR(__xludf.DUMMYFUNCTION("""COMPUTED_VALUE"""),0.297614822436667)</f>
        <v>0.2976148224</v>
      </c>
    </row>
    <row r="240">
      <c r="A240" s="11">
        <f>IFERROR(__xludf.DUMMYFUNCTION("""COMPUTED_VALUE"""),1986.0)</f>
        <v>1986</v>
      </c>
      <c r="B240" s="11" t="str">
        <f>IFERROR(__xludf.DUMMYFUNCTION("""COMPUTED_VALUE"""),"Educacion Universitaria")</f>
        <v>Educacion Universitaria</v>
      </c>
      <c r="C240" s="11">
        <f>IFERROR(__xludf.DUMMYFUNCTION("""COMPUTED_VALUE"""),0.504947337501551)</f>
        <v>0.5049473375</v>
      </c>
    </row>
    <row r="241">
      <c r="A241" s="11">
        <f>IFERROR(__xludf.DUMMYFUNCTION("""COMPUTED_VALUE"""),1986.0)</f>
        <v>1986</v>
      </c>
      <c r="B241" s="11" t="str">
        <f>IFERROR(__xludf.DUMMYFUNCTION("""COMPUTED_VALUE"""),"Energia Combustible")</f>
        <v>Energia Combustible</v>
      </c>
      <c r="C241" s="11">
        <f>IFERROR(__xludf.DUMMYFUNCTION("""COMPUTED_VALUE"""),2.32777720547556)</f>
        <v>2.327777205</v>
      </c>
    </row>
    <row r="242">
      <c r="A242" s="11">
        <f>IFERROR(__xludf.DUMMYFUNCTION("""COMPUTED_VALUE"""),1986.0)</f>
        <v>1986</v>
      </c>
      <c r="B242" s="11" t="str">
        <f>IFERROR(__xludf.DUMMYFUNCTION("""COMPUTED_VALUE"""),"Funcionamiento Estado")</f>
        <v>Funcionamiento Estado</v>
      </c>
      <c r="C242" s="11">
        <f>IFERROR(__xludf.DUMMYFUNCTION("""COMPUTED_VALUE"""),5.11007715523228)</f>
        <v>5.110077155</v>
      </c>
    </row>
    <row r="243">
      <c r="A243" s="11">
        <f>IFERROR(__xludf.DUMMYFUNCTION("""COMPUTED_VALUE"""),1986.0)</f>
        <v>1986</v>
      </c>
      <c r="B243" s="11" t="str">
        <f>IFERROR(__xludf.DUMMYFUNCTION("""COMPUTED_VALUE"""),"Industria")</f>
        <v>Industria</v>
      </c>
      <c r="C243" s="11">
        <f>IFERROR(__xludf.DUMMYFUNCTION("""COMPUTED_VALUE"""),0.334905522829763)</f>
        <v>0.3349055228</v>
      </c>
    </row>
    <row r="244">
      <c r="A244" s="11">
        <f>IFERROR(__xludf.DUMMYFUNCTION("""COMPUTED_VALUE"""),1986.0)</f>
        <v>1986</v>
      </c>
      <c r="B244" s="11" t="str">
        <f>IFERROR(__xludf.DUMMYFUNCTION("""COMPUTED_VALUE"""),"Inssjyp Prestaciones")</f>
        <v>Inssjyp Prestaciones</v>
      </c>
      <c r="C244" s="11">
        <f>IFERROR(__xludf.DUMMYFUNCTION("""COMPUTED_VALUE"""),0.0464578114759366)</f>
        <v>0.04645781148</v>
      </c>
    </row>
    <row r="245">
      <c r="A245" s="11">
        <f>IFERROR(__xludf.DUMMYFUNCTION("""COMPUTED_VALUE"""),1986.0)</f>
        <v>1986</v>
      </c>
      <c r="B245" s="11" t="str">
        <f>IFERROR(__xludf.DUMMYFUNCTION("""COMPUTED_VALUE"""),"Inssjyp Salud")</f>
        <v>Inssjyp Salud</v>
      </c>
      <c r="C245" s="11">
        <f>IFERROR(__xludf.DUMMYFUNCTION("""COMPUTED_VALUE"""),0.617225209608872)</f>
        <v>0.6172252096</v>
      </c>
    </row>
    <row r="246">
      <c r="A246" s="11">
        <f>IFERROR(__xludf.DUMMYFUNCTION("""COMPUTED_VALUE"""),1986.0)</f>
        <v>1986</v>
      </c>
      <c r="B246" s="11" t="str">
        <f>IFERROR(__xludf.DUMMYFUNCTION("""COMPUTED_VALUE"""),"Justicia")</f>
        <v>Justicia</v>
      </c>
      <c r="C246" s="11">
        <f>IFERROR(__xludf.DUMMYFUNCTION("""COMPUTED_VALUE"""),0.43517296778604)</f>
        <v>0.4351729678</v>
      </c>
    </row>
    <row r="247">
      <c r="A247" s="11">
        <f>IFERROR(__xludf.DUMMYFUNCTION("""COMPUTED_VALUE"""),1986.0)</f>
        <v>1986</v>
      </c>
      <c r="B247" s="11" t="str">
        <f>IFERROR(__xludf.DUMMYFUNCTION("""COMPUTED_VALUE"""),"Obras Sociales Prestaciones")</f>
        <v>Obras Sociales Prestaciones</v>
      </c>
      <c r="C247" s="11">
        <f>IFERROR(__xludf.DUMMYFUNCTION("""COMPUTED_VALUE"""),0.272532990385152)</f>
        <v>0.2725329904</v>
      </c>
    </row>
    <row r="248">
      <c r="A248" s="11">
        <f>IFERROR(__xludf.DUMMYFUNCTION("""COMPUTED_VALUE"""),1986.0)</f>
        <v>1986</v>
      </c>
      <c r="B248" s="11" t="str">
        <f>IFERROR(__xludf.DUMMYFUNCTION("""COMPUTED_VALUE"""),"Obras Sociales Salud")</f>
        <v>Obras Sociales Salud</v>
      </c>
      <c r="C248" s="11">
        <f>IFERROR(__xludf.DUMMYFUNCTION("""COMPUTED_VALUE"""),1.89702595480005)</f>
        <v>1.897025955</v>
      </c>
    </row>
    <row r="249">
      <c r="A249" s="11">
        <f>IFERROR(__xludf.DUMMYFUNCTION("""COMPUTED_VALUE"""),1986.0)</f>
        <v>1986</v>
      </c>
      <c r="B249" s="11" t="str">
        <f>IFERROR(__xludf.DUMMYFUNCTION("""COMPUTED_VALUE"""),"Otros Servicios Economicos")</f>
        <v>Otros Servicios Economicos</v>
      </c>
      <c r="C249" s="11">
        <f>IFERROR(__xludf.DUMMYFUNCTION("""COMPUTED_VALUE"""),1.58118842581335)</f>
        <v>1.581188426</v>
      </c>
    </row>
    <row r="250">
      <c r="A250" s="11">
        <f>IFERROR(__xludf.DUMMYFUNCTION("""COMPUTED_VALUE"""),1986.0)</f>
        <v>1986</v>
      </c>
      <c r="B250" s="11" t="str">
        <f>IFERROR(__xludf.DUMMYFUNCTION("""COMPUTED_VALUE"""),"Otros Servicios Urbanos")</f>
        <v>Otros Servicios Urbanos</v>
      </c>
      <c r="C250" s="11">
        <f>IFERROR(__xludf.DUMMYFUNCTION("""COMPUTED_VALUE"""),0.734233369566506)</f>
        <v>0.7342333696</v>
      </c>
    </row>
    <row r="251">
      <c r="A251" s="11">
        <f>IFERROR(__xludf.DUMMYFUNCTION("""COMPUTED_VALUE"""),1986.0)</f>
        <v>1986</v>
      </c>
      <c r="B251" s="11" t="str">
        <f>IFERROR(__xludf.DUMMYFUNCTION("""COMPUTED_VALUE"""),"Prevision Social")</f>
        <v>Prevision Social</v>
      </c>
      <c r="C251" s="11">
        <f>IFERROR(__xludf.DUMMYFUNCTION("""COMPUTED_VALUE"""),6.07269079119632)</f>
        <v>6.072690791</v>
      </c>
    </row>
    <row r="252">
      <c r="A252" s="11">
        <f>IFERROR(__xludf.DUMMYFUNCTION("""COMPUTED_VALUE"""),1986.0)</f>
        <v>1986</v>
      </c>
      <c r="B252" s="11" t="str">
        <f>IFERROR(__xludf.DUMMYFUNCTION("""COMPUTED_VALUE"""),"Produccion Primaria")</f>
        <v>Produccion Primaria</v>
      </c>
      <c r="C252" s="11">
        <f>IFERROR(__xludf.DUMMYFUNCTION("""COMPUTED_VALUE"""),0.451075680649824)</f>
        <v>0.4510756806</v>
      </c>
    </row>
    <row r="253">
      <c r="A253" s="11">
        <f>IFERROR(__xludf.DUMMYFUNCTION("""COMPUTED_VALUE"""),1986.0)</f>
        <v>1986</v>
      </c>
      <c r="B253" s="11" t="str">
        <f>IFERROR(__xludf.DUMMYFUNCTION("""COMPUTED_VALUE"""),"Programas Empleo")</f>
        <v>Programas Empleo</v>
      </c>
      <c r="C253" s="11">
        <f>IFERROR(__xludf.DUMMYFUNCTION("""COMPUTED_VALUE"""),0.0204573308218198)</f>
        <v>0.02045733082</v>
      </c>
    </row>
    <row r="254">
      <c r="A254" s="11">
        <f>IFERROR(__xludf.DUMMYFUNCTION("""COMPUTED_VALUE"""),1986.0)</f>
        <v>1986</v>
      </c>
      <c r="B254" s="11" t="str">
        <f>IFERROR(__xludf.DUMMYFUNCTION("""COMPUTED_VALUE"""),"Promocion Asistencia Social")</f>
        <v>Promocion Asistencia Social</v>
      </c>
      <c r="C254" s="11">
        <f>IFERROR(__xludf.DUMMYFUNCTION("""COMPUTED_VALUE"""),0.720939800056777)</f>
        <v>0.7209398001</v>
      </c>
    </row>
    <row r="255">
      <c r="A255" s="11">
        <f>IFERROR(__xludf.DUMMYFUNCTION("""COMPUTED_VALUE"""),1986.0)</f>
        <v>1986</v>
      </c>
      <c r="B255" s="11" t="str">
        <f>IFERROR(__xludf.DUMMYFUNCTION("""COMPUTED_VALUE"""),"Servicios Deuda Publica")</f>
        <v>Servicios Deuda Publica</v>
      </c>
      <c r="C255" s="11">
        <f>IFERROR(__xludf.DUMMYFUNCTION("""COMPUTED_VALUE"""),2.83206173564568)</f>
        <v>2.832061736</v>
      </c>
    </row>
    <row r="256">
      <c r="A256" s="11">
        <f>IFERROR(__xludf.DUMMYFUNCTION("""COMPUTED_VALUE"""),1986.0)</f>
        <v>1986</v>
      </c>
      <c r="B256" s="11" t="str">
        <f>IFERROR(__xludf.DUMMYFUNCTION("""COMPUTED_VALUE"""),"Servicios Economicos")</f>
        <v>Servicios Economicos</v>
      </c>
      <c r="C256" s="11">
        <f>IFERROR(__xludf.DUMMYFUNCTION("""COMPUTED_VALUE"""),6.97111241415611)</f>
        <v>6.971112414</v>
      </c>
    </row>
    <row r="257">
      <c r="A257" s="11">
        <f>IFERROR(__xludf.DUMMYFUNCTION("""COMPUTED_VALUE"""),1986.0)</f>
        <v>1986</v>
      </c>
      <c r="B257" s="11" t="str">
        <f>IFERROR(__xludf.DUMMYFUNCTION("""COMPUTED_VALUE"""),"Servicios Sociales")</f>
        <v>Servicios Sociales</v>
      </c>
      <c r="C257" s="11">
        <f>IFERROR(__xludf.DUMMYFUNCTION("""COMPUTED_VALUE"""),17.2403679796291)</f>
        <v>17.24036798</v>
      </c>
    </row>
    <row r="258">
      <c r="A258" s="11">
        <f>IFERROR(__xludf.DUMMYFUNCTION("""COMPUTED_VALUE"""),1986.0)</f>
        <v>1986</v>
      </c>
      <c r="B258" s="11" t="str">
        <f>IFERROR(__xludf.DUMMYFUNCTION("""COMPUTED_VALUE"""),"Transporte")</f>
        <v>Transporte</v>
      </c>
      <c r="C258" s="11">
        <f>IFERROR(__xludf.DUMMYFUNCTION("""COMPUTED_VALUE"""),1.88080026357996)</f>
        <v>1.880800264</v>
      </c>
    </row>
    <row r="259">
      <c r="A259" s="11">
        <f>IFERROR(__xludf.DUMMYFUNCTION("""COMPUTED_VALUE"""),1986.0)</f>
        <v>1986</v>
      </c>
      <c r="B259" s="11" t="str">
        <f>IFERROR(__xludf.DUMMYFUNCTION("""COMPUTED_VALUE"""),"Vivienda Urbanismo")</f>
        <v>Vivienda Urbanismo</v>
      </c>
      <c r="C259" s="11">
        <f>IFERROR(__xludf.DUMMYFUNCTION("""COMPUTED_VALUE"""),0.743545293331529)</f>
        <v>0.7435452933</v>
      </c>
    </row>
    <row r="260">
      <c r="A260" s="11">
        <f>IFERROR(__xludf.DUMMYFUNCTION("""COMPUTED_VALUE"""),1987.0)</f>
        <v>1987</v>
      </c>
      <c r="B260" s="11" t="str">
        <f>IFERROR(__xludf.DUMMYFUNCTION("""COMPUTED_VALUE"""),"Administracion General")</f>
        <v>Administracion General</v>
      </c>
      <c r="C260" s="11">
        <f>IFERROR(__xludf.DUMMYFUNCTION("""COMPUTED_VALUE"""),2.48301036008911)</f>
        <v>2.48301036</v>
      </c>
    </row>
    <row r="261">
      <c r="A261" s="11">
        <f>IFERROR(__xludf.DUMMYFUNCTION("""COMPUTED_VALUE"""),1987.0)</f>
        <v>1987</v>
      </c>
      <c r="B261" s="11" t="str">
        <f>IFERROR(__xludf.DUMMYFUNCTION("""COMPUTED_VALUE"""),"Agua Alcantarillado")</f>
        <v>Agua Alcantarillado</v>
      </c>
      <c r="C261" s="11">
        <f>IFERROR(__xludf.DUMMYFUNCTION("""COMPUTED_VALUE"""),0.182900426761901)</f>
        <v>0.1829004268</v>
      </c>
    </row>
    <row r="262">
      <c r="A262" s="11">
        <f>IFERROR(__xludf.DUMMYFUNCTION("""COMPUTED_VALUE"""),1987.0)</f>
        <v>1987</v>
      </c>
      <c r="B262" s="11" t="str">
        <f>IFERROR(__xludf.DUMMYFUNCTION("""COMPUTED_VALUE"""),"Asignaciones Familiares")</f>
        <v>Asignaciones Familiares</v>
      </c>
      <c r="C262" s="11">
        <f>IFERROR(__xludf.DUMMYFUNCTION("""COMPUTED_VALUE"""),0.592636725338603)</f>
        <v>0.5926367253</v>
      </c>
    </row>
    <row r="263">
      <c r="A263" s="11">
        <f>IFERROR(__xludf.DUMMYFUNCTION("""COMPUTED_VALUE"""),1987.0)</f>
        <v>1987</v>
      </c>
      <c r="B263" s="11" t="str">
        <f>IFERROR(__xludf.DUMMYFUNCTION("""COMPUTED_VALUE"""),"Atencion Salud")</f>
        <v>Atencion Salud</v>
      </c>
      <c r="C263" s="11">
        <f>IFERROR(__xludf.DUMMYFUNCTION("""COMPUTED_VALUE"""),1.55870342962061)</f>
        <v>1.55870343</v>
      </c>
    </row>
    <row r="264">
      <c r="A264" s="11">
        <f>IFERROR(__xludf.DUMMYFUNCTION("""COMPUTED_VALUE"""),1987.0)</f>
        <v>1987</v>
      </c>
      <c r="B264" s="11" t="str">
        <f>IFERROR(__xludf.DUMMYFUNCTION("""COMPUTED_VALUE"""),"Ciencia Tecnica")</f>
        <v>Ciencia Tecnica</v>
      </c>
      <c r="C264" s="11">
        <f>IFERROR(__xludf.DUMMYFUNCTION("""COMPUTED_VALUE"""),0.309424126097291)</f>
        <v>0.3094241261</v>
      </c>
    </row>
    <row r="265">
      <c r="A265" s="11">
        <f>IFERROR(__xludf.DUMMYFUNCTION("""COMPUTED_VALUE"""),1987.0)</f>
        <v>1987</v>
      </c>
      <c r="B265" s="11" t="str">
        <f>IFERROR(__xludf.DUMMYFUNCTION("""COMPUTED_VALUE"""),"Comunicaciones")</f>
        <v>Comunicaciones</v>
      </c>
      <c r="C265" s="11">
        <f>IFERROR(__xludf.DUMMYFUNCTION("""COMPUTED_VALUE"""),0.585530330201504)</f>
        <v>0.5855303302</v>
      </c>
    </row>
    <row r="266">
      <c r="A266" s="11">
        <f>IFERROR(__xludf.DUMMYFUNCTION("""COMPUTED_VALUE"""),1987.0)</f>
        <v>1987</v>
      </c>
      <c r="B266" s="11" t="str">
        <f>IFERROR(__xludf.DUMMYFUNCTION("""COMPUTED_VALUE"""),"Cultura")</f>
        <v>Cultura</v>
      </c>
      <c r="C266" s="11">
        <f>IFERROR(__xludf.DUMMYFUNCTION("""COMPUTED_VALUE"""),0.127175262948198)</f>
        <v>0.1271752629</v>
      </c>
    </row>
    <row r="267">
      <c r="A267" s="11">
        <f>IFERROR(__xludf.DUMMYFUNCTION("""COMPUTED_VALUE"""),1987.0)</f>
        <v>1987</v>
      </c>
      <c r="B267" s="11" t="str">
        <f>IFERROR(__xludf.DUMMYFUNCTION("""COMPUTED_VALUE"""),"Defensa Seguridad")</f>
        <v>Defensa Seguridad</v>
      </c>
      <c r="C267" s="11">
        <f>IFERROR(__xludf.DUMMYFUNCTION("""COMPUTED_VALUE"""),2.57444137054034)</f>
        <v>2.574441371</v>
      </c>
    </row>
    <row r="268">
      <c r="A268" s="11">
        <f>IFERROR(__xludf.DUMMYFUNCTION("""COMPUTED_VALUE"""),1987.0)</f>
        <v>1987</v>
      </c>
      <c r="B268" s="11" t="str">
        <f>IFERROR(__xludf.DUMMYFUNCTION("""COMPUTED_VALUE"""),"Educacion Basica")</f>
        <v>Educacion Basica</v>
      </c>
      <c r="C268" s="11">
        <f>IFERROR(__xludf.DUMMYFUNCTION("""COMPUTED_VALUE"""),2.69466617485523)</f>
        <v>2.694666175</v>
      </c>
    </row>
    <row r="269">
      <c r="A269" s="11">
        <f>IFERROR(__xludf.DUMMYFUNCTION("""COMPUTED_VALUE"""),1987.0)</f>
        <v>1987</v>
      </c>
      <c r="B269" s="11" t="str">
        <f>IFERROR(__xludf.DUMMYFUNCTION("""COMPUTED_VALUE"""),"Educacion Cultura Sin Discriminar")</f>
        <v>Educacion Cultura Sin Discriminar</v>
      </c>
      <c r="C269" s="11">
        <f>IFERROR(__xludf.DUMMYFUNCTION("""COMPUTED_VALUE"""),0.313698981938888)</f>
        <v>0.3136989819</v>
      </c>
    </row>
    <row r="270">
      <c r="A270" s="11">
        <f>IFERROR(__xludf.DUMMYFUNCTION("""COMPUTED_VALUE"""),1987.0)</f>
        <v>1987</v>
      </c>
      <c r="B270" s="11" t="str">
        <f>IFERROR(__xludf.DUMMYFUNCTION("""COMPUTED_VALUE"""),"Educacion Universitaria")</f>
        <v>Educacion Universitaria</v>
      </c>
      <c r="C270" s="11">
        <f>IFERROR(__xludf.DUMMYFUNCTION("""COMPUTED_VALUE"""),0.625493639537421)</f>
        <v>0.6254936395</v>
      </c>
    </row>
    <row r="271">
      <c r="A271" s="11">
        <f>IFERROR(__xludf.DUMMYFUNCTION("""COMPUTED_VALUE"""),1987.0)</f>
        <v>1987</v>
      </c>
      <c r="B271" s="11" t="str">
        <f>IFERROR(__xludf.DUMMYFUNCTION("""COMPUTED_VALUE"""),"Energia Combustible")</f>
        <v>Energia Combustible</v>
      </c>
      <c r="C271" s="11">
        <f>IFERROR(__xludf.DUMMYFUNCTION("""COMPUTED_VALUE"""),2.89723110176887)</f>
        <v>2.897231102</v>
      </c>
    </row>
    <row r="272">
      <c r="A272" s="11">
        <f>IFERROR(__xludf.DUMMYFUNCTION("""COMPUTED_VALUE"""),1987.0)</f>
        <v>1987</v>
      </c>
      <c r="B272" s="11" t="str">
        <f>IFERROR(__xludf.DUMMYFUNCTION("""COMPUTED_VALUE"""),"Funcionamiento Estado")</f>
        <v>Funcionamiento Estado</v>
      </c>
      <c r="C272" s="11">
        <f>IFERROR(__xludf.DUMMYFUNCTION("""COMPUTED_VALUE"""),5.53782005259119)</f>
        <v>5.537820053</v>
      </c>
    </row>
    <row r="273">
      <c r="A273" s="11">
        <f>IFERROR(__xludf.DUMMYFUNCTION("""COMPUTED_VALUE"""),1987.0)</f>
        <v>1987</v>
      </c>
      <c r="B273" s="11" t="str">
        <f>IFERROR(__xludf.DUMMYFUNCTION("""COMPUTED_VALUE"""),"Industria")</f>
        <v>Industria</v>
      </c>
      <c r="C273" s="11">
        <f>IFERROR(__xludf.DUMMYFUNCTION("""COMPUTED_VALUE"""),0.294643831096371)</f>
        <v>0.2946438311</v>
      </c>
    </row>
    <row r="274">
      <c r="A274" s="11">
        <f>IFERROR(__xludf.DUMMYFUNCTION("""COMPUTED_VALUE"""),1987.0)</f>
        <v>1987</v>
      </c>
      <c r="B274" s="11" t="str">
        <f>IFERROR(__xludf.DUMMYFUNCTION("""COMPUTED_VALUE"""),"Inssjyp Prestaciones")</f>
        <v>Inssjyp Prestaciones</v>
      </c>
      <c r="C274" s="11">
        <f>IFERROR(__xludf.DUMMYFUNCTION("""COMPUTED_VALUE"""),0.0445113420318693)</f>
        <v>0.04451134203</v>
      </c>
    </row>
    <row r="275">
      <c r="A275" s="11">
        <f>IFERROR(__xludf.DUMMYFUNCTION("""COMPUTED_VALUE"""),1987.0)</f>
        <v>1987</v>
      </c>
      <c r="B275" s="11" t="str">
        <f>IFERROR(__xludf.DUMMYFUNCTION("""COMPUTED_VALUE"""),"Inssjyp Salud")</f>
        <v>Inssjyp Salud</v>
      </c>
      <c r="C275" s="11">
        <f>IFERROR(__xludf.DUMMYFUNCTION("""COMPUTED_VALUE"""),0.591364972709121)</f>
        <v>0.5913649727</v>
      </c>
    </row>
    <row r="276">
      <c r="A276" s="11">
        <f>IFERROR(__xludf.DUMMYFUNCTION("""COMPUTED_VALUE"""),1987.0)</f>
        <v>1987</v>
      </c>
      <c r="B276" s="11" t="str">
        <f>IFERROR(__xludf.DUMMYFUNCTION("""COMPUTED_VALUE"""),"Justicia")</f>
        <v>Justicia</v>
      </c>
      <c r="C276" s="11">
        <f>IFERROR(__xludf.DUMMYFUNCTION("""COMPUTED_VALUE"""),0.480368321961731)</f>
        <v>0.480368322</v>
      </c>
    </row>
    <row r="277">
      <c r="A277" s="11">
        <f>IFERROR(__xludf.DUMMYFUNCTION("""COMPUTED_VALUE"""),1987.0)</f>
        <v>1987</v>
      </c>
      <c r="B277" s="11" t="str">
        <f>IFERROR(__xludf.DUMMYFUNCTION("""COMPUTED_VALUE"""),"Obras Sociales Prestaciones")</f>
        <v>Obras Sociales Prestaciones</v>
      </c>
      <c r="C277" s="11">
        <f>IFERROR(__xludf.DUMMYFUNCTION("""COMPUTED_VALUE"""),0.277186080570514)</f>
        <v>0.2771860806</v>
      </c>
    </row>
    <row r="278">
      <c r="A278" s="11">
        <f>IFERROR(__xludf.DUMMYFUNCTION("""COMPUTED_VALUE"""),1987.0)</f>
        <v>1987</v>
      </c>
      <c r="B278" s="11" t="str">
        <f>IFERROR(__xludf.DUMMYFUNCTION("""COMPUTED_VALUE"""),"Obras Sociales Salud")</f>
        <v>Obras Sociales Salud</v>
      </c>
      <c r="C278" s="11">
        <f>IFERROR(__xludf.DUMMYFUNCTION("""COMPUTED_VALUE"""),2.05436040681311)</f>
        <v>2.054360407</v>
      </c>
    </row>
    <row r="279">
      <c r="A279" s="11">
        <f>IFERROR(__xludf.DUMMYFUNCTION("""COMPUTED_VALUE"""),1987.0)</f>
        <v>1987</v>
      </c>
      <c r="B279" s="11" t="str">
        <f>IFERROR(__xludf.DUMMYFUNCTION("""COMPUTED_VALUE"""),"Otros Servicios Economicos")</f>
        <v>Otros Servicios Economicos</v>
      </c>
      <c r="C279" s="11">
        <f>IFERROR(__xludf.DUMMYFUNCTION("""COMPUTED_VALUE"""),1.56408263470771)</f>
        <v>1.564082635</v>
      </c>
    </row>
    <row r="280">
      <c r="A280" s="11">
        <f>IFERROR(__xludf.DUMMYFUNCTION("""COMPUTED_VALUE"""),1987.0)</f>
        <v>1987</v>
      </c>
      <c r="B280" s="11" t="str">
        <f>IFERROR(__xludf.DUMMYFUNCTION("""COMPUTED_VALUE"""),"Otros Servicios Urbanos")</f>
        <v>Otros Servicios Urbanos</v>
      </c>
      <c r="C280" s="11">
        <f>IFERROR(__xludf.DUMMYFUNCTION("""COMPUTED_VALUE"""),0.800108900285913)</f>
        <v>0.8001089003</v>
      </c>
    </row>
    <row r="281">
      <c r="A281" s="11">
        <f>IFERROR(__xludf.DUMMYFUNCTION("""COMPUTED_VALUE"""),1987.0)</f>
        <v>1987</v>
      </c>
      <c r="B281" s="11" t="str">
        <f>IFERROR(__xludf.DUMMYFUNCTION("""COMPUTED_VALUE"""),"Prevision Social")</f>
        <v>Prevision Social</v>
      </c>
      <c r="C281" s="11">
        <f>IFERROR(__xludf.DUMMYFUNCTION("""COMPUTED_VALUE"""),6.85324557697903)</f>
        <v>6.853245577</v>
      </c>
    </row>
    <row r="282">
      <c r="A282" s="11">
        <f>IFERROR(__xludf.DUMMYFUNCTION("""COMPUTED_VALUE"""),1987.0)</f>
        <v>1987</v>
      </c>
      <c r="B282" s="11" t="str">
        <f>IFERROR(__xludf.DUMMYFUNCTION("""COMPUTED_VALUE"""),"Produccion Primaria")</f>
        <v>Produccion Primaria</v>
      </c>
      <c r="C282" s="11">
        <f>IFERROR(__xludf.DUMMYFUNCTION("""COMPUTED_VALUE"""),0.418283651819708)</f>
        <v>0.4182836518</v>
      </c>
    </row>
    <row r="283">
      <c r="A283" s="11">
        <f>IFERROR(__xludf.DUMMYFUNCTION("""COMPUTED_VALUE"""),1987.0)</f>
        <v>1987</v>
      </c>
      <c r="B283" s="11" t="str">
        <f>IFERROR(__xludf.DUMMYFUNCTION("""COMPUTED_VALUE"""),"Programas Empleo")</f>
        <v>Programas Empleo</v>
      </c>
      <c r="C283" s="11">
        <f>IFERROR(__xludf.DUMMYFUNCTION("""COMPUTED_VALUE"""),0.0219165369814061)</f>
        <v>0.02191653698</v>
      </c>
    </row>
    <row r="284">
      <c r="A284" s="11">
        <f>IFERROR(__xludf.DUMMYFUNCTION("""COMPUTED_VALUE"""),1987.0)</f>
        <v>1987</v>
      </c>
      <c r="B284" s="11" t="str">
        <f>IFERROR(__xludf.DUMMYFUNCTION("""COMPUTED_VALUE"""),"Promocion Asistencia Social")</f>
        <v>Promocion Asistencia Social</v>
      </c>
      <c r="C284" s="11">
        <f>IFERROR(__xludf.DUMMYFUNCTION("""COMPUTED_VALUE"""),0.795797484057505)</f>
        <v>0.7957974841</v>
      </c>
    </row>
    <row r="285">
      <c r="A285" s="11">
        <f>IFERROR(__xludf.DUMMYFUNCTION("""COMPUTED_VALUE"""),1987.0)</f>
        <v>1987</v>
      </c>
      <c r="B285" s="11" t="str">
        <f>IFERROR(__xludf.DUMMYFUNCTION("""COMPUTED_VALUE"""),"Servicios Deuda Publica")</f>
        <v>Servicios Deuda Publica</v>
      </c>
      <c r="C285" s="11">
        <f>IFERROR(__xludf.DUMMYFUNCTION("""COMPUTED_VALUE"""),2.71214177722099)</f>
        <v>2.712141777</v>
      </c>
    </row>
    <row r="286">
      <c r="A286" s="11">
        <f>IFERROR(__xludf.DUMMYFUNCTION("""COMPUTED_VALUE"""),1987.0)</f>
        <v>1987</v>
      </c>
      <c r="B286" s="11" t="str">
        <f>IFERROR(__xludf.DUMMYFUNCTION("""COMPUTED_VALUE"""),"Servicios Economicos")</f>
        <v>Servicios Economicos</v>
      </c>
      <c r="C286" s="11">
        <f>IFERROR(__xludf.DUMMYFUNCTION("""COMPUTED_VALUE"""),7.71209926892545)</f>
        <v>7.712099269</v>
      </c>
    </row>
    <row r="287">
      <c r="A287" s="11">
        <f>IFERROR(__xludf.DUMMYFUNCTION("""COMPUTED_VALUE"""),1987.0)</f>
        <v>1987</v>
      </c>
      <c r="B287" s="11" t="str">
        <f>IFERROR(__xludf.DUMMYFUNCTION("""COMPUTED_VALUE"""),"Servicios Sociales")</f>
        <v>Servicios Sociales</v>
      </c>
      <c r="C287" s="11">
        <f>IFERROR(__xludf.DUMMYFUNCTION("""COMPUTED_VALUE"""),18.6758912975571)</f>
        <v>18.6758913</v>
      </c>
    </row>
    <row r="288">
      <c r="A288" s="11">
        <f>IFERROR(__xludf.DUMMYFUNCTION("""COMPUTED_VALUE"""),1987.0)</f>
        <v>1987</v>
      </c>
      <c r="B288" s="11" t="str">
        <f>IFERROR(__xludf.DUMMYFUNCTION("""COMPUTED_VALUE"""),"Transporte")</f>
        <v>Transporte</v>
      </c>
      <c r="C288" s="11">
        <f>IFERROR(__xludf.DUMMYFUNCTION("""COMPUTED_VALUE"""),1.95232771933128)</f>
        <v>1.952327719</v>
      </c>
    </row>
    <row r="289">
      <c r="A289" s="11">
        <f>IFERROR(__xludf.DUMMYFUNCTION("""COMPUTED_VALUE"""),1987.0)</f>
        <v>1987</v>
      </c>
      <c r="B289" s="11" t="str">
        <f>IFERROR(__xludf.DUMMYFUNCTION("""COMPUTED_VALUE"""),"Vivienda Urbanismo")</f>
        <v>Vivienda Urbanismo</v>
      </c>
      <c r="C289" s="11">
        <f>IFERROR(__xludf.DUMMYFUNCTION("""COMPUTED_VALUE"""),0.832701230030485)</f>
        <v>0.83270123</v>
      </c>
    </row>
    <row r="290">
      <c r="A290" s="11">
        <f>IFERROR(__xludf.DUMMYFUNCTION("""COMPUTED_VALUE"""),1988.0)</f>
        <v>1988</v>
      </c>
      <c r="B290" s="11" t="str">
        <f>IFERROR(__xludf.DUMMYFUNCTION("""COMPUTED_VALUE"""),"Administracion General")</f>
        <v>Administracion General</v>
      </c>
      <c r="C290" s="11">
        <f>IFERROR(__xludf.DUMMYFUNCTION("""COMPUTED_VALUE"""),2.3221556242567)</f>
        <v>2.322155624</v>
      </c>
    </row>
    <row r="291">
      <c r="A291" s="11">
        <f>IFERROR(__xludf.DUMMYFUNCTION("""COMPUTED_VALUE"""),1988.0)</f>
        <v>1988</v>
      </c>
      <c r="B291" s="11" t="str">
        <f>IFERROR(__xludf.DUMMYFUNCTION("""COMPUTED_VALUE"""),"Agua Alcantarillado")</f>
        <v>Agua Alcantarillado</v>
      </c>
      <c r="C291" s="11">
        <f>IFERROR(__xludf.DUMMYFUNCTION("""COMPUTED_VALUE"""),0.177317312845936)</f>
        <v>0.1773173128</v>
      </c>
    </row>
    <row r="292">
      <c r="A292" s="11">
        <f>IFERROR(__xludf.DUMMYFUNCTION("""COMPUTED_VALUE"""),1988.0)</f>
        <v>1988</v>
      </c>
      <c r="B292" s="11" t="str">
        <f>IFERROR(__xludf.DUMMYFUNCTION("""COMPUTED_VALUE"""),"Asignaciones Familiares")</f>
        <v>Asignaciones Familiares</v>
      </c>
      <c r="C292" s="11">
        <f>IFERROR(__xludf.DUMMYFUNCTION("""COMPUTED_VALUE"""),0.344464142061306)</f>
        <v>0.3444641421</v>
      </c>
    </row>
    <row r="293">
      <c r="A293" s="11">
        <f>IFERROR(__xludf.DUMMYFUNCTION("""COMPUTED_VALUE"""),1988.0)</f>
        <v>1988</v>
      </c>
      <c r="B293" s="11" t="str">
        <f>IFERROR(__xludf.DUMMYFUNCTION("""COMPUTED_VALUE"""),"Atencion Salud")</f>
        <v>Atencion Salud</v>
      </c>
      <c r="C293" s="11">
        <f>IFERROR(__xludf.DUMMYFUNCTION("""COMPUTED_VALUE"""),1.41797169663124)</f>
        <v>1.417971697</v>
      </c>
    </row>
    <row r="294">
      <c r="A294" s="11">
        <f>IFERROR(__xludf.DUMMYFUNCTION("""COMPUTED_VALUE"""),1988.0)</f>
        <v>1988</v>
      </c>
      <c r="B294" s="11" t="str">
        <f>IFERROR(__xludf.DUMMYFUNCTION("""COMPUTED_VALUE"""),"Ciencia Tecnica")</f>
        <v>Ciencia Tecnica</v>
      </c>
      <c r="C294" s="11">
        <f>IFERROR(__xludf.DUMMYFUNCTION("""COMPUTED_VALUE"""),0.292567100677602)</f>
        <v>0.2925671007</v>
      </c>
    </row>
    <row r="295">
      <c r="A295" s="11">
        <f>IFERROR(__xludf.DUMMYFUNCTION("""COMPUTED_VALUE"""),1988.0)</f>
        <v>1988</v>
      </c>
      <c r="B295" s="11" t="str">
        <f>IFERROR(__xludf.DUMMYFUNCTION("""COMPUTED_VALUE"""),"Comunicaciones")</f>
        <v>Comunicaciones</v>
      </c>
      <c r="C295" s="11">
        <f>IFERROR(__xludf.DUMMYFUNCTION("""COMPUTED_VALUE"""),1.20817473255215)</f>
        <v>1.208174733</v>
      </c>
    </row>
    <row r="296">
      <c r="A296" s="11">
        <f>IFERROR(__xludf.DUMMYFUNCTION("""COMPUTED_VALUE"""),1988.0)</f>
        <v>1988</v>
      </c>
      <c r="B296" s="11" t="str">
        <f>IFERROR(__xludf.DUMMYFUNCTION("""COMPUTED_VALUE"""),"Cultura")</f>
        <v>Cultura</v>
      </c>
      <c r="C296" s="11">
        <f>IFERROR(__xludf.DUMMYFUNCTION("""COMPUTED_VALUE"""),0.127744907124534)</f>
        <v>0.1277449071</v>
      </c>
    </row>
    <row r="297">
      <c r="A297" s="11">
        <f>IFERROR(__xludf.DUMMYFUNCTION("""COMPUTED_VALUE"""),1988.0)</f>
        <v>1988</v>
      </c>
      <c r="B297" s="11" t="str">
        <f>IFERROR(__xludf.DUMMYFUNCTION("""COMPUTED_VALUE"""),"Defensa Seguridad")</f>
        <v>Defensa Seguridad</v>
      </c>
      <c r="C297" s="11">
        <f>IFERROR(__xludf.DUMMYFUNCTION("""COMPUTED_VALUE"""),2.43909509981477)</f>
        <v>2.4390951</v>
      </c>
    </row>
    <row r="298">
      <c r="A298" s="11">
        <f>IFERROR(__xludf.DUMMYFUNCTION("""COMPUTED_VALUE"""),1988.0)</f>
        <v>1988</v>
      </c>
      <c r="B298" s="11" t="str">
        <f>IFERROR(__xludf.DUMMYFUNCTION("""COMPUTED_VALUE"""),"Educacion Basica")</f>
        <v>Educacion Basica</v>
      </c>
      <c r="C298" s="11">
        <f>IFERROR(__xludf.DUMMYFUNCTION("""COMPUTED_VALUE"""),2.4360647248594)</f>
        <v>2.436064725</v>
      </c>
    </row>
    <row r="299">
      <c r="A299" s="11">
        <f>IFERROR(__xludf.DUMMYFUNCTION("""COMPUTED_VALUE"""),1988.0)</f>
        <v>1988</v>
      </c>
      <c r="B299" s="11" t="str">
        <f>IFERROR(__xludf.DUMMYFUNCTION("""COMPUTED_VALUE"""),"Educacion Cultura Sin Discriminar")</f>
        <v>Educacion Cultura Sin Discriminar</v>
      </c>
      <c r="C299" s="11">
        <f>IFERROR(__xludf.DUMMYFUNCTION("""COMPUTED_VALUE"""),0.291988359141792)</f>
        <v>0.2919883591</v>
      </c>
    </row>
    <row r="300">
      <c r="A300" s="11">
        <f>IFERROR(__xludf.DUMMYFUNCTION("""COMPUTED_VALUE"""),1988.0)</f>
        <v>1988</v>
      </c>
      <c r="B300" s="11" t="str">
        <f>IFERROR(__xludf.DUMMYFUNCTION("""COMPUTED_VALUE"""),"Educacion Universitaria")</f>
        <v>Educacion Universitaria</v>
      </c>
      <c r="C300" s="11">
        <f>IFERROR(__xludf.DUMMYFUNCTION("""COMPUTED_VALUE"""),0.608139009726065)</f>
        <v>0.6081390097</v>
      </c>
    </row>
    <row r="301">
      <c r="A301" s="11">
        <f>IFERROR(__xludf.DUMMYFUNCTION("""COMPUTED_VALUE"""),1988.0)</f>
        <v>1988</v>
      </c>
      <c r="B301" s="11" t="str">
        <f>IFERROR(__xludf.DUMMYFUNCTION("""COMPUTED_VALUE"""),"Energia Combustible")</f>
        <v>Energia Combustible</v>
      </c>
      <c r="C301" s="11">
        <f>IFERROR(__xludf.DUMMYFUNCTION("""COMPUTED_VALUE"""),2.54364204185511)</f>
        <v>2.543642042</v>
      </c>
    </row>
    <row r="302">
      <c r="A302" s="11">
        <f>IFERROR(__xludf.DUMMYFUNCTION("""COMPUTED_VALUE"""),1988.0)</f>
        <v>1988</v>
      </c>
      <c r="B302" s="11" t="str">
        <f>IFERROR(__xludf.DUMMYFUNCTION("""COMPUTED_VALUE"""),"Funcionamiento Estado")</f>
        <v>Funcionamiento Estado</v>
      </c>
      <c r="C302" s="11">
        <f>IFERROR(__xludf.DUMMYFUNCTION("""COMPUTED_VALUE"""),5.23756331336937)</f>
        <v>5.237563313</v>
      </c>
    </row>
    <row r="303">
      <c r="A303" s="11">
        <f>IFERROR(__xludf.DUMMYFUNCTION("""COMPUTED_VALUE"""),1988.0)</f>
        <v>1988</v>
      </c>
      <c r="B303" s="11" t="str">
        <f>IFERROR(__xludf.DUMMYFUNCTION("""COMPUTED_VALUE"""),"Industria")</f>
        <v>Industria</v>
      </c>
      <c r="C303" s="11">
        <f>IFERROR(__xludf.DUMMYFUNCTION("""COMPUTED_VALUE"""),0.267531579960568)</f>
        <v>0.26753158</v>
      </c>
    </row>
    <row r="304">
      <c r="A304" s="11">
        <f>IFERROR(__xludf.DUMMYFUNCTION("""COMPUTED_VALUE"""),1988.0)</f>
        <v>1988</v>
      </c>
      <c r="B304" s="11" t="str">
        <f>IFERROR(__xludf.DUMMYFUNCTION("""COMPUTED_VALUE"""),"Inssjyp Prestaciones")</f>
        <v>Inssjyp Prestaciones</v>
      </c>
      <c r="C304" s="11">
        <f>IFERROR(__xludf.DUMMYFUNCTION("""COMPUTED_VALUE"""),0.0440719929579643)</f>
        <v>0.04407199296</v>
      </c>
    </row>
    <row r="305">
      <c r="A305" s="11">
        <f>IFERROR(__xludf.DUMMYFUNCTION("""COMPUTED_VALUE"""),1988.0)</f>
        <v>1988</v>
      </c>
      <c r="B305" s="11" t="str">
        <f>IFERROR(__xludf.DUMMYFUNCTION("""COMPUTED_VALUE"""),"Inssjyp Salud")</f>
        <v>Inssjyp Salud</v>
      </c>
      <c r="C305" s="11">
        <f>IFERROR(__xludf.DUMMYFUNCTION("""COMPUTED_VALUE"""),0.585527906441526)</f>
        <v>0.5855279064</v>
      </c>
    </row>
    <row r="306">
      <c r="A306" s="11">
        <f>IFERROR(__xludf.DUMMYFUNCTION("""COMPUTED_VALUE"""),1988.0)</f>
        <v>1988</v>
      </c>
      <c r="B306" s="11" t="str">
        <f>IFERROR(__xludf.DUMMYFUNCTION("""COMPUTED_VALUE"""),"Justicia")</f>
        <v>Justicia</v>
      </c>
      <c r="C306" s="11">
        <f>IFERROR(__xludf.DUMMYFUNCTION("""COMPUTED_VALUE"""),0.476312589297899)</f>
        <v>0.4763125893</v>
      </c>
    </row>
    <row r="307">
      <c r="A307" s="11">
        <f>IFERROR(__xludf.DUMMYFUNCTION("""COMPUTED_VALUE"""),1988.0)</f>
        <v>1988</v>
      </c>
      <c r="B307" s="11" t="str">
        <f>IFERROR(__xludf.DUMMYFUNCTION("""COMPUTED_VALUE"""),"Obras Sociales Prestaciones")</f>
        <v>Obras Sociales Prestaciones</v>
      </c>
      <c r="C307" s="11">
        <f>IFERROR(__xludf.DUMMYFUNCTION("""COMPUTED_VALUE"""),0.265654784553025)</f>
        <v>0.2656547846</v>
      </c>
    </row>
    <row r="308">
      <c r="A308" s="11">
        <f>IFERROR(__xludf.DUMMYFUNCTION("""COMPUTED_VALUE"""),1988.0)</f>
        <v>1988</v>
      </c>
      <c r="B308" s="11" t="str">
        <f>IFERROR(__xludf.DUMMYFUNCTION("""COMPUTED_VALUE"""),"Obras Sociales Salud")</f>
        <v>Obras Sociales Salud</v>
      </c>
      <c r="C308" s="11">
        <f>IFERROR(__xludf.DUMMYFUNCTION("""COMPUTED_VALUE"""),2.06112745235813)</f>
        <v>2.061127452</v>
      </c>
    </row>
    <row r="309">
      <c r="A309" s="11">
        <f>IFERROR(__xludf.DUMMYFUNCTION("""COMPUTED_VALUE"""),1988.0)</f>
        <v>1988</v>
      </c>
      <c r="B309" s="11" t="str">
        <f>IFERROR(__xludf.DUMMYFUNCTION("""COMPUTED_VALUE"""),"Otros Servicios Economicos")</f>
        <v>Otros Servicios Economicos</v>
      </c>
      <c r="C309" s="11">
        <f>IFERROR(__xludf.DUMMYFUNCTION("""COMPUTED_VALUE"""),1.79609294161141)</f>
        <v>1.796092942</v>
      </c>
    </row>
    <row r="310">
      <c r="A310" s="11">
        <f>IFERROR(__xludf.DUMMYFUNCTION("""COMPUTED_VALUE"""),1988.0)</f>
        <v>1988</v>
      </c>
      <c r="B310" s="11" t="str">
        <f>IFERROR(__xludf.DUMMYFUNCTION("""COMPUTED_VALUE"""),"Otros Servicios Urbanos")</f>
        <v>Otros Servicios Urbanos</v>
      </c>
      <c r="C310" s="11">
        <f>IFERROR(__xludf.DUMMYFUNCTION("""COMPUTED_VALUE"""),0.711549886908722)</f>
        <v>0.7115498869</v>
      </c>
    </row>
    <row r="311">
      <c r="A311" s="11">
        <f>IFERROR(__xludf.DUMMYFUNCTION("""COMPUTED_VALUE"""),1988.0)</f>
        <v>1988</v>
      </c>
      <c r="B311" s="11" t="str">
        <f>IFERROR(__xludf.DUMMYFUNCTION("""COMPUTED_VALUE"""),"Prevision Social")</f>
        <v>Prevision Social</v>
      </c>
      <c r="C311" s="11">
        <f>IFERROR(__xludf.DUMMYFUNCTION("""COMPUTED_VALUE"""),5.9602057556364)</f>
        <v>5.960205756</v>
      </c>
    </row>
    <row r="312">
      <c r="A312" s="11">
        <f>IFERROR(__xludf.DUMMYFUNCTION("""COMPUTED_VALUE"""),1988.0)</f>
        <v>1988</v>
      </c>
      <c r="B312" s="11" t="str">
        <f>IFERROR(__xludf.DUMMYFUNCTION("""COMPUTED_VALUE"""),"Produccion Primaria")</f>
        <v>Produccion Primaria</v>
      </c>
      <c r="C312" s="11">
        <f>IFERROR(__xludf.DUMMYFUNCTION("""COMPUTED_VALUE"""),0.383413907436353)</f>
        <v>0.3834139074</v>
      </c>
    </row>
    <row r="313">
      <c r="A313" s="11">
        <f>IFERROR(__xludf.DUMMYFUNCTION("""COMPUTED_VALUE"""),1988.0)</f>
        <v>1988</v>
      </c>
      <c r="B313" s="11" t="str">
        <f>IFERROR(__xludf.DUMMYFUNCTION("""COMPUTED_VALUE"""),"Programas Empleo")</f>
        <v>Programas Empleo</v>
      </c>
      <c r="C313" s="11">
        <f>IFERROR(__xludf.DUMMYFUNCTION("""COMPUTED_VALUE"""),0.0199555794200969)</f>
        <v>0.01995557942</v>
      </c>
    </row>
    <row r="314">
      <c r="A314" s="11">
        <f>IFERROR(__xludf.DUMMYFUNCTION("""COMPUTED_VALUE"""),1988.0)</f>
        <v>1988</v>
      </c>
      <c r="B314" s="11" t="str">
        <f>IFERROR(__xludf.DUMMYFUNCTION("""COMPUTED_VALUE"""),"Promocion Asistencia Social")</f>
        <v>Promocion Asistencia Social</v>
      </c>
      <c r="C314" s="11">
        <f>IFERROR(__xludf.DUMMYFUNCTION("""COMPUTED_VALUE"""),0.695313836143924)</f>
        <v>0.6953138361</v>
      </c>
    </row>
    <row r="315">
      <c r="A315" s="11">
        <f>IFERROR(__xludf.DUMMYFUNCTION("""COMPUTED_VALUE"""),1988.0)</f>
        <v>1988</v>
      </c>
      <c r="B315" s="11" t="str">
        <f>IFERROR(__xludf.DUMMYFUNCTION("""COMPUTED_VALUE"""),"Servicios Deuda Publica")</f>
        <v>Servicios Deuda Publica</v>
      </c>
      <c r="C315" s="11">
        <f>IFERROR(__xludf.DUMMYFUNCTION("""COMPUTED_VALUE"""),2.25912981154707)</f>
        <v>2.259129812</v>
      </c>
    </row>
    <row r="316">
      <c r="A316" s="11">
        <f>IFERROR(__xludf.DUMMYFUNCTION("""COMPUTED_VALUE"""),1988.0)</f>
        <v>1988</v>
      </c>
      <c r="B316" s="11" t="str">
        <f>IFERROR(__xludf.DUMMYFUNCTION("""COMPUTED_VALUE"""),"Servicios Economicos")</f>
        <v>Servicios Economicos</v>
      </c>
      <c r="C316" s="11">
        <f>IFERROR(__xludf.DUMMYFUNCTION("""COMPUTED_VALUE"""),7.99954747551862)</f>
        <v>7.999547476</v>
      </c>
    </row>
    <row r="317">
      <c r="A317" s="11">
        <f>IFERROR(__xludf.DUMMYFUNCTION("""COMPUTED_VALUE"""),1988.0)</f>
        <v>1988</v>
      </c>
      <c r="B317" s="11" t="str">
        <f>IFERROR(__xludf.DUMMYFUNCTION("""COMPUTED_VALUE"""),"Servicios Sociales")</f>
        <v>Servicios Sociales</v>
      </c>
      <c r="C317" s="11">
        <f>IFERROR(__xludf.DUMMYFUNCTION("""COMPUTED_VALUE"""),16.6784254816552)</f>
        <v>16.67842548</v>
      </c>
    </row>
    <row r="318">
      <c r="A318" s="11">
        <f>IFERROR(__xludf.DUMMYFUNCTION("""COMPUTED_VALUE"""),1988.0)</f>
        <v>1988</v>
      </c>
      <c r="B318" s="11" t="str">
        <f>IFERROR(__xludf.DUMMYFUNCTION("""COMPUTED_VALUE"""),"Transporte")</f>
        <v>Transporte</v>
      </c>
      <c r="C318" s="11">
        <f>IFERROR(__xludf.DUMMYFUNCTION("""COMPUTED_VALUE"""),1.80069227210301)</f>
        <v>1.800692272</v>
      </c>
    </row>
    <row r="319">
      <c r="A319" s="11">
        <f>IFERROR(__xludf.DUMMYFUNCTION("""COMPUTED_VALUE"""),1988.0)</f>
        <v>1988</v>
      </c>
      <c r="B319" s="11" t="str">
        <f>IFERROR(__xludf.DUMMYFUNCTION("""COMPUTED_VALUE"""),"Vivienda Urbanismo")</f>
        <v>Vivienda Urbanismo</v>
      </c>
      <c r="C319" s="11">
        <f>IFERROR(__xludf.DUMMYFUNCTION("""COMPUTED_VALUE"""),0.638761034167564)</f>
        <v>0.6387610342</v>
      </c>
    </row>
    <row r="320">
      <c r="A320" s="11">
        <f>IFERROR(__xludf.DUMMYFUNCTION("""COMPUTED_VALUE"""),1989.0)</f>
        <v>1989</v>
      </c>
      <c r="B320" s="11" t="str">
        <f>IFERROR(__xludf.DUMMYFUNCTION("""COMPUTED_VALUE"""),"Administracion General")</f>
        <v>Administracion General</v>
      </c>
      <c r="C320" s="11">
        <f>IFERROR(__xludf.DUMMYFUNCTION("""COMPUTED_VALUE"""),2.1471553464561)</f>
        <v>2.147155346</v>
      </c>
    </row>
    <row r="321">
      <c r="A321" s="11">
        <f>IFERROR(__xludf.DUMMYFUNCTION("""COMPUTED_VALUE"""),1989.0)</f>
        <v>1989</v>
      </c>
      <c r="B321" s="11" t="str">
        <f>IFERROR(__xludf.DUMMYFUNCTION("""COMPUTED_VALUE"""),"Agua Alcantarillado")</f>
        <v>Agua Alcantarillado</v>
      </c>
      <c r="C321" s="11">
        <f>IFERROR(__xludf.DUMMYFUNCTION("""COMPUTED_VALUE"""),0.135183923786575)</f>
        <v>0.1351839238</v>
      </c>
    </row>
    <row r="322">
      <c r="A322" s="11">
        <f>IFERROR(__xludf.DUMMYFUNCTION("""COMPUTED_VALUE"""),1989.0)</f>
        <v>1989</v>
      </c>
      <c r="B322" s="11" t="str">
        <f>IFERROR(__xludf.DUMMYFUNCTION("""COMPUTED_VALUE"""),"Asignaciones Familiares")</f>
        <v>Asignaciones Familiares</v>
      </c>
      <c r="C322" s="11">
        <f>IFERROR(__xludf.DUMMYFUNCTION("""COMPUTED_VALUE"""),0.35902982566293)</f>
        <v>0.3590298257</v>
      </c>
    </row>
    <row r="323">
      <c r="A323" s="11">
        <f>IFERROR(__xludf.DUMMYFUNCTION("""COMPUTED_VALUE"""),1989.0)</f>
        <v>1989</v>
      </c>
      <c r="B323" s="11" t="str">
        <f>IFERROR(__xludf.DUMMYFUNCTION("""COMPUTED_VALUE"""),"Atencion Salud")</f>
        <v>Atencion Salud</v>
      </c>
      <c r="C323" s="11">
        <f>IFERROR(__xludf.DUMMYFUNCTION("""COMPUTED_VALUE"""),1.32702471914193)</f>
        <v>1.327024719</v>
      </c>
    </row>
    <row r="324">
      <c r="A324" s="11">
        <f>IFERROR(__xludf.DUMMYFUNCTION("""COMPUTED_VALUE"""),1989.0)</f>
        <v>1989</v>
      </c>
      <c r="B324" s="11" t="str">
        <f>IFERROR(__xludf.DUMMYFUNCTION("""COMPUTED_VALUE"""),"Ciencia Tecnica")</f>
        <v>Ciencia Tecnica</v>
      </c>
      <c r="C324" s="11">
        <f>IFERROR(__xludf.DUMMYFUNCTION("""COMPUTED_VALUE"""),0.249122195673402)</f>
        <v>0.2491221957</v>
      </c>
    </row>
    <row r="325">
      <c r="A325" s="11">
        <f>IFERROR(__xludf.DUMMYFUNCTION("""COMPUTED_VALUE"""),1989.0)</f>
        <v>1989</v>
      </c>
      <c r="B325" s="11" t="str">
        <f>IFERROR(__xludf.DUMMYFUNCTION("""COMPUTED_VALUE"""),"Comunicaciones")</f>
        <v>Comunicaciones</v>
      </c>
      <c r="C325" s="11">
        <f>IFERROR(__xludf.DUMMYFUNCTION("""COMPUTED_VALUE"""),0.508195649395625)</f>
        <v>0.5081956494</v>
      </c>
    </row>
    <row r="326">
      <c r="A326" s="11">
        <f>IFERROR(__xludf.DUMMYFUNCTION("""COMPUTED_VALUE"""),1989.0)</f>
        <v>1989</v>
      </c>
      <c r="B326" s="11" t="str">
        <f>IFERROR(__xludf.DUMMYFUNCTION("""COMPUTED_VALUE"""),"Cultura")</f>
        <v>Cultura</v>
      </c>
      <c r="C326" s="11">
        <f>IFERROR(__xludf.DUMMYFUNCTION("""COMPUTED_VALUE"""),0.0957451956083229)</f>
        <v>0.09574519561</v>
      </c>
    </row>
    <row r="327">
      <c r="A327" s="11">
        <f>IFERROR(__xludf.DUMMYFUNCTION("""COMPUTED_VALUE"""),1989.0)</f>
        <v>1989</v>
      </c>
      <c r="B327" s="11" t="str">
        <f>IFERROR(__xludf.DUMMYFUNCTION("""COMPUTED_VALUE"""),"Defensa Seguridad")</f>
        <v>Defensa Seguridad</v>
      </c>
      <c r="C327" s="11">
        <f>IFERROR(__xludf.DUMMYFUNCTION("""COMPUTED_VALUE"""),2.11838162595677)</f>
        <v>2.118381626</v>
      </c>
    </row>
    <row r="328">
      <c r="A328" s="11">
        <f>IFERROR(__xludf.DUMMYFUNCTION("""COMPUTED_VALUE"""),1989.0)</f>
        <v>1989</v>
      </c>
      <c r="B328" s="11" t="str">
        <f>IFERROR(__xludf.DUMMYFUNCTION("""COMPUTED_VALUE"""),"Educacion Basica")</f>
        <v>Educacion Basica</v>
      </c>
      <c r="C328" s="11">
        <f>IFERROR(__xludf.DUMMYFUNCTION("""COMPUTED_VALUE"""),2.11985669257887)</f>
        <v>2.119856693</v>
      </c>
    </row>
    <row r="329">
      <c r="A329" s="11">
        <f>IFERROR(__xludf.DUMMYFUNCTION("""COMPUTED_VALUE"""),1989.0)</f>
        <v>1989</v>
      </c>
      <c r="B329" s="11" t="str">
        <f>IFERROR(__xludf.DUMMYFUNCTION("""COMPUTED_VALUE"""),"Educacion Cultura Sin Discriminar")</f>
        <v>Educacion Cultura Sin Discriminar</v>
      </c>
      <c r="C329" s="11">
        <f>IFERROR(__xludf.DUMMYFUNCTION("""COMPUTED_VALUE"""),0.24144440631664)</f>
        <v>0.2414444063</v>
      </c>
    </row>
    <row r="330">
      <c r="A330" s="11">
        <f>IFERROR(__xludf.DUMMYFUNCTION("""COMPUTED_VALUE"""),1989.0)</f>
        <v>1989</v>
      </c>
      <c r="B330" s="11" t="str">
        <f>IFERROR(__xludf.DUMMYFUNCTION("""COMPUTED_VALUE"""),"Educacion Universitaria")</f>
        <v>Educacion Universitaria</v>
      </c>
      <c r="C330" s="11">
        <f>IFERROR(__xludf.DUMMYFUNCTION("""COMPUTED_VALUE"""),0.480600939200329)</f>
        <v>0.4806009392</v>
      </c>
    </row>
    <row r="331">
      <c r="A331" s="11">
        <f>IFERROR(__xludf.DUMMYFUNCTION("""COMPUTED_VALUE"""),1989.0)</f>
        <v>1989</v>
      </c>
      <c r="B331" s="11" t="str">
        <f>IFERROR(__xludf.DUMMYFUNCTION("""COMPUTED_VALUE"""),"Energia Combustible")</f>
        <v>Energia Combustible</v>
      </c>
      <c r="C331" s="11">
        <f>IFERROR(__xludf.DUMMYFUNCTION("""COMPUTED_VALUE"""),2.47878368153175)</f>
        <v>2.478783682</v>
      </c>
    </row>
    <row r="332">
      <c r="A332" s="11">
        <f>IFERROR(__xludf.DUMMYFUNCTION("""COMPUTED_VALUE"""),1989.0)</f>
        <v>1989</v>
      </c>
      <c r="B332" s="11" t="str">
        <f>IFERROR(__xludf.DUMMYFUNCTION("""COMPUTED_VALUE"""),"Funcionamiento Estado")</f>
        <v>Funcionamiento Estado</v>
      </c>
      <c r="C332" s="11">
        <f>IFERROR(__xludf.DUMMYFUNCTION("""COMPUTED_VALUE"""),4.68990835596518)</f>
        <v>4.689908356</v>
      </c>
    </row>
    <row r="333">
      <c r="A333" s="11">
        <f>IFERROR(__xludf.DUMMYFUNCTION("""COMPUTED_VALUE"""),1989.0)</f>
        <v>1989</v>
      </c>
      <c r="B333" s="11" t="str">
        <f>IFERROR(__xludf.DUMMYFUNCTION("""COMPUTED_VALUE"""),"Industria")</f>
        <v>Industria</v>
      </c>
      <c r="C333" s="11">
        <f>IFERROR(__xludf.DUMMYFUNCTION("""COMPUTED_VALUE"""),0.243832926176583)</f>
        <v>0.2438329262</v>
      </c>
    </row>
    <row r="334">
      <c r="A334" s="11">
        <f>IFERROR(__xludf.DUMMYFUNCTION("""COMPUTED_VALUE"""),1989.0)</f>
        <v>1989</v>
      </c>
      <c r="B334" s="11" t="str">
        <f>IFERROR(__xludf.DUMMYFUNCTION("""COMPUTED_VALUE"""),"Inssjyp Prestaciones")</f>
        <v>Inssjyp Prestaciones</v>
      </c>
      <c r="C334" s="11">
        <f>IFERROR(__xludf.DUMMYFUNCTION("""COMPUTED_VALUE"""),0.0347215583828835)</f>
        <v>0.03472155838</v>
      </c>
    </row>
    <row r="335">
      <c r="A335" s="11">
        <f>IFERROR(__xludf.DUMMYFUNCTION("""COMPUTED_VALUE"""),1989.0)</f>
        <v>1989</v>
      </c>
      <c r="B335" s="11" t="str">
        <f>IFERROR(__xludf.DUMMYFUNCTION("""COMPUTED_VALUE"""),"Inssjyp Salud")</f>
        <v>Inssjyp Salud</v>
      </c>
      <c r="C335" s="11">
        <f>IFERROR(__xludf.DUMMYFUNCTION("""COMPUTED_VALUE"""),0.461300704229738)</f>
        <v>0.4613007042</v>
      </c>
    </row>
    <row r="336">
      <c r="A336" s="11">
        <f>IFERROR(__xludf.DUMMYFUNCTION("""COMPUTED_VALUE"""),1989.0)</f>
        <v>1989</v>
      </c>
      <c r="B336" s="11" t="str">
        <f>IFERROR(__xludf.DUMMYFUNCTION("""COMPUTED_VALUE"""),"Justicia")</f>
        <v>Justicia</v>
      </c>
      <c r="C336" s="11">
        <f>IFERROR(__xludf.DUMMYFUNCTION("""COMPUTED_VALUE"""),0.424371383552299)</f>
        <v>0.4243713836</v>
      </c>
    </row>
    <row r="337">
      <c r="A337" s="11">
        <f>IFERROR(__xludf.DUMMYFUNCTION("""COMPUTED_VALUE"""),1989.0)</f>
        <v>1989</v>
      </c>
      <c r="B337" s="11" t="str">
        <f>IFERROR(__xludf.DUMMYFUNCTION("""COMPUTED_VALUE"""),"Obras Sociales Prestaciones")</f>
        <v>Obras Sociales Prestaciones</v>
      </c>
      <c r="C337" s="11">
        <f>IFERROR(__xludf.DUMMYFUNCTION("""COMPUTED_VALUE"""),0.215625888259318)</f>
        <v>0.2156258883</v>
      </c>
    </row>
    <row r="338">
      <c r="A338" s="11">
        <f>IFERROR(__xludf.DUMMYFUNCTION("""COMPUTED_VALUE"""),1989.0)</f>
        <v>1989</v>
      </c>
      <c r="B338" s="11" t="str">
        <f>IFERROR(__xludf.DUMMYFUNCTION("""COMPUTED_VALUE"""),"Obras Sociales Salud")</f>
        <v>Obras Sociales Salud</v>
      </c>
      <c r="C338" s="11">
        <f>IFERROR(__xludf.DUMMYFUNCTION("""COMPUTED_VALUE"""),1.80246941660196)</f>
        <v>1.802469417</v>
      </c>
    </row>
    <row r="339">
      <c r="A339" s="11">
        <f>IFERROR(__xludf.DUMMYFUNCTION("""COMPUTED_VALUE"""),1989.0)</f>
        <v>1989</v>
      </c>
      <c r="B339" s="11" t="str">
        <f>IFERROR(__xludf.DUMMYFUNCTION("""COMPUTED_VALUE"""),"Otros Servicios Economicos")</f>
        <v>Otros Servicios Economicos</v>
      </c>
      <c r="C339" s="11">
        <f>IFERROR(__xludf.DUMMYFUNCTION("""COMPUTED_VALUE"""),2.74909360065759)</f>
        <v>2.749093601</v>
      </c>
    </row>
    <row r="340">
      <c r="A340" s="11">
        <f>IFERROR(__xludf.DUMMYFUNCTION("""COMPUTED_VALUE"""),1989.0)</f>
        <v>1989</v>
      </c>
      <c r="B340" s="11" t="str">
        <f>IFERROR(__xludf.DUMMYFUNCTION("""COMPUTED_VALUE"""),"Otros Servicios Urbanos")</f>
        <v>Otros Servicios Urbanos</v>
      </c>
      <c r="C340" s="11">
        <f>IFERROR(__xludf.DUMMYFUNCTION("""COMPUTED_VALUE"""),0.64302165749272)</f>
        <v>0.6430216575</v>
      </c>
    </row>
    <row r="341">
      <c r="A341" s="11">
        <f>IFERROR(__xludf.DUMMYFUNCTION("""COMPUTED_VALUE"""),1989.0)</f>
        <v>1989</v>
      </c>
      <c r="B341" s="11" t="str">
        <f>IFERROR(__xludf.DUMMYFUNCTION("""COMPUTED_VALUE"""),"Prevision Social")</f>
        <v>Prevision Social</v>
      </c>
      <c r="C341" s="11">
        <f>IFERROR(__xludf.DUMMYFUNCTION("""COMPUTED_VALUE"""),7.08307466382017)</f>
        <v>7.083074664</v>
      </c>
    </row>
    <row r="342">
      <c r="A342" s="11">
        <f>IFERROR(__xludf.DUMMYFUNCTION("""COMPUTED_VALUE"""),1989.0)</f>
        <v>1989</v>
      </c>
      <c r="B342" s="11" t="str">
        <f>IFERROR(__xludf.DUMMYFUNCTION("""COMPUTED_VALUE"""),"Produccion Primaria")</f>
        <v>Produccion Primaria</v>
      </c>
      <c r="C342" s="11">
        <f>IFERROR(__xludf.DUMMYFUNCTION("""COMPUTED_VALUE"""),0.321358065331244)</f>
        <v>0.3213580653</v>
      </c>
    </row>
    <row r="343">
      <c r="A343" s="11">
        <f>IFERROR(__xludf.DUMMYFUNCTION("""COMPUTED_VALUE"""),1989.0)</f>
        <v>1989</v>
      </c>
      <c r="B343" s="11" t="str">
        <f>IFERROR(__xludf.DUMMYFUNCTION("""COMPUTED_VALUE"""),"Programas Empleo")</f>
        <v>Programas Empleo</v>
      </c>
      <c r="C343" s="11">
        <f>IFERROR(__xludf.DUMMYFUNCTION("""COMPUTED_VALUE"""),0.0147358481397671)</f>
        <v>0.01473584814</v>
      </c>
    </row>
    <row r="344">
      <c r="A344" s="11">
        <f>IFERROR(__xludf.DUMMYFUNCTION("""COMPUTED_VALUE"""),1989.0)</f>
        <v>1989</v>
      </c>
      <c r="B344" s="11" t="str">
        <f>IFERROR(__xludf.DUMMYFUNCTION("""COMPUTED_VALUE"""),"Promocion Asistencia Social")</f>
        <v>Promocion Asistencia Social</v>
      </c>
      <c r="C344" s="11">
        <f>IFERROR(__xludf.DUMMYFUNCTION("""COMPUTED_VALUE"""),0.838279926477861)</f>
        <v>0.8382799265</v>
      </c>
    </row>
    <row r="345">
      <c r="A345" s="11">
        <f>IFERROR(__xludf.DUMMYFUNCTION("""COMPUTED_VALUE"""),1989.0)</f>
        <v>1989</v>
      </c>
      <c r="B345" s="11" t="str">
        <f>IFERROR(__xludf.DUMMYFUNCTION("""COMPUTED_VALUE"""),"Servicios Deuda Publica")</f>
        <v>Servicios Deuda Publica</v>
      </c>
      <c r="C345" s="11">
        <f>IFERROR(__xludf.DUMMYFUNCTION("""COMPUTED_VALUE"""),2.82149025516629)</f>
        <v>2.821490255</v>
      </c>
    </row>
    <row r="346">
      <c r="A346" s="11">
        <f>IFERROR(__xludf.DUMMYFUNCTION("""COMPUTED_VALUE"""),1989.0)</f>
        <v>1989</v>
      </c>
      <c r="B346" s="11" t="str">
        <f>IFERROR(__xludf.DUMMYFUNCTION("""COMPUTED_VALUE"""),"Servicios Economicos")</f>
        <v>Servicios Economicos</v>
      </c>
      <c r="C346" s="11">
        <f>IFERROR(__xludf.DUMMYFUNCTION("""COMPUTED_VALUE"""),7.59289715091927)</f>
        <v>7.592897151</v>
      </c>
    </row>
    <row r="347">
      <c r="A347" s="11">
        <f>IFERROR(__xludf.DUMMYFUNCTION("""COMPUTED_VALUE"""),1989.0)</f>
        <v>1989</v>
      </c>
      <c r="B347" s="11" t="str">
        <f>IFERROR(__xludf.DUMMYFUNCTION("""COMPUTED_VALUE"""),"Servicios Sociales")</f>
        <v>Servicios Sociales</v>
      </c>
      <c r="C347" s="11">
        <f>IFERROR(__xludf.DUMMYFUNCTION("""COMPUTED_VALUE"""),16.6089632672459)</f>
        <v>16.60896327</v>
      </c>
    </row>
    <row r="348">
      <c r="A348" s="11">
        <f>IFERROR(__xludf.DUMMYFUNCTION("""COMPUTED_VALUE"""),1989.0)</f>
        <v>1989</v>
      </c>
      <c r="B348" s="11" t="str">
        <f>IFERROR(__xludf.DUMMYFUNCTION("""COMPUTED_VALUE"""),"Transporte")</f>
        <v>Transporte</v>
      </c>
      <c r="C348" s="11">
        <f>IFERROR(__xludf.DUMMYFUNCTION("""COMPUTED_VALUE"""),1.29163322782647)</f>
        <v>1.291633228</v>
      </c>
    </row>
    <row r="349">
      <c r="A349" s="11">
        <f>IFERROR(__xludf.DUMMYFUNCTION("""COMPUTED_VALUE"""),1989.0)</f>
        <v>1989</v>
      </c>
      <c r="B349" s="11" t="str">
        <f>IFERROR(__xludf.DUMMYFUNCTION("""COMPUTED_VALUE"""),"Vivienda Urbanismo")</f>
        <v>Vivienda Urbanismo</v>
      </c>
      <c r="C349" s="11">
        <f>IFERROR(__xludf.DUMMYFUNCTION("""COMPUTED_VALUE"""),0.5077257058725)</f>
        <v>0.5077257059</v>
      </c>
    </row>
    <row r="350">
      <c r="A350" s="11">
        <f>IFERROR(__xludf.DUMMYFUNCTION("""COMPUTED_VALUE"""),1990.0)</f>
        <v>1990</v>
      </c>
      <c r="B350" s="11" t="str">
        <f>IFERROR(__xludf.DUMMYFUNCTION("""COMPUTED_VALUE"""),"Administracion General")</f>
        <v>Administracion General</v>
      </c>
      <c r="C350" s="11">
        <f>IFERROR(__xludf.DUMMYFUNCTION("""COMPUTED_VALUE"""),2.44407977383453)</f>
        <v>2.444079774</v>
      </c>
    </row>
    <row r="351">
      <c r="A351" s="11">
        <f>IFERROR(__xludf.DUMMYFUNCTION("""COMPUTED_VALUE"""),1990.0)</f>
        <v>1990</v>
      </c>
      <c r="B351" s="11" t="str">
        <f>IFERROR(__xludf.DUMMYFUNCTION("""COMPUTED_VALUE"""),"Agua Alcantarillado")</f>
        <v>Agua Alcantarillado</v>
      </c>
      <c r="C351" s="11">
        <f>IFERROR(__xludf.DUMMYFUNCTION("""COMPUTED_VALUE"""),0.142864182707565)</f>
        <v>0.1428641827</v>
      </c>
    </row>
    <row r="352">
      <c r="A352" s="11">
        <f>IFERROR(__xludf.DUMMYFUNCTION("""COMPUTED_VALUE"""),1990.0)</f>
        <v>1990</v>
      </c>
      <c r="B352" s="11" t="str">
        <f>IFERROR(__xludf.DUMMYFUNCTION("""COMPUTED_VALUE"""),"Asignaciones Familiares")</f>
        <v>Asignaciones Familiares</v>
      </c>
      <c r="C352" s="11">
        <f>IFERROR(__xludf.DUMMYFUNCTION("""COMPUTED_VALUE"""),0.375265091656294)</f>
        <v>0.3752650917</v>
      </c>
    </row>
    <row r="353">
      <c r="A353" s="11">
        <f>IFERROR(__xludf.DUMMYFUNCTION("""COMPUTED_VALUE"""),1990.0)</f>
        <v>1990</v>
      </c>
      <c r="B353" s="11" t="str">
        <f>IFERROR(__xludf.DUMMYFUNCTION("""COMPUTED_VALUE"""),"Atencion Salud")</f>
        <v>Atencion Salud</v>
      </c>
      <c r="C353" s="11">
        <f>IFERROR(__xludf.DUMMYFUNCTION("""COMPUTED_VALUE"""),1.41997112673285)</f>
        <v>1.419971127</v>
      </c>
    </row>
    <row r="354">
      <c r="A354" s="11">
        <f>IFERROR(__xludf.DUMMYFUNCTION("""COMPUTED_VALUE"""),1990.0)</f>
        <v>1990</v>
      </c>
      <c r="B354" s="11" t="str">
        <f>IFERROR(__xludf.DUMMYFUNCTION("""COMPUTED_VALUE"""),"Ciencia Tecnica")</f>
        <v>Ciencia Tecnica</v>
      </c>
      <c r="C354" s="11">
        <f>IFERROR(__xludf.DUMMYFUNCTION("""COMPUTED_VALUE"""),0.25358324201955)</f>
        <v>0.253583242</v>
      </c>
    </row>
    <row r="355">
      <c r="A355" s="11">
        <f>IFERROR(__xludf.DUMMYFUNCTION("""COMPUTED_VALUE"""),1990.0)</f>
        <v>1990</v>
      </c>
      <c r="B355" s="11" t="str">
        <f>IFERROR(__xludf.DUMMYFUNCTION("""COMPUTED_VALUE"""),"Comunicaciones")</f>
        <v>Comunicaciones</v>
      </c>
      <c r="C355" s="11">
        <f>IFERROR(__xludf.DUMMYFUNCTION("""COMPUTED_VALUE"""),0.124727456467725)</f>
        <v>0.1247274565</v>
      </c>
    </row>
    <row r="356">
      <c r="A356" s="11">
        <f>IFERROR(__xludf.DUMMYFUNCTION("""COMPUTED_VALUE"""),1990.0)</f>
        <v>1990</v>
      </c>
      <c r="B356" s="11" t="str">
        <f>IFERROR(__xludf.DUMMYFUNCTION("""COMPUTED_VALUE"""),"Cultura")</f>
        <v>Cultura</v>
      </c>
      <c r="C356" s="11">
        <f>IFERROR(__xludf.DUMMYFUNCTION("""COMPUTED_VALUE"""),0.0983652830140884)</f>
        <v>0.09836528301</v>
      </c>
    </row>
    <row r="357">
      <c r="A357" s="11">
        <f>IFERROR(__xludf.DUMMYFUNCTION("""COMPUTED_VALUE"""),1990.0)</f>
        <v>1990</v>
      </c>
      <c r="B357" s="11" t="str">
        <f>IFERROR(__xludf.DUMMYFUNCTION("""COMPUTED_VALUE"""),"Defensa Seguridad")</f>
        <v>Defensa Seguridad</v>
      </c>
      <c r="C357" s="11">
        <f>IFERROR(__xludf.DUMMYFUNCTION("""COMPUTED_VALUE"""),1.99403820462599)</f>
        <v>1.994038205</v>
      </c>
    </row>
    <row r="358">
      <c r="A358" s="11">
        <f>IFERROR(__xludf.DUMMYFUNCTION("""COMPUTED_VALUE"""),1990.0)</f>
        <v>1990</v>
      </c>
      <c r="B358" s="11" t="str">
        <f>IFERROR(__xludf.DUMMYFUNCTION("""COMPUTED_VALUE"""),"Educacion Basica")</f>
        <v>Educacion Basica</v>
      </c>
      <c r="C358" s="11">
        <f>IFERROR(__xludf.DUMMYFUNCTION("""COMPUTED_VALUE"""),2.35174244970782)</f>
        <v>2.35174245</v>
      </c>
    </row>
    <row r="359">
      <c r="A359" s="11">
        <f>IFERROR(__xludf.DUMMYFUNCTION("""COMPUTED_VALUE"""),1990.0)</f>
        <v>1990</v>
      </c>
      <c r="B359" s="11" t="str">
        <f>IFERROR(__xludf.DUMMYFUNCTION("""COMPUTED_VALUE"""),"Educacion Cultura Sin Discriminar")</f>
        <v>Educacion Cultura Sin Discriminar</v>
      </c>
      <c r="C359" s="11">
        <f>IFERROR(__xludf.DUMMYFUNCTION("""COMPUTED_VALUE"""),0.259745825459077)</f>
        <v>0.2597458255</v>
      </c>
    </row>
    <row r="360">
      <c r="A360" s="11">
        <f>IFERROR(__xludf.DUMMYFUNCTION("""COMPUTED_VALUE"""),1990.0)</f>
        <v>1990</v>
      </c>
      <c r="B360" s="11" t="str">
        <f>IFERROR(__xludf.DUMMYFUNCTION("""COMPUTED_VALUE"""),"Educacion Universitaria")</f>
        <v>Educacion Universitaria</v>
      </c>
      <c r="C360" s="11">
        <f>IFERROR(__xludf.DUMMYFUNCTION("""COMPUTED_VALUE"""),0.552168355789566)</f>
        <v>0.5521683558</v>
      </c>
    </row>
    <row r="361">
      <c r="A361" s="11">
        <f>IFERROR(__xludf.DUMMYFUNCTION("""COMPUTED_VALUE"""),1990.0)</f>
        <v>1990</v>
      </c>
      <c r="B361" s="11" t="str">
        <f>IFERROR(__xludf.DUMMYFUNCTION("""COMPUTED_VALUE"""),"Energia Combustible")</f>
        <v>Energia Combustible</v>
      </c>
      <c r="C361" s="11">
        <f>IFERROR(__xludf.DUMMYFUNCTION("""COMPUTED_VALUE"""),1.83481517368423)</f>
        <v>1.834815174</v>
      </c>
    </row>
    <row r="362">
      <c r="A362" s="11">
        <f>IFERROR(__xludf.DUMMYFUNCTION("""COMPUTED_VALUE"""),1990.0)</f>
        <v>1990</v>
      </c>
      <c r="B362" s="11" t="str">
        <f>IFERROR(__xludf.DUMMYFUNCTION("""COMPUTED_VALUE"""),"Funcionamiento Estado")</f>
        <v>Funcionamiento Estado</v>
      </c>
      <c r="C362" s="11">
        <f>IFERROR(__xludf.DUMMYFUNCTION("""COMPUTED_VALUE"""),4.92033117326411)</f>
        <v>4.920331173</v>
      </c>
    </row>
    <row r="363">
      <c r="A363" s="11">
        <f>IFERROR(__xludf.DUMMYFUNCTION("""COMPUTED_VALUE"""),1990.0)</f>
        <v>1990</v>
      </c>
      <c r="B363" s="11" t="str">
        <f>IFERROR(__xludf.DUMMYFUNCTION("""COMPUTED_VALUE"""),"Industria")</f>
        <v>Industria</v>
      </c>
      <c r="C363" s="11">
        <f>IFERROR(__xludf.DUMMYFUNCTION("""COMPUTED_VALUE"""),0.164288553266993)</f>
        <v>0.1642885533</v>
      </c>
    </row>
    <row r="364">
      <c r="A364" s="11">
        <f>IFERROR(__xludf.DUMMYFUNCTION("""COMPUTED_VALUE"""),1990.0)</f>
        <v>1990</v>
      </c>
      <c r="B364" s="11" t="str">
        <f>IFERROR(__xludf.DUMMYFUNCTION("""COMPUTED_VALUE"""),"Inssjyp Prestaciones")</f>
        <v>Inssjyp Prestaciones</v>
      </c>
      <c r="C364" s="11">
        <f>IFERROR(__xludf.DUMMYFUNCTION("""COMPUTED_VALUE"""),0.0480914016486066)</f>
        <v>0.04809140165</v>
      </c>
    </row>
    <row r="365">
      <c r="A365" s="11">
        <f>IFERROR(__xludf.DUMMYFUNCTION("""COMPUTED_VALUE"""),1990.0)</f>
        <v>1990</v>
      </c>
      <c r="B365" s="11" t="str">
        <f>IFERROR(__xludf.DUMMYFUNCTION("""COMPUTED_VALUE"""),"Inssjyp Salud")</f>
        <v>Inssjyp Salud</v>
      </c>
      <c r="C365" s="11">
        <f>IFERROR(__xludf.DUMMYFUNCTION("""COMPUTED_VALUE"""),0.638928621902917)</f>
        <v>0.6389286219</v>
      </c>
    </row>
    <row r="366">
      <c r="A366" s="11">
        <f>IFERROR(__xludf.DUMMYFUNCTION("""COMPUTED_VALUE"""),1990.0)</f>
        <v>1990</v>
      </c>
      <c r="B366" s="11" t="str">
        <f>IFERROR(__xludf.DUMMYFUNCTION("""COMPUTED_VALUE"""),"Justicia")</f>
        <v>Justicia</v>
      </c>
      <c r="C366" s="11">
        <f>IFERROR(__xludf.DUMMYFUNCTION("""COMPUTED_VALUE"""),0.482213194803587)</f>
        <v>0.4822131948</v>
      </c>
    </row>
    <row r="367">
      <c r="A367" s="11">
        <f>IFERROR(__xludf.DUMMYFUNCTION("""COMPUTED_VALUE"""),1990.0)</f>
        <v>1990</v>
      </c>
      <c r="B367" s="11" t="str">
        <f>IFERROR(__xludf.DUMMYFUNCTION("""COMPUTED_VALUE"""),"Obras Sociales Prestaciones")</f>
        <v>Obras Sociales Prestaciones</v>
      </c>
      <c r="C367" s="11">
        <f>IFERROR(__xludf.DUMMYFUNCTION("""COMPUTED_VALUE"""),0.245405156339921)</f>
        <v>0.2454051563</v>
      </c>
    </row>
    <row r="368">
      <c r="A368" s="11">
        <f>IFERROR(__xludf.DUMMYFUNCTION("""COMPUTED_VALUE"""),1990.0)</f>
        <v>1990</v>
      </c>
      <c r="B368" s="11" t="str">
        <f>IFERROR(__xludf.DUMMYFUNCTION("""COMPUTED_VALUE"""),"Obras Sociales Salud")</f>
        <v>Obras Sociales Salud</v>
      </c>
      <c r="C368" s="11">
        <f>IFERROR(__xludf.DUMMYFUNCTION("""COMPUTED_VALUE"""),2.14917470203429)</f>
        <v>2.149174702</v>
      </c>
    </row>
    <row r="369">
      <c r="A369" s="11">
        <f>IFERROR(__xludf.DUMMYFUNCTION("""COMPUTED_VALUE"""),1990.0)</f>
        <v>1990</v>
      </c>
      <c r="B369" s="11" t="str">
        <f>IFERROR(__xludf.DUMMYFUNCTION("""COMPUTED_VALUE"""),"Otros Servicios Economicos")</f>
        <v>Otros Servicios Economicos</v>
      </c>
      <c r="C369" s="11">
        <f>IFERROR(__xludf.DUMMYFUNCTION("""COMPUTED_VALUE"""),1.90500129497391)</f>
        <v>1.905001295</v>
      </c>
    </row>
    <row r="370">
      <c r="A370" s="11">
        <f>IFERROR(__xludf.DUMMYFUNCTION("""COMPUTED_VALUE"""),1990.0)</f>
        <v>1990</v>
      </c>
      <c r="B370" s="11" t="str">
        <f>IFERROR(__xludf.DUMMYFUNCTION("""COMPUTED_VALUE"""),"Otros Servicios Urbanos")</f>
        <v>Otros Servicios Urbanos</v>
      </c>
      <c r="C370" s="11">
        <f>IFERROR(__xludf.DUMMYFUNCTION("""COMPUTED_VALUE"""),0.788792214954465)</f>
        <v>0.788792215</v>
      </c>
    </row>
    <row r="371">
      <c r="A371" s="11">
        <f>IFERROR(__xludf.DUMMYFUNCTION("""COMPUTED_VALUE"""),1990.0)</f>
        <v>1990</v>
      </c>
      <c r="B371" s="11" t="str">
        <f>IFERROR(__xludf.DUMMYFUNCTION("""COMPUTED_VALUE"""),"Prevision Social")</f>
        <v>Prevision Social</v>
      </c>
      <c r="C371" s="11">
        <f>IFERROR(__xludf.DUMMYFUNCTION("""COMPUTED_VALUE"""),7.93174124068069)</f>
        <v>7.931741241</v>
      </c>
    </row>
    <row r="372">
      <c r="A372" s="11">
        <f>IFERROR(__xludf.DUMMYFUNCTION("""COMPUTED_VALUE"""),1990.0)</f>
        <v>1990</v>
      </c>
      <c r="B372" s="11" t="str">
        <f>IFERROR(__xludf.DUMMYFUNCTION("""COMPUTED_VALUE"""),"Produccion Primaria")</f>
        <v>Produccion Primaria</v>
      </c>
      <c r="C372" s="11">
        <f>IFERROR(__xludf.DUMMYFUNCTION("""COMPUTED_VALUE"""),0.267126209971293)</f>
        <v>0.26712621</v>
      </c>
    </row>
    <row r="373">
      <c r="A373" s="11">
        <f>IFERROR(__xludf.DUMMYFUNCTION("""COMPUTED_VALUE"""),1990.0)</f>
        <v>1990</v>
      </c>
      <c r="B373" s="11" t="str">
        <f>IFERROR(__xludf.DUMMYFUNCTION("""COMPUTED_VALUE"""),"Programas Empleo")</f>
        <v>Programas Empleo</v>
      </c>
      <c r="C373" s="11">
        <f>IFERROR(__xludf.DUMMYFUNCTION("""COMPUTED_VALUE"""),0.0189107425398632)</f>
        <v>0.01891074254</v>
      </c>
    </row>
    <row r="374">
      <c r="A374" s="11">
        <f>IFERROR(__xludf.DUMMYFUNCTION("""COMPUTED_VALUE"""),1990.0)</f>
        <v>1990</v>
      </c>
      <c r="B374" s="11" t="str">
        <f>IFERROR(__xludf.DUMMYFUNCTION("""COMPUTED_VALUE"""),"Promocion Asistencia Social")</f>
        <v>Promocion Asistencia Social</v>
      </c>
      <c r="C374" s="11">
        <f>IFERROR(__xludf.DUMMYFUNCTION("""COMPUTED_VALUE"""),0.586573089863864)</f>
        <v>0.5865730899</v>
      </c>
    </row>
    <row r="375">
      <c r="A375" s="11">
        <f>IFERROR(__xludf.DUMMYFUNCTION("""COMPUTED_VALUE"""),1990.0)</f>
        <v>1990</v>
      </c>
      <c r="B375" s="11" t="str">
        <f>IFERROR(__xludf.DUMMYFUNCTION("""COMPUTED_VALUE"""),"Servicios Deuda Publica")</f>
        <v>Servicios Deuda Publica</v>
      </c>
      <c r="C375" s="11">
        <f>IFERROR(__xludf.DUMMYFUNCTION("""COMPUTED_VALUE"""),1.57147216564493)</f>
        <v>1.571472166</v>
      </c>
    </row>
    <row r="376">
      <c r="A376" s="11">
        <f>IFERROR(__xludf.DUMMYFUNCTION("""COMPUTED_VALUE"""),1990.0)</f>
        <v>1990</v>
      </c>
      <c r="B376" s="11" t="str">
        <f>IFERROR(__xludf.DUMMYFUNCTION("""COMPUTED_VALUE"""),"Servicios Economicos")</f>
        <v>Servicios Economicos</v>
      </c>
      <c r="C376" s="11">
        <f>IFERROR(__xludf.DUMMYFUNCTION("""COMPUTED_VALUE"""),5.30855343049734)</f>
        <v>5.30855343</v>
      </c>
    </row>
    <row r="377">
      <c r="A377" s="11">
        <f>IFERROR(__xludf.DUMMYFUNCTION("""COMPUTED_VALUE"""),1990.0)</f>
        <v>1990</v>
      </c>
      <c r="B377" s="11" t="str">
        <f>IFERROR(__xludf.DUMMYFUNCTION("""COMPUTED_VALUE"""),"Servicios Sociales")</f>
        <v>Servicios Sociales</v>
      </c>
      <c r="C377" s="11">
        <f>IFERROR(__xludf.DUMMYFUNCTION("""COMPUTED_VALUE"""),18.5691882635123)</f>
        <v>18.56918826</v>
      </c>
    </row>
    <row r="378">
      <c r="A378" s="11">
        <f>IFERROR(__xludf.DUMMYFUNCTION("""COMPUTED_VALUE"""),1990.0)</f>
        <v>1990</v>
      </c>
      <c r="B378" s="11" t="str">
        <f>IFERROR(__xludf.DUMMYFUNCTION("""COMPUTED_VALUE"""),"Transporte")</f>
        <v>Transporte</v>
      </c>
      <c r="C378" s="11">
        <f>IFERROR(__xludf.DUMMYFUNCTION("""COMPUTED_VALUE"""),1.01259474213317)</f>
        <v>1.012594742</v>
      </c>
    </row>
    <row r="379">
      <c r="A379" s="11">
        <f>IFERROR(__xludf.DUMMYFUNCTION("""COMPUTED_VALUE"""),1990.0)</f>
        <v>1990</v>
      </c>
      <c r="B379" s="11" t="str">
        <f>IFERROR(__xludf.DUMMYFUNCTION("""COMPUTED_VALUE"""),"Vivienda Urbanismo")</f>
        <v>Vivienda Urbanismo</v>
      </c>
      <c r="C379" s="11">
        <f>IFERROR(__xludf.DUMMYFUNCTION("""COMPUTED_VALUE"""),0.707865536460956)</f>
        <v>0.7078655365</v>
      </c>
    </row>
    <row r="380">
      <c r="A380" s="11">
        <f>IFERROR(__xludf.DUMMYFUNCTION("""COMPUTED_VALUE"""),1991.0)</f>
        <v>1991</v>
      </c>
      <c r="B380" s="11" t="str">
        <f>IFERROR(__xludf.DUMMYFUNCTION("""COMPUTED_VALUE"""),"Administracion General")</f>
        <v>Administracion General</v>
      </c>
      <c r="C380" s="11">
        <f>IFERROR(__xludf.DUMMYFUNCTION("""COMPUTED_VALUE"""),2.88094381996151)</f>
        <v>2.88094382</v>
      </c>
    </row>
    <row r="381">
      <c r="A381" s="11">
        <f>IFERROR(__xludf.DUMMYFUNCTION("""COMPUTED_VALUE"""),1991.0)</f>
        <v>1991</v>
      </c>
      <c r="B381" s="11" t="str">
        <f>IFERROR(__xludf.DUMMYFUNCTION("""COMPUTED_VALUE"""),"Agua Alcantarillado")</f>
        <v>Agua Alcantarillado</v>
      </c>
      <c r="C381" s="11">
        <f>IFERROR(__xludf.DUMMYFUNCTION("""COMPUTED_VALUE"""),0.141561575493637)</f>
        <v>0.1415615755</v>
      </c>
    </row>
    <row r="382">
      <c r="A382" s="11">
        <f>IFERROR(__xludf.DUMMYFUNCTION("""COMPUTED_VALUE"""),1991.0)</f>
        <v>1991</v>
      </c>
      <c r="B382" s="11" t="str">
        <f>IFERROR(__xludf.DUMMYFUNCTION("""COMPUTED_VALUE"""),"Asignaciones Familiares")</f>
        <v>Asignaciones Familiares</v>
      </c>
      <c r="C382" s="11">
        <f>IFERROR(__xludf.DUMMYFUNCTION("""COMPUTED_VALUE"""),0.661211416469115)</f>
        <v>0.6612114165</v>
      </c>
    </row>
    <row r="383">
      <c r="A383" s="11">
        <f>IFERROR(__xludf.DUMMYFUNCTION("""COMPUTED_VALUE"""),1991.0)</f>
        <v>1991</v>
      </c>
      <c r="B383" s="11" t="str">
        <f>IFERROR(__xludf.DUMMYFUNCTION("""COMPUTED_VALUE"""),"Atencion Salud")</f>
        <v>Atencion Salud</v>
      </c>
      <c r="C383" s="11">
        <f>IFERROR(__xludf.DUMMYFUNCTION("""COMPUTED_VALUE"""),1.5774781011978)</f>
        <v>1.577478101</v>
      </c>
    </row>
    <row r="384">
      <c r="A384" s="11">
        <f>IFERROR(__xludf.DUMMYFUNCTION("""COMPUTED_VALUE"""),1991.0)</f>
        <v>1991</v>
      </c>
      <c r="B384" s="11" t="str">
        <f>IFERROR(__xludf.DUMMYFUNCTION("""COMPUTED_VALUE"""),"Ciencia Tecnica")</f>
        <v>Ciencia Tecnica</v>
      </c>
      <c r="C384" s="11">
        <f>IFERROR(__xludf.DUMMYFUNCTION("""COMPUTED_VALUE"""),0.23464788023202)</f>
        <v>0.2346478802</v>
      </c>
    </row>
    <row r="385">
      <c r="A385" s="11">
        <f>IFERROR(__xludf.DUMMYFUNCTION("""COMPUTED_VALUE"""),1991.0)</f>
        <v>1991</v>
      </c>
      <c r="B385" s="11" t="str">
        <f>IFERROR(__xludf.DUMMYFUNCTION("""COMPUTED_VALUE"""),"Comunicaciones")</f>
        <v>Comunicaciones</v>
      </c>
      <c r="C385" s="11">
        <f>IFERROR(__xludf.DUMMYFUNCTION("""COMPUTED_VALUE"""),0.0277234104684625)</f>
        <v>0.02772341047</v>
      </c>
    </row>
    <row r="386">
      <c r="A386" s="11">
        <f>IFERROR(__xludf.DUMMYFUNCTION("""COMPUTED_VALUE"""),1991.0)</f>
        <v>1991</v>
      </c>
      <c r="B386" s="11" t="str">
        <f>IFERROR(__xludf.DUMMYFUNCTION("""COMPUTED_VALUE"""),"Cultura")</f>
        <v>Cultura</v>
      </c>
      <c r="C386" s="11">
        <f>IFERROR(__xludf.DUMMYFUNCTION("""COMPUTED_VALUE"""),0.100916017684465)</f>
        <v>0.1009160177</v>
      </c>
    </row>
    <row r="387">
      <c r="A387" s="11">
        <f>IFERROR(__xludf.DUMMYFUNCTION("""COMPUTED_VALUE"""),1991.0)</f>
        <v>1991</v>
      </c>
      <c r="B387" s="11" t="str">
        <f>IFERROR(__xludf.DUMMYFUNCTION("""COMPUTED_VALUE"""),"Defensa Seguridad")</f>
        <v>Defensa Seguridad</v>
      </c>
      <c r="C387" s="11">
        <f>IFERROR(__xludf.DUMMYFUNCTION("""COMPUTED_VALUE"""),2.31714475329741)</f>
        <v>2.317144753</v>
      </c>
    </row>
    <row r="388">
      <c r="A388" s="11">
        <f>IFERROR(__xludf.DUMMYFUNCTION("""COMPUTED_VALUE"""),1991.0)</f>
        <v>1991</v>
      </c>
      <c r="B388" s="11" t="str">
        <f>IFERROR(__xludf.DUMMYFUNCTION("""COMPUTED_VALUE"""),"Educacion Basica")</f>
        <v>Educacion Basica</v>
      </c>
      <c r="C388" s="11">
        <f>IFERROR(__xludf.DUMMYFUNCTION("""COMPUTED_VALUE"""),2.53454730845461)</f>
        <v>2.534547308</v>
      </c>
    </row>
    <row r="389">
      <c r="A389" s="11">
        <f>IFERROR(__xludf.DUMMYFUNCTION("""COMPUTED_VALUE"""),1991.0)</f>
        <v>1991</v>
      </c>
      <c r="B389" s="11" t="str">
        <f>IFERROR(__xludf.DUMMYFUNCTION("""COMPUTED_VALUE"""),"Educacion Cultura Sin Discriminar")</f>
        <v>Educacion Cultura Sin Discriminar</v>
      </c>
      <c r="C389" s="11">
        <f>IFERROR(__xludf.DUMMYFUNCTION("""COMPUTED_VALUE"""),0.204853473024154)</f>
        <v>0.204853473</v>
      </c>
    </row>
    <row r="390">
      <c r="A390" s="11">
        <f>IFERROR(__xludf.DUMMYFUNCTION("""COMPUTED_VALUE"""),1991.0)</f>
        <v>1991</v>
      </c>
      <c r="B390" s="11" t="str">
        <f>IFERROR(__xludf.DUMMYFUNCTION("""COMPUTED_VALUE"""),"Educacion Universitaria")</f>
        <v>Educacion Universitaria</v>
      </c>
      <c r="C390" s="11">
        <f>IFERROR(__xludf.DUMMYFUNCTION("""COMPUTED_VALUE"""),0.53788231179)</f>
        <v>0.5378823118</v>
      </c>
    </row>
    <row r="391">
      <c r="A391" s="11">
        <f>IFERROR(__xludf.DUMMYFUNCTION("""COMPUTED_VALUE"""),1991.0)</f>
        <v>1991</v>
      </c>
      <c r="B391" s="11" t="str">
        <f>IFERROR(__xludf.DUMMYFUNCTION("""COMPUTED_VALUE"""),"Energia Combustible")</f>
        <v>Energia Combustible</v>
      </c>
      <c r="C391" s="11">
        <f>IFERROR(__xludf.DUMMYFUNCTION("""COMPUTED_VALUE"""),1.40517820334017)</f>
        <v>1.405178203</v>
      </c>
    </row>
    <row r="392">
      <c r="A392" s="11">
        <f>IFERROR(__xludf.DUMMYFUNCTION("""COMPUTED_VALUE"""),1991.0)</f>
        <v>1991</v>
      </c>
      <c r="B392" s="11" t="str">
        <f>IFERROR(__xludf.DUMMYFUNCTION("""COMPUTED_VALUE"""),"Funcionamiento Estado")</f>
        <v>Funcionamiento Estado</v>
      </c>
      <c r="C392" s="11">
        <f>IFERROR(__xludf.DUMMYFUNCTION("""COMPUTED_VALUE"""),5.80332688818082)</f>
        <v>5.803326888</v>
      </c>
    </row>
    <row r="393">
      <c r="A393" s="11">
        <f>IFERROR(__xludf.DUMMYFUNCTION("""COMPUTED_VALUE"""),1991.0)</f>
        <v>1991</v>
      </c>
      <c r="B393" s="11" t="str">
        <f>IFERROR(__xludf.DUMMYFUNCTION("""COMPUTED_VALUE"""),"Industria")</f>
        <v>Industria</v>
      </c>
      <c r="C393" s="11">
        <f>IFERROR(__xludf.DUMMYFUNCTION("""COMPUTED_VALUE"""),0.168321500394567)</f>
        <v>0.1683215004</v>
      </c>
    </row>
    <row r="394">
      <c r="A394" s="11">
        <f>IFERROR(__xludf.DUMMYFUNCTION("""COMPUTED_VALUE"""),1991.0)</f>
        <v>1991</v>
      </c>
      <c r="B394" s="11" t="str">
        <f>IFERROR(__xludf.DUMMYFUNCTION("""COMPUTED_VALUE"""),"Inssjyp Prestaciones")</f>
        <v>Inssjyp Prestaciones</v>
      </c>
      <c r="C394" s="11">
        <f>IFERROR(__xludf.DUMMYFUNCTION("""COMPUTED_VALUE"""),0.0555400669783187)</f>
        <v>0.05554006698</v>
      </c>
    </row>
    <row r="395">
      <c r="A395" s="11">
        <f>IFERROR(__xludf.DUMMYFUNCTION("""COMPUTED_VALUE"""),1991.0)</f>
        <v>1991</v>
      </c>
      <c r="B395" s="11" t="str">
        <f>IFERROR(__xludf.DUMMYFUNCTION("""COMPUTED_VALUE"""),"Inssjyp Salud")</f>
        <v>Inssjyp Salud</v>
      </c>
      <c r="C395" s="11">
        <f>IFERROR(__xludf.DUMMYFUNCTION("""COMPUTED_VALUE"""),0.737889461283377)</f>
        <v>0.7378894613</v>
      </c>
    </row>
    <row r="396">
      <c r="A396" s="11">
        <f>IFERROR(__xludf.DUMMYFUNCTION("""COMPUTED_VALUE"""),1991.0)</f>
        <v>1991</v>
      </c>
      <c r="B396" s="11" t="str">
        <f>IFERROR(__xludf.DUMMYFUNCTION("""COMPUTED_VALUE"""),"Justicia")</f>
        <v>Justicia</v>
      </c>
      <c r="C396" s="11">
        <f>IFERROR(__xludf.DUMMYFUNCTION("""COMPUTED_VALUE"""),0.6052383149219)</f>
        <v>0.6052383149</v>
      </c>
    </row>
    <row r="397">
      <c r="A397" s="11">
        <f>IFERROR(__xludf.DUMMYFUNCTION("""COMPUTED_VALUE"""),1991.0)</f>
        <v>1991</v>
      </c>
      <c r="B397" s="11" t="str">
        <f>IFERROR(__xludf.DUMMYFUNCTION("""COMPUTED_VALUE"""),"Obras Sociales Prestaciones")</f>
        <v>Obras Sociales Prestaciones</v>
      </c>
      <c r="C397" s="11">
        <f>IFERROR(__xludf.DUMMYFUNCTION("""COMPUTED_VALUE"""),0.198897255692511)</f>
        <v>0.1988972557</v>
      </c>
    </row>
    <row r="398">
      <c r="A398" s="11">
        <f>IFERROR(__xludf.DUMMYFUNCTION("""COMPUTED_VALUE"""),1991.0)</f>
        <v>1991</v>
      </c>
      <c r="B398" s="11" t="str">
        <f>IFERROR(__xludf.DUMMYFUNCTION("""COMPUTED_VALUE"""),"Obras Sociales Salud")</f>
        <v>Obras Sociales Salud</v>
      </c>
      <c r="C398" s="11">
        <f>IFERROR(__xludf.DUMMYFUNCTION("""COMPUTED_VALUE"""),2.04344881804341)</f>
        <v>2.043448818</v>
      </c>
    </row>
    <row r="399">
      <c r="A399" s="11">
        <f>IFERROR(__xludf.DUMMYFUNCTION("""COMPUTED_VALUE"""),1991.0)</f>
        <v>1991</v>
      </c>
      <c r="B399" s="11" t="str">
        <f>IFERROR(__xludf.DUMMYFUNCTION("""COMPUTED_VALUE"""),"Otros Servicios Economicos")</f>
        <v>Otros Servicios Economicos</v>
      </c>
      <c r="C399" s="11">
        <f>IFERROR(__xludf.DUMMYFUNCTION("""COMPUTED_VALUE"""),0.79618182496843)</f>
        <v>0.796181825</v>
      </c>
    </row>
    <row r="400">
      <c r="A400" s="11">
        <f>IFERROR(__xludf.DUMMYFUNCTION("""COMPUTED_VALUE"""),1991.0)</f>
        <v>1991</v>
      </c>
      <c r="B400" s="11" t="str">
        <f>IFERROR(__xludf.DUMMYFUNCTION("""COMPUTED_VALUE"""),"Otros Servicios Urbanos")</f>
        <v>Otros Servicios Urbanos</v>
      </c>
      <c r="C400" s="11">
        <f>IFERROR(__xludf.DUMMYFUNCTION("""COMPUTED_VALUE"""),0.918132401994427)</f>
        <v>0.918132402</v>
      </c>
    </row>
    <row r="401">
      <c r="A401" s="11">
        <f>IFERROR(__xludf.DUMMYFUNCTION("""COMPUTED_VALUE"""),1991.0)</f>
        <v>1991</v>
      </c>
      <c r="B401" s="11" t="str">
        <f>IFERROR(__xludf.DUMMYFUNCTION("""COMPUTED_VALUE"""),"Prevision Social")</f>
        <v>Prevision Social</v>
      </c>
      <c r="C401" s="11">
        <f>IFERROR(__xludf.DUMMYFUNCTION("""COMPUTED_VALUE"""),8.38535422870219)</f>
        <v>8.385354229</v>
      </c>
    </row>
    <row r="402">
      <c r="A402" s="11">
        <f>IFERROR(__xludf.DUMMYFUNCTION("""COMPUTED_VALUE"""),1991.0)</f>
        <v>1991</v>
      </c>
      <c r="B402" s="11" t="str">
        <f>IFERROR(__xludf.DUMMYFUNCTION("""COMPUTED_VALUE"""),"Produccion Primaria")</f>
        <v>Produccion Primaria</v>
      </c>
      <c r="C402" s="11">
        <f>IFERROR(__xludf.DUMMYFUNCTION("""COMPUTED_VALUE"""),0.276441059002039)</f>
        <v>0.276441059</v>
      </c>
    </row>
    <row r="403">
      <c r="A403" s="11">
        <f>IFERROR(__xludf.DUMMYFUNCTION("""COMPUTED_VALUE"""),1991.0)</f>
        <v>1991</v>
      </c>
      <c r="B403" s="11" t="str">
        <f>IFERROR(__xludf.DUMMYFUNCTION("""COMPUTED_VALUE"""),"Programas Empleo")</f>
        <v>Programas Empleo</v>
      </c>
      <c r="C403" s="11">
        <f>IFERROR(__xludf.DUMMYFUNCTION("""COMPUTED_VALUE"""),0.0261046134765201)</f>
        <v>0.02610461348</v>
      </c>
    </row>
    <row r="404">
      <c r="A404" s="11">
        <f>IFERROR(__xludf.DUMMYFUNCTION("""COMPUTED_VALUE"""),1991.0)</f>
        <v>1991</v>
      </c>
      <c r="B404" s="11" t="str">
        <f>IFERROR(__xludf.DUMMYFUNCTION("""COMPUTED_VALUE"""),"Promocion Asistencia Social")</f>
        <v>Promocion Asistencia Social</v>
      </c>
      <c r="C404" s="11">
        <f>IFERROR(__xludf.DUMMYFUNCTION("""COMPUTED_VALUE"""),0.638712736014532)</f>
        <v>0.638712736</v>
      </c>
    </row>
    <row r="405">
      <c r="A405" s="11">
        <f>IFERROR(__xludf.DUMMYFUNCTION("""COMPUTED_VALUE"""),1991.0)</f>
        <v>1991</v>
      </c>
      <c r="B405" s="11" t="str">
        <f>IFERROR(__xludf.DUMMYFUNCTION("""COMPUTED_VALUE"""),"Servicios Deuda Publica")</f>
        <v>Servicios Deuda Publica</v>
      </c>
      <c r="C405" s="11">
        <f>IFERROR(__xludf.DUMMYFUNCTION("""COMPUTED_VALUE"""),1.99195723353628)</f>
        <v>1.991957234</v>
      </c>
    </row>
    <row r="406">
      <c r="A406" s="11">
        <f>IFERROR(__xludf.DUMMYFUNCTION("""COMPUTED_VALUE"""),1991.0)</f>
        <v>1991</v>
      </c>
      <c r="B406" s="11" t="str">
        <f>IFERROR(__xludf.DUMMYFUNCTION("""COMPUTED_VALUE"""),"Servicios Economicos")</f>
        <v>Servicios Economicos</v>
      </c>
      <c r="C406" s="11">
        <f>IFERROR(__xludf.DUMMYFUNCTION("""COMPUTED_VALUE"""),3.63408915252208)</f>
        <v>3.634089153</v>
      </c>
    </row>
    <row r="407">
      <c r="A407" s="11">
        <f>IFERROR(__xludf.DUMMYFUNCTION("""COMPUTED_VALUE"""),1991.0)</f>
        <v>1991</v>
      </c>
      <c r="B407" s="11" t="str">
        <f>IFERROR(__xludf.DUMMYFUNCTION("""COMPUTED_VALUE"""),"Servicios Sociales")</f>
        <v>Servicios Sociales</v>
      </c>
      <c r="C407" s="11">
        <f>IFERROR(__xludf.DUMMYFUNCTION("""COMPUTED_VALUE"""),19.6138636954817)</f>
        <v>19.6138637</v>
      </c>
    </row>
    <row r="408">
      <c r="A408" s="11">
        <f>IFERROR(__xludf.DUMMYFUNCTION("""COMPUTED_VALUE"""),1991.0)</f>
        <v>1991</v>
      </c>
      <c r="B408" s="11" t="str">
        <f>IFERROR(__xludf.DUMMYFUNCTION("""COMPUTED_VALUE"""),"Transporte")</f>
        <v>Transporte</v>
      </c>
      <c r="C408" s="11">
        <f>IFERROR(__xludf.DUMMYFUNCTION("""COMPUTED_VALUE"""),0.96024315434841)</f>
        <v>0.9602431543</v>
      </c>
    </row>
    <row r="409">
      <c r="A409" s="11">
        <f>IFERROR(__xludf.DUMMYFUNCTION("""COMPUTED_VALUE"""),1991.0)</f>
        <v>1991</v>
      </c>
      <c r="B409" s="11" t="str">
        <f>IFERROR(__xludf.DUMMYFUNCTION("""COMPUTED_VALUE"""),"Vivienda Urbanismo")</f>
        <v>Vivienda Urbanismo</v>
      </c>
      <c r="C409" s="11">
        <f>IFERROR(__xludf.DUMMYFUNCTION("""COMPUTED_VALUE"""),0.616686028950599)</f>
        <v>0.616686029</v>
      </c>
    </row>
    <row r="410">
      <c r="A410" s="11">
        <f>IFERROR(__xludf.DUMMYFUNCTION("""COMPUTED_VALUE"""),1992.0)</f>
        <v>1992</v>
      </c>
      <c r="B410" s="11" t="str">
        <f>IFERROR(__xludf.DUMMYFUNCTION("""COMPUTED_VALUE"""),"Administracion General")</f>
        <v>Administracion General</v>
      </c>
      <c r="C410" s="11">
        <f>IFERROR(__xludf.DUMMYFUNCTION("""COMPUTED_VALUE"""),3.13504839280203)</f>
        <v>3.135048393</v>
      </c>
    </row>
    <row r="411">
      <c r="A411" s="11">
        <f>IFERROR(__xludf.DUMMYFUNCTION("""COMPUTED_VALUE"""),1992.0)</f>
        <v>1992</v>
      </c>
      <c r="B411" s="11" t="str">
        <f>IFERROR(__xludf.DUMMYFUNCTION("""COMPUTED_VALUE"""),"Agua Alcantarillado")</f>
        <v>Agua Alcantarillado</v>
      </c>
      <c r="C411" s="11">
        <f>IFERROR(__xludf.DUMMYFUNCTION("""COMPUTED_VALUE"""),0.13906219113564)</f>
        <v>0.1390621911</v>
      </c>
    </row>
    <row r="412">
      <c r="A412" s="11">
        <f>IFERROR(__xludf.DUMMYFUNCTION("""COMPUTED_VALUE"""),1992.0)</f>
        <v>1992</v>
      </c>
      <c r="B412" s="11" t="str">
        <f>IFERROR(__xludf.DUMMYFUNCTION("""COMPUTED_VALUE"""),"Asignaciones Familiares")</f>
        <v>Asignaciones Familiares</v>
      </c>
      <c r="C412" s="11">
        <f>IFERROR(__xludf.DUMMYFUNCTION("""COMPUTED_VALUE"""),0.592721106562868)</f>
        <v>0.5927211066</v>
      </c>
    </row>
    <row r="413">
      <c r="A413" s="11">
        <f>IFERROR(__xludf.DUMMYFUNCTION("""COMPUTED_VALUE"""),1992.0)</f>
        <v>1992</v>
      </c>
      <c r="B413" s="11" t="str">
        <f>IFERROR(__xludf.DUMMYFUNCTION("""COMPUTED_VALUE"""),"Atencion Salud")</f>
        <v>Atencion Salud</v>
      </c>
      <c r="C413" s="11">
        <f>IFERROR(__xludf.DUMMYFUNCTION("""COMPUTED_VALUE"""),1.7502243619693)</f>
        <v>1.750224362</v>
      </c>
    </row>
    <row r="414">
      <c r="A414" s="11">
        <f>IFERROR(__xludf.DUMMYFUNCTION("""COMPUTED_VALUE"""),1992.0)</f>
        <v>1992</v>
      </c>
      <c r="B414" s="11" t="str">
        <f>IFERROR(__xludf.DUMMYFUNCTION("""COMPUTED_VALUE"""),"Ciencia Tecnica")</f>
        <v>Ciencia Tecnica</v>
      </c>
      <c r="C414" s="11">
        <f>IFERROR(__xludf.DUMMYFUNCTION("""COMPUTED_VALUE"""),0.200412438611681)</f>
        <v>0.2004124386</v>
      </c>
    </row>
    <row r="415">
      <c r="A415" s="11">
        <f>IFERROR(__xludf.DUMMYFUNCTION("""COMPUTED_VALUE"""),1992.0)</f>
        <v>1992</v>
      </c>
      <c r="B415" s="11" t="str">
        <f>IFERROR(__xludf.DUMMYFUNCTION("""COMPUTED_VALUE"""),"Comunicaciones")</f>
        <v>Comunicaciones</v>
      </c>
      <c r="C415" s="11">
        <f>IFERROR(__xludf.DUMMYFUNCTION("""COMPUTED_VALUE"""),0.0455245286479072)</f>
        <v>0.04552452865</v>
      </c>
    </row>
    <row r="416">
      <c r="A416" s="11">
        <f>IFERROR(__xludf.DUMMYFUNCTION("""COMPUTED_VALUE"""),1992.0)</f>
        <v>1992</v>
      </c>
      <c r="B416" s="11" t="str">
        <f>IFERROR(__xludf.DUMMYFUNCTION("""COMPUTED_VALUE"""),"Cultura")</f>
        <v>Cultura</v>
      </c>
      <c r="C416" s="11">
        <f>IFERROR(__xludf.DUMMYFUNCTION("""COMPUTED_VALUE"""),0.0734376566490496)</f>
        <v>0.07343765665</v>
      </c>
    </row>
    <row r="417">
      <c r="A417" s="11">
        <f>IFERROR(__xludf.DUMMYFUNCTION("""COMPUTED_VALUE"""),1992.0)</f>
        <v>1992</v>
      </c>
      <c r="B417" s="11" t="str">
        <f>IFERROR(__xludf.DUMMYFUNCTION("""COMPUTED_VALUE"""),"Defensa Seguridad")</f>
        <v>Defensa Seguridad</v>
      </c>
      <c r="C417" s="11">
        <f>IFERROR(__xludf.DUMMYFUNCTION("""COMPUTED_VALUE"""),2.29123956845996)</f>
        <v>2.291239568</v>
      </c>
    </row>
    <row r="418">
      <c r="A418" s="11">
        <f>IFERROR(__xludf.DUMMYFUNCTION("""COMPUTED_VALUE"""),1992.0)</f>
        <v>1992</v>
      </c>
      <c r="B418" s="11" t="str">
        <f>IFERROR(__xludf.DUMMYFUNCTION("""COMPUTED_VALUE"""),"Educacion Basica")</f>
        <v>Educacion Basica</v>
      </c>
      <c r="C418" s="11">
        <f>IFERROR(__xludf.DUMMYFUNCTION("""COMPUTED_VALUE"""),2.53441446271827)</f>
        <v>2.534414463</v>
      </c>
    </row>
    <row r="419">
      <c r="A419" s="11">
        <f>IFERROR(__xludf.DUMMYFUNCTION("""COMPUTED_VALUE"""),1992.0)</f>
        <v>1992</v>
      </c>
      <c r="B419" s="11" t="str">
        <f>IFERROR(__xludf.DUMMYFUNCTION("""COMPUTED_VALUE"""),"Educacion Cultura Sin Discriminar")</f>
        <v>Educacion Cultura Sin Discriminar</v>
      </c>
      <c r="C419" s="11">
        <f>IFERROR(__xludf.DUMMYFUNCTION("""COMPUTED_VALUE"""),0.369643386171403)</f>
        <v>0.3696433862</v>
      </c>
    </row>
    <row r="420">
      <c r="A420" s="11">
        <f>IFERROR(__xludf.DUMMYFUNCTION("""COMPUTED_VALUE"""),1992.0)</f>
        <v>1992</v>
      </c>
      <c r="B420" s="11" t="str">
        <f>IFERROR(__xludf.DUMMYFUNCTION("""COMPUTED_VALUE"""),"Educacion Universitaria")</f>
        <v>Educacion Universitaria</v>
      </c>
      <c r="C420" s="11">
        <f>IFERROR(__xludf.DUMMYFUNCTION("""COMPUTED_VALUE"""),0.629605024058444)</f>
        <v>0.6296050241</v>
      </c>
    </row>
    <row r="421">
      <c r="A421" s="11">
        <f>IFERROR(__xludf.DUMMYFUNCTION("""COMPUTED_VALUE"""),1992.0)</f>
        <v>1992</v>
      </c>
      <c r="B421" s="11" t="str">
        <f>IFERROR(__xludf.DUMMYFUNCTION("""COMPUTED_VALUE"""),"Energia Combustible")</f>
        <v>Energia Combustible</v>
      </c>
      <c r="C421" s="11">
        <f>IFERROR(__xludf.DUMMYFUNCTION("""COMPUTED_VALUE"""),1.31669092432226)</f>
        <v>1.316690924</v>
      </c>
    </row>
    <row r="422">
      <c r="A422" s="11">
        <f>IFERROR(__xludf.DUMMYFUNCTION("""COMPUTED_VALUE"""),1992.0)</f>
        <v>1992</v>
      </c>
      <c r="B422" s="11" t="str">
        <f>IFERROR(__xludf.DUMMYFUNCTION("""COMPUTED_VALUE"""),"Funcionamiento Estado")</f>
        <v>Funcionamiento Estado</v>
      </c>
      <c r="C422" s="11">
        <f>IFERROR(__xludf.DUMMYFUNCTION("""COMPUTED_VALUE"""),6.08167229958081)</f>
        <v>6.0816723</v>
      </c>
    </row>
    <row r="423">
      <c r="A423" s="11">
        <f>IFERROR(__xludf.DUMMYFUNCTION("""COMPUTED_VALUE"""),1992.0)</f>
        <v>1992</v>
      </c>
      <c r="B423" s="11" t="str">
        <f>IFERROR(__xludf.DUMMYFUNCTION("""COMPUTED_VALUE"""),"Industria")</f>
        <v>Industria</v>
      </c>
      <c r="C423" s="11">
        <f>IFERROR(__xludf.DUMMYFUNCTION("""COMPUTED_VALUE"""),0.125894862068568)</f>
        <v>0.1258948621</v>
      </c>
    </row>
    <row r="424">
      <c r="A424" s="11">
        <f>IFERROR(__xludf.DUMMYFUNCTION("""COMPUTED_VALUE"""),1992.0)</f>
        <v>1992</v>
      </c>
      <c r="B424" s="11" t="str">
        <f>IFERROR(__xludf.DUMMYFUNCTION("""COMPUTED_VALUE"""),"Inssjyp Prestaciones")</f>
        <v>Inssjyp Prestaciones</v>
      </c>
      <c r="C424" s="11">
        <f>IFERROR(__xludf.DUMMYFUNCTION("""COMPUTED_VALUE"""),0.0611738656723338)</f>
        <v>0.06117386567</v>
      </c>
    </row>
    <row r="425">
      <c r="A425" s="11">
        <f>IFERROR(__xludf.DUMMYFUNCTION("""COMPUTED_VALUE"""),1992.0)</f>
        <v>1992</v>
      </c>
      <c r="B425" s="11" t="str">
        <f>IFERROR(__xludf.DUMMYFUNCTION("""COMPUTED_VALUE"""),"Inssjyp Salud")</f>
        <v>Inssjyp Salud</v>
      </c>
      <c r="C425" s="11">
        <f>IFERROR(__xludf.DUMMYFUNCTION("""COMPUTED_VALUE"""),0.812738501075292)</f>
        <v>0.8127385011</v>
      </c>
    </row>
    <row r="426">
      <c r="A426" s="11">
        <f>IFERROR(__xludf.DUMMYFUNCTION("""COMPUTED_VALUE"""),1992.0)</f>
        <v>1992</v>
      </c>
      <c r="B426" s="11" t="str">
        <f>IFERROR(__xludf.DUMMYFUNCTION("""COMPUTED_VALUE"""),"Justicia")</f>
        <v>Justicia</v>
      </c>
      <c r="C426" s="11">
        <f>IFERROR(__xludf.DUMMYFUNCTION("""COMPUTED_VALUE"""),0.655384338318819)</f>
        <v>0.6553843383</v>
      </c>
    </row>
    <row r="427">
      <c r="A427" s="11">
        <f>IFERROR(__xludf.DUMMYFUNCTION("""COMPUTED_VALUE"""),1992.0)</f>
        <v>1992</v>
      </c>
      <c r="B427" s="11" t="str">
        <f>IFERROR(__xludf.DUMMYFUNCTION("""COMPUTED_VALUE"""),"Obras Sociales Prestaciones")</f>
        <v>Obras Sociales Prestaciones</v>
      </c>
      <c r="C427" s="11">
        <f>IFERROR(__xludf.DUMMYFUNCTION("""COMPUTED_VALUE"""),0.167466422711161)</f>
        <v>0.1674664227</v>
      </c>
    </row>
    <row r="428">
      <c r="A428" s="11">
        <f>IFERROR(__xludf.DUMMYFUNCTION("""COMPUTED_VALUE"""),1992.0)</f>
        <v>1992</v>
      </c>
      <c r="B428" s="11" t="str">
        <f>IFERROR(__xludf.DUMMYFUNCTION("""COMPUTED_VALUE"""),"Obras Sociales Salud")</f>
        <v>Obras Sociales Salud</v>
      </c>
      <c r="C428" s="11">
        <f>IFERROR(__xludf.DUMMYFUNCTION("""COMPUTED_VALUE"""),1.90126095229842)</f>
        <v>1.901260952</v>
      </c>
    </row>
    <row r="429">
      <c r="A429" s="11">
        <f>IFERROR(__xludf.DUMMYFUNCTION("""COMPUTED_VALUE"""),1992.0)</f>
        <v>1992</v>
      </c>
      <c r="B429" s="11" t="str">
        <f>IFERROR(__xludf.DUMMYFUNCTION("""COMPUTED_VALUE"""),"Otros Servicios Economicos")</f>
        <v>Otros Servicios Economicos</v>
      </c>
      <c r="C429" s="11">
        <f>IFERROR(__xludf.DUMMYFUNCTION("""COMPUTED_VALUE"""),0.431781585912173)</f>
        <v>0.4317815859</v>
      </c>
    </row>
    <row r="430">
      <c r="A430" s="11">
        <f>IFERROR(__xludf.DUMMYFUNCTION("""COMPUTED_VALUE"""),1992.0)</f>
        <v>1992</v>
      </c>
      <c r="B430" s="11" t="str">
        <f>IFERROR(__xludf.DUMMYFUNCTION("""COMPUTED_VALUE"""),"Otros Servicios Urbanos")</f>
        <v>Otros Servicios Urbanos</v>
      </c>
      <c r="C430" s="11">
        <f>IFERROR(__xludf.DUMMYFUNCTION("""COMPUTED_VALUE"""),0.93996025115321)</f>
        <v>0.9399602512</v>
      </c>
    </row>
    <row r="431">
      <c r="A431" s="11">
        <f>IFERROR(__xludf.DUMMYFUNCTION("""COMPUTED_VALUE"""),1992.0)</f>
        <v>1992</v>
      </c>
      <c r="B431" s="11" t="str">
        <f>IFERROR(__xludf.DUMMYFUNCTION("""COMPUTED_VALUE"""),"Prevision Social")</f>
        <v>Prevision Social</v>
      </c>
      <c r="C431" s="11">
        <f>IFERROR(__xludf.DUMMYFUNCTION("""COMPUTED_VALUE"""),8.45156745746069)</f>
        <v>8.451567457</v>
      </c>
    </row>
    <row r="432">
      <c r="A432" s="11">
        <f>IFERROR(__xludf.DUMMYFUNCTION("""COMPUTED_VALUE"""),1992.0)</f>
        <v>1992</v>
      </c>
      <c r="B432" s="11" t="str">
        <f>IFERROR(__xludf.DUMMYFUNCTION("""COMPUTED_VALUE"""),"Produccion Primaria")</f>
        <v>Produccion Primaria</v>
      </c>
      <c r="C432" s="11">
        <f>IFERROR(__xludf.DUMMYFUNCTION("""COMPUTED_VALUE"""),0.225215040781929)</f>
        <v>0.2252150408</v>
      </c>
    </row>
    <row r="433">
      <c r="A433" s="11">
        <f>IFERROR(__xludf.DUMMYFUNCTION("""COMPUTED_VALUE"""),1992.0)</f>
        <v>1992</v>
      </c>
      <c r="B433" s="11" t="str">
        <f>IFERROR(__xludf.DUMMYFUNCTION("""COMPUTED_VALUE"""),"Programas Empleo")</f>
        <v>Programas Empleo</v>
      </c>
      <c r="C433" s="11">
        <f>IFERROR(__xludf.DUMMYFUNCTION("""COMPUTED_VALUE"""),0.036541277730537)</f>
        <v>0.03654127773</v>
      </c>
    </row>
    <row r="434">
      <c r="A434" s="11">
        <f>IFERROR(__xludf.DUMMYFUNCTION("""COMPUTED_VALUE"""),1992.0)</f>
        <v>1992</v>
      </c>
      <c r="B434" s="11" t="str">
        <f>IFERROR(__xludf.DUMMYFUNCTION("""COMPUTED_VALUE"""),"Promocion Asistencia Social")</f>
        <v>Promocion Asistencia Social</v>
      </c>
      <c r="C434" s="11">
        <f>IFERROR(__xludf.DUMMYFUNCTION("""COMPUTED_VALUE"""),0.690783089725017)</f>
        <v>0.6907830897</v>
      </c>
    </row>
    <row r="435">
      <c r="A435" s="11">
        <f>IFERROR(__xludf.DUMMYFUNCTION("""COMPUTED_VALUE"""),1992.0)</f>
        <v>1992</v>
      </c>
      <c r="B435" s="11" t="str">
        <f>IFERROR(__xludf.DUMMYFUNCTION("""COMPUTED_VALUE"""),"Servicios Deuda Publica")</f>
        <v>Servicios Deuda Publica</v>
      </c>
      <c r="C435" s="11">
        <f>IFERROR(__xludf.DUMMYFUNCTION("""COMPUTED_VALUE"""),2.50667967607389)</f>
        <v>2.506679676</v>
      </c>
    </row>
    <row r="436">
      <c r="A436" s="11">
        <f>IFERROR(__xludf.DUMMYFUNCTION("""COMPUTED_VALUE"""),1992.0)</f>
        <v>1992</v>
      </c>
      <c r="B436" s="11" t="str">
        <f>IFERROR(__xludf.DUMMYFUNCTION("""COMPUTED_VALUE"""),"Servicios Economicos")</f>
        <v>Servicios Economicos</v>
      </c>
      <c r="C436" s="11">
        <f>IFERROR(__xludf.DUMMYFUNCTION("""COMPUTED_VALUE"""),3.09734517109038)</f>
        <v>3.097345171</v>
      </c>
    </row>
    <row r="437">
      <c r="A437" s="11">
        <f>IFERROR(__xludf.DUMMYFUNCTION("""COMPUTED_VALUE"""),1992.0)</f>
        <v>1992</v>
      </c>
      <c r="B437" s="11" t="str">
        <f>IFERROR(__xludf.DUMMYFUNCTION("""COMPUTED_VALUE"""),"Servicios Sociales")</f>
        <v>Servicios Sociales</v>
      </c>
      <c r="C437" s="11">
        <f>IFERROR(__xludf.DUMMYFUNCTION("""COMPUTED_VALUE"""),19.8071099050701)</f>
        <v>19.80710991</v>
      </c>
    </row>
    <row r="438">
      <c r="A438" s="11">
        <f>IFERROR(__xludf.DUMMYFUNCTION("""COMPUTED_VALUE"""),1992.0)</f>
        <v>1992</v>
      </c>
      <c r="B438" s="11" t="str">
        <f>IFERROR(__xludf.DUMMYFUNCTION("""COMPUTED_VALUE"""),"Transporte")</f>
        <v>Transporte</v>
      </c>
      <c r="C438" s="11">
        <f>IFERROR(__xludf.DUMMYFUNCTION("""COMPUTED_VALUE"""),0.952238229357538)</f>
        <v>0.9522382294</v>
      </c>
    </row>
    <row r="439">
      <c r="A439" s="11">
        <f>IFERROR(__xludf.DUMMYFUNCTION("""COMPUTED_VALUE"""),1992.0)</f>
        <v>1992</v>
      </c>
      <c r="B439" s="11" t="str">
        <f>IFERROR(__xludf.DUMMYFUNCTION("""COMPUTED_VALUE"""),"Vivienda Urbanismo")</f>
        <v>Vivienda Urbanismo</v>
      </c>
      <c r="C439" s="11">
        <f>IFERROR(__xludf.DUMMYFUNCTION("""COMPUTED_VALUE"""),0.456097459366779)</f>
        <v>0.4560974594</v>
      </c>
    </row>
    <row r="440">
      <c r="A440" s="11">
        <f>IFERROR(__xludf.DUMMYFUNCTION("""COMPUTED_VALUE"""),1993.0)</f>
        <v>1993</v>
      </c>
      <c r="B440" s="11" t="str">
        <f>IFERROR(__xludf.DUMMYFUNCTION("""COMPUTED_VALUE"""),"Administracion General")</f>
        <v>Administracion General</v>
      </c>
      <c r="C440" s="11">
        <f>IFERROR(__xludf.DUMMYFUNCTION("""COMPUTED_VALUE"""),3.16597343099633)</f>
        <v>3.165973431</v>
      </c>
    </row>
    <row r="441">
      <c r="A441" s="11">
        <f>IFERROR(__xludf.DUMMYFUNCTION("""COMPUTED_VALUE"""),1993.0)</f>
        <v>1993</v>
      </c>
      <c r="B441" s="11" t="str">
        <f>IFERROR(__xludf.DUMMYFUNCTION("""COMPUTED_VALUE"""),"Agua Alcantarillado")</f>
        <v>Agua Alcantarillado</v>
      </c>
      <c r="C441" s="11">
        <f>IFERROR(__xludf.DUMMYFUNCTION("""COMPUTED_VALUE"""),0.209342878025637)</f>
        <v>0.209342878</v>
      </c>
    </row>
    <row r="442">
      <c r="A442" s="11">
        <f>IFERROR(__xludf.DUMMYFUNCTION("""COMPUTED_VALUE"""),1993.0)</f>
        <v>1993</v>
      </c>
      <c r="B442" s="11" t="str">
        <f>IFERROR(__xludf.DUMMYFUNCTION("""COMPUTED_VALUE"""),"Asignaciones Familiares")</f>
        <v>Asignaciones Familiares</v>
      </c>
      <c r="C442" s="11">
        <f>IFERROR(__xludf.DUMMYFUNCTION("""COMPUTED_VALUE"""),0.643942640264331)</f>
        <v>0.6439426403</v>
      </c>
    </row>
    <row r="443">
      <c r="A443" s="11">
        <f>IFERROR(__xludf.DUMMYFUNCTION("""COMPUTED_VALUE"""),1993.0)</f>
        <v>1993</v>
      </c>
      <c r="B443" s="11" t="str">
        <f>IFERROR(__xludf.DUMMYFUNCTION("""COMPUTED_VALUE"""),"Atencion Salud")</f>
        <v>Atencion Salud</v>
      </c>
      <c r="C443" s="11">
        <f>IFERROR(__xludf.DUMMYFUNCTION("""COMPUTED_VALUE"""),1.84015665976705)</f>
        <v>1.84015666</v>
      </c>
    </row>
    <row r="444">
      <c r="A444" s="11">
        <f>IFERROR(__xludf.DUMMYFUNCTION("""COMPUTED_VALUE"""),1993.0)</f>
        <v>1993</v>
      </c>
      <c r="B444" s="11" t="str">
        <f>IFERROR(__xludf.DUMMYFUNCTION("""COMPUTED_VALUE"""),"Ciencia Tecnica")</f>
        <v>Ciencia Tecnica</v>
      </c>
      <c r="C444" s="11">
        <f>IFERROR(__xludf.DUMMYFUNCTION("""COMPUTED_VALUE"""),0.219151962334486)</f>
        <v>0.2191519623</v>
      </c>
    </row>
    <row r="445">
      <c r="A445" s="11">
        <f>IFERROR(__xludf.DUMMYFUNCTION("""COMPUTED_VALUE"""),1993.0)</f>
        <v>1993</v>
      </c>
      <c r="B445" s="11" t="str">
        <f>IFERROR(__xludf.DUMMYFUNCTION("""COMPUTED_VALUE"""),"Comunicaciones")</f>
        <v>Comunicaciones</v>
      </c>
      <c r="C445" s="11">
        <f>IFERROR(__xludf.DUMMYFUNCTION("""COMPUTED_VALUE"""),0.104770324407515)</f>
        <v>0.1047703244</v>
      </c>
    </row>
    <row r="446">
      <c r="A446" s="11">
        <f>IFERROR(__xludf.DUMMYFUNCTION("""COMPUTED_VALUE"""),1993.0)</f>
        <v>1993</v>
      </c>
      <c r="B446" s="11" t="str">
        <f>IFERROR(__xludf.DUMMYFUNCTION("""COMPUTED_VALUE"""),"Cultura")</f>
        <v>Cultura</v>
      </c>
      <c r="C446" s="11">
        <f>IFERROR(__xludf.DUMMYFUNCTION("""COMPUTED_VALUE"""),0.0932472891264014)</f>
        <v>0.09324728913</v>
      </c>
    </row>
    <row r="447">
      <c r="A447" s="11">
        <f>IFERROR(__xludf.DUMMYFUNCTION("""COMPUTED_VALUE"""),1993.0)</f>
        <v>1993</v>
      </c>
      <c r="B447" s="11" t="str">
        <f>IFERROR(__xludf.DUMMYFUNCTION("""COMPUTED_VALUE"""),"Defensa Seguridad")</f>
        <v>Defensa Seguridad</v>
      </c>
      <c r="C447" s="11">
        <f>IFERROR(__xludf.DUMMYFUNCTION("""COMPUTED_VALUE"""),2.30380461596371)</f>
        <v>2.303804616</v>
      </c>
    </row>
    <row r="448">
      <c r="A448" s="11">
        <f>IFERROR(__xludf.DUMMYFUNCTION("""COMPUTED_VALUE"""),1993.0)</f>
        <v>1993</v>
      </c>
      <c r="B448" s="11" t="str">
        <f>IFERROR(__xludf.DUMMYFUNCTION("""COMPUTED_VALUE"""),"Educacion Basica")</f>
        <v>Educacion Basica</v>
      </c>
      <c r="C448" s="11">
        <f>IFERROR(__xludf.DUMMYFUNCTION("""COMPUTED_VALUE"""),2.73255268880991)</f>
        <v>2.732552689</v>
      </c>
    </row>
    <row r="449">
      <c r="A449" s="11">
        <f>IFERROR(__xludf.DUMMYFUNCTION("""COMPUTED_VALUE"""),1993.0)</f>
        <v>1993</v>
      </c>
      <c r="B449" s="11" t="str">
        <f>IFERROR(__xludf.DUMMYFUNCTION("""COMPUTED_VALUE"""),"Educacion Cultura Sin Discriminar")</f>
        <v>Educacion Cultura Sin Discriminar</v>
      </c>
      <c r="C449" s="11">
        <f>IFERROR(__xludf.DUMMYFUNCTION("""COMPUTED_VALUE"""),0.331254655030411)</f>
        <v>0.331254655</v>
      </c>
    </row>
    <row r="450">
      <c r="A450" s="11">
        <f>IFERROR(__xludf.DUMMYFUNCTION("""COMPUTED_VALUE"""),1993.0)</f>
        <v>1993</v>
      </c>
      <c r="B450" s="11" t="str">
        <f>IFERROR(__xludf.DUMMYFUNCTION("""COMPUTED_VALUE"""),"Educacion Universitaria")</f>
        <v>Educacion Universitaria</v>
      </c>
      <c r="C450" s="11">
        <f>IFERROR(__xludf.DUMMYFUNCTION("""COMPUTED_VALUE"""),0.711439135086646)</f>
        <v>0.7114391351</v>
      </c>
    </row>
    <row r="451">
      <c r="A451" s="11">
        <f>IFERROR(__xludf.DUMMYFUNCTION("""COMPUTED_VALUE"""),1993.0)</f>
        <v>1993</v>
      </c>
      <c r="B451" s="11" t="str">
        <f>IFERROR(__xludf.DUMMYFUNCTION("""COMPUTED_VALUE"""),"Energia Combustible")</f>
        <v>Energia Combustible</v>
      </c>
      <c r="C451" s="11">
        <f>IFERROR(__xludf.DUMMYFUNCTION("""COMPUTED_VALUE"""),1.306294974074)</f>
        <v>1.306294974</v>
      </c>
    </row>
    <row r="452">
      <c r="A452" s="11">
        <f>IFERROR(__xludf.DUMMYFUNCTION("""COMPUTED_VALUE"""),1993.0)</f>
        <v>1993</v>
      </c>
      <c r="B452" s="11" t="str">
        <f>IFERROR(__xludf.DUMMYFUNCTION("""COMPUTED_VALUE"""),"Funcionamiento Estado")</f>
        <v>Funcionamiento Estado</v>
      </c>
      <c r="C452" s="11">
        <f>IFERROR(__xludf.DUMMYFUNCTION("""COMPUTED_VALUE"""),6.17689259388084)</f>
        <v>6.176892594</v>
      </c>
    </row>
    <row r="453">
      <c r="A453" s="11">
        <f>IFERROR(__xludf.DUMMYFUNCTION("""COMPUTED_VALUE"""),1993.0)</f>
        <v>1993</v>
      </c>
      <c r="B453" s="11" t="str">
        <f>IFERROR(__xludf.DUMMYFUNCTION("""COMPUTED_VALUE"""),"Industria")</f>
        <v>Industria</v>
      </c>
      <c r="C453" s="11">
        <f>IFERROR(__xludf.DUMMYFUNCTION("""COMPUTED_VALUE"""),0.17102538319659)</f>
        <v>0.1710253832</v>
      </c>
    </row>
    <row r="454">
      <c r="A454" s="11">
        <f>IFERROR(__xludf.DUMMYFUNCTION("""COMPUTED_VALUE"""),1993.0)</f>
        <v>1993</v>
      </c>
      <c r="B454" s="11" t="str">
        <f>IFERROR(__xludf.DUMMYFUNCTION("""COMPUTED_VALUE"""),"Inssjyp Prestaciones")</f>
        <v>Inssjyp Prestaciones</v>
      </c>
      <c r="C454" s="11">
        <f>IFERROR(__xludf.DUMMYFUNCTION("""COMPUTED_VALUE"""),0.101625766766986)</f>
        <v>0.1016257668</v>
      </c>
    </row>
    <row r="455">
      <c r="A455" s="11">
        <f>IFERROR(__xludf.DUMMYFUNCTION("""COMPUTED_VALUE"""),1993.0)</f>
        <v>1993</v>
      </c>
      <c r="B455" s="11" t="str">
        <f>IFERROR(__xludf.DUMMYFUNCTION("""COMPUTED_VALUE"""),"Inssjyp Salud")</f>
        <v>Inssjyp Salud</v>
      </c>
      <c r="C455" s="11">
        <f>IFERROR(__xludf.DUMMYFUNCTION("""COMPUTED_VALUE"""),0.822244840205619)</f>
        <v>0.8222448402</v>
      </c>
    </row>
    <row r="456">
      <c r="A456" s="11">
        <f>IFERROR(__xludf.DUMMYFUNCTION("""COMPUTED_VALUE"""),1993.0)</f>
        <v>1993</v>
      </c>
      <c r="B456" s="11" t="str">
        <f>IFERROR(__xludf.DUMMYFUNCTION("""COMPUTED_VALUE"""),"Justicia")</f>
        <v>Justicia</v>
      </c>
      <c r="C456" s="11">
        <f>IFERROR(__xludf.DUMMYFUNCTION("""COMPUTED_VALUE"""),0.707114546920796)</f>
        <v>0.7071145469</v>
      </c>
    </row>
    <row r="457">
      <c r="A457" s="11">
        <f>IFERROR(__xludf.DUMMYFUNCTION("""COMPUTED_VALUE"""),1993.0)</f>
        <v>1993</v>
      </c>
      <c r="B457" s="11" t="str">
        <f>IFERROR(__xludf.DUMMYFUNCTION("""COMPUTED_VALUE"""),"Obras Sociales Prestaciones")</f>
        <v>Obras Sociales Prestaciones</v>
      </c>
      <c r="C457" s="11">
        <f>IFERROR(__xludf.DUMMYFUNCTION("""COMPUTED_VALUE"""),0.157221475826801)</f>
        <v>0.1572214758</v>
      </c>
    </row>
    <row r="458">
      <c r="A458" s="11">
        <f>IFERROR(__xludf.DUMMYFUNCTION("""COMPUTED_VALUE"""),1993.0)</f>
        <v>1993</v>
      </c>
      <c r="B458" s="11" t="str">
        <f>IFERROR(__xludf.DUMMYFUNCTION("""COMPUTED_VALUE"""),"Obras Sociales Salud")</f>
        <v>Obras Sociales Salud</v>
      </c>
      <c r="C458" s="11">
        <f>IFERROR(__xludf.DUMMYFUNCTION("""COMPUTED_VALUE"""),1.97416028583248)</f>
        <v>1.974160286</v>
      </c>
    </row>
    <row r="459">
      <c r="A459" s="11">
        <f>IFERROR(__xludf.DUMMYFUNCTION("""COMPUTED_VALUE"""),1993.0)</f>
        <v>1993</v>
      </c>
      <c r="B459" s="11" t="str">
        <f>IFERROR(__xludf.DUMMYFUNCTION("""COMPUTED_VALUE"""),"Otros Servicios Economicos")</f>
        <v>Otros Servicios Economicos</v>
      </c>
      <c r="C459" s="11">
        <f>IFERROR(__xludf.DUMMYFUNCTION("""COMPUTED_VALUE"""),0.487659055249201)</f>
        <v>0.4876590552</v>
      </c>
    </row>
    <row r="460">
      <c r="A460" s="11">
        <f>IFERROR(__xludf.DUMMYFUNCTION("""COMPUTED_VALUE"""),1993.0)</f>
        <v>1993</v>
      </c>
      <c r="B460" s="11" t="str">
        <f>IFERROR(__xludf.DUMMYFUNCTION("""COMPUTED_VALUE"""),"Otros Servicios Urbanos")</f>
        <v>Otros Servicios Urbanos</v>
      </c>
      <c r="C460" s="11">
        <f>IFERROR(__xludf.DUMMYFUNCTION("""COMPUTED_VALUE"""),1.06140263696788)</f>
        <v>1.061402637</v>
      </c>
    </row>
    <row r="461">
      <c r="A461" s="11">
        <f>IFERROR(__xludf.DUMMYFUNCTION("""COMPUTED_VALUE"""),1993.0)</f>
        <v>1993</v>
      </c>
      <c r="B461" s="11" t="str">
        <f>IFERROR(__xludf.DUMMYFUNCTION("""COMPUTED_VALUE"""),"Prevision Social")</f>
        <v>Prevision Social</v>
      </c>
      <c r="C461" s="11">
        <f>IFERROR(__xludf.DUMMYFUNCTION("""COMPUTED_VALUE"""),7.88298437759021)</f>
        <v>7.882984378</v>
      </c>
    </row>
    <row r="462">
      <c r="A462" s="11">
        <f>IFERROR(__xludf.DUMMYFUNCTION("""COMPUTED_VALUE"""),1993.0)</f>
        <v>1993</v>
      </c>
      <c r="B462" s="11" t="str">
        <f>IFERROR(__xludf.DUMMYFUNCTION("""COMPUTED_VALUE"""),"Produccion Primaria")</f>
        <v>Produccion Primaria</v>
      </c>
      <c r="C462" s="11">
        <f>IFERROR(__xludf.DUMMYFUNCTION("""COMPUTED_VALUE"""),0.326075089917015)</f>
        <v>0.3260750899</v>
      </c>
    </row>
    <row r="463">
      <c r="A463" s="11">
        <f>IFERROR(__xludf.DUMMYFUNCTION("""COMPUTED_VALUE"""),1993.0)</f>
        <v>1993</v>
      </c>
      <c r="B463" s="11" t="str">
        <f>IFERROR(__xludf.DUMMYFUNCTION("""COMPUTED_VALUE"""),"Programas Empleo")</f>
        <v>Programas Empleo</v>
      </c>
      <c r="C463" s="11">
        <f>IFERROR(__xludf.DUMMYFUNCTION("""COMPUTED_VALUE"""),0.200275555257039)</f>
        <v>0.2002755553</v>
      </c>
    </row>
    <row r="464">
      <c r="A464" s="11">
        <f>IFERROR(__xludf.DUMMYFUNCTION("""COMPUTED_VALUE"""),1993.0)</f>
        <v>1993</v>
      </c>
      <c r="B464" s="11" t="str">
        <f>IFERROR(__xludf.DUMMYFUNCTION("""COMPUTED_VALUE"""),"Promocion Asistencia Social")</f>
        <v>Promocion Asistencia Social</v>
      </c>
      <c r="C464" s="11">
        <f>IFERROR(__xludf.DUMMYFUNCTION("""COMPUTED_VALUE"""),0.700132579264331)</f>
        <v>0.7001325793</v>
      </c>
    </row>
    <row r="465">
      <c r="A465" s="11">
        <f>IFERROR(__xludf.DUMMYFUNCTION("""COMPUTED_VALUE"""),1993.0)</f>
        <v>1993</v>
      </c>
      <c r="B465" s="11" t="str">
        <f>IFERROR(__xludf.DUMMYFUNCTION("""COMPUTED_VALUE"""),"Servicios Deuda Publica")</f>
        <v>Servicios Deuda Publica</v>
      </c>
      <c r="C465" s="11">
        <f>IFERROR(__xludf.DUMMYFUNCTION("""COMPUTED_VALUE"""),1.84876457080704)</f>
        <v>1.848764571</v>
      </c>
    </row>
    <row r="466">
      <c r="A466" s="11">
        <f>IFERROR(__xludf.DUMMYFUNCTION("""COMPUTED_VALUE"""),1993.0)</f>
        <v>1993</v>
      </c>
      <c r="B466" s="11" t="str">
        <f>IFERROR(__xludf.DUMMYFUNCTION("""COMPUTED_VALUE"""),"Servicios Economicos")</f>
        <v>Servicios Economicos</v>
      </c>
      <c r="C466" s="11">
        <f>IFERROR(__xludf.DUMMYFUNCTION("""COMPUTED_VALUE"""),3.39926442779479)</f>
        <v>3.399264428</v>
      </c>
    </row>
    <row r="467">
      <c r="A467" s="11">
        <f>IFERROR(__xludf.DUMMYFUNCTION("""COMPUTED_VALUE"""),1993.0)</f>
        <v>1993</v>
      </c>
      <c r="B467" s="11" t="str">
        <f>IFERROR(__xludf.DUMMYFUNCTION("""COMPUTED_VALUE"""),"Servicios Sociales")</f>
        <v>Servicios Sociales</v>
      </c>
      <c r="C467" s="11">
        <f>IFERROR(__xludf.DUMMYFUNCTION("""COMPUTED_VALUE"""),20.2876374854089)</f>
        <v>20.28763749</v>
      </c>
    </row>
    <row r="468">
      <c r="A468" s="11">
        <f>IFERROR(__xludf.DUMMYFUNCTION("""COMPUTED_VALUE"""),1993.0)</f>
        <v>1993</v>
      </c>
      <c r="B468" s="11" t="str">
        <f>IFERROR(__xludf.DUMMYFUNCTION("""COMPUTED_VALUE"""),"Transporte")</f>
        <v>Transporte</v>
      </c>
      <c r="C468" s="11">
        <f>IFERROR(__xludf.DUMMYFUNCTION("""COMPUTED_VALUE"""),1.00343960095046)</f>
        <v>1.003439601</v>
      </c>
    </row>
    <row r="469">
      <c r="A469" s="11">
        <f>IFERROR(__xludf.DUMMYFUNCTION("""COMPUTED_VALUE"""),1993.0)</f>
        <v>1993</v>
      </c>
      <c r="B469" s="11" t="str">
        <f>IFERROR(__xludf.DUMMYFUNCTION("""COMPUTED_VALUE"""),"Vivienda Urbanismo")</f>
        <v>Vivienda Urbanismo</v>
      </c>
      <c r="C469" s="11">
        <f>IFERROR(__xludf.DUMMYFUNCTION("""COMPUTED_VALUE"""),0.606502059252652)</f>
        <v>0.6065020593</v>
      </c>
    </row>
    <row r="470">
      <c r="A470" s="11">
        <f>IFERROR(__xludf.DUMMYFUNCTION("""COMPUTED_VALUE"""),1994.0)</f>
        <v>1994</v>
      </c>
      <c r="B470" s="11" t="str">
        <f>IFERROR(__xludf.DUMMYFUNCTION("""COMPUTED_VALUE"""),"Administracion General")</f>
        <v>Administracion General</v>
      </c>
      <c r="C470" s="11">
        <f>IFERROR(__xludf.DUMMYFUNCTION("""COMPUTED_VALUE"""),3.25816757581662)</f>
        <v>3.258167576</v>
      </c>
    </row>
    <row r="471">
      <c r="A471" s="11">
        <f>IFERROR(__xludf.DUMMYFUNCTION("""COMPUTED_VALUE"""),1994.0)</f>
        <v>1994</v>
      </c>
      <c r="B471" s="11" t="str">
        <f>IFERROR(__xludf.DUMMYFUNCTION("""COMPUTED_VALUE"""),"Agua Alcantarillado")</f>
        <v>Agua Alcantarillado</v>
      </c>
      <c r="C471" s="11">
        <f>IFERROR(__xludf.DUMMYFUNCTION("""COMPUTED_VALUE"""),0.212279608725784)</f>
        <v>0.2122796087</v>
      </c>
    </row>
    <row r="472">
      <c r="A472" s="11">
        <f>IFERROR(__xludf.DUMMYFUNCTION("""COMPUTED_VALUE"""),1994.0)</f>
        <v>1994</v>
      </c>
      <c r="B472" s="11" t="str">
        <f>IFERROR(__xludf.DUMMYFUNCTION("""COMPUTED_VALUE"""),"Asignaciones Familiares")</f>
        <v>Asignaciones Familiares</v>
      </c>
      <c r="C472" s="11">
        <f>IFERROR(__xludf.DUMMYFUNCTION("""COMPUTED_VALUE"""),0.669167073610243)</f>
        <v>0.6691670736</v>
      </c>
    </row>
    <row r="473">
      <c r="A473" s="11">
        <f>IFERROR(__xludf.DUMMYFUNCTION("""COMPUTED_VALUE"""),1994.0)</f>
        <v>1994</v>
      </c>
      <c r="B473" s="11" t="str">
        <f>IFERROR(__xludf.DUMMYFUNCTION("""COMPUTED_VALUE"""),"Atencion Salud")</f>
        <v>Atencion Salud</v>
      </c>
      <c r="C473" s="11">
        <f>IFERROR(__xludf.DUMMYFUNCTION("""COMPUTED_VALUE"""),1.90841786593099)</f>
        <v>1.908417866</v>
      </c>
    </row>
    <row r="474">
      <c r="A474" s="11">
        <f>IFERROR(__xludf.DUMMYFUNCTION("""COMPUTED_VALUE"""),1994.0)</f>
        <v>1994</v>
      </c>
      <c r="B474" s="11" t="str">
        <f>IFERROR(__xludf.DUMMYFUNCTION("""COMPUTED_VALUE"""),"Ciencia Tecnica")</f>
        <v>Ciencia Tecnica</v>
      </c>
      <c r="C474" s="11">
        <f>IFERROR(__xludf.DUMMYFUNCTION("""COMPUTED_VALUE"""),0.233262122327226)</f>
        <v>0.2332621223</v>
      </c>
    </row>
    <row r="475">
      <c r="A475" s="11">
        <f>IFERROR(__xludf.DUMMYFUNCTION("""COMPUTED_VALUE"""),1994.0)</f>
        <v>1994</v>
      </c>
      <c r="B475" s="11" t="str">
        <f>IFERROR(__xludf.DUMMYFUNCTION("""COMPUTED_VALUE"""),"Comunicaciones")</f>
        <v>Comunicaciones</v>
      </c>
      <c r="C475" s="11">
        <f>IFERROR(__xludf.DUMMYFUNCTION("""COMPUTED_VALUE"""),0.0639137832134333)</f>
        <v>0.06391378321</v>
      </c>
    </row>
    <row r="476">
      <c r="A476" s="11">
        <f>IFERROR(__xludf.DUMMYFUNCTION("""COMPUTED_VALUE"""),1994.0)</f>
        <v>1994</v>
      </c>
      <c r="B476" s="11" t="str">
        <f>IFERROR(__xludf.DUMMYFUNCTION("""COMPUTED_VALUE"""),"Cultura")</f>
        <v>Cultura</v>
      </c>
      <c r="C476" s="11">
        <f>IFERROR(__xludf.DUMMYFUNCTION("""COMPUTED_VALUE"""),0.106448966459995)</f>
        <v>0.1064489665</v>
      </c>
    </row>
    <row r="477">
      <c r="A477" s="11">
        <f>IFERROR(__xludf.DUMMYFUNCTION("""COMPUTED_VALUE"""),1994.0)</f>
        <v>1994</v>
      </c>
      <c r="B477" s="11" t="str">
        <f>IFERROR(__xludf.DUMMYFUNCTION("""COMPUTED_VALUE"""),"Defensa Seguridad")</f>
        <v>Defensa Seguridad</v>
      </c>
      <c r="C477" s="11">
        <f>IFERROR(__xludf.DUMMYFUNCTION("""COMPUTED_VALUE"""),2.30711673576613)</f>
        <v>2.307116736</v>
      </c>
    </row>
    <row r="478">
      <c r="A478" s="11">
        <f>IFERROR(__xludf.DUMMYFUNCTION("""COMPUTED_VALUE"""),1994.0)</f>
        <v>1994</v>
      </c>
      <c r="B478" s="11" t="str">
        <f>IFERROR(__xludf.DUMMYFUNCTION("""COMPUTED_VALUE"""),"Educacion Basica")</f>
        <v>Educacion Basica</v>
      </c>
      <c r="C478" s="11">
        <f>IFERROR(__xludf.DUMMYFUNCTION("""COMPUTED_VALUE"""),2.77175672845931)</f>
        <v>2.771756728</v>
      </c>
    </row>
    <row r="479">
      <c r="A479" s="11">
        <f>IFERROR(__xludf.DUMMYFUNCTION("""COMPUTED_VALUE"""),1994.0)</f>
        <v>1994</v>
      </c>
      <c r="B479" s="11" t="str">
        <f>IFERROR(__xludf.DUMMYFUNCTION("""COMPUTED_VALUE"""),"Educacion Cultura Sin Discriminar")</f>
        <v>Educacion Cultura Sin Discriminar</v>
      </c>
      <c r="C479" s="11">
        <f>IFERROR(__xludf.DUMMYFUNCTION("""COMPUTED_VALUE"""),0.32953174289823)</f>
        <v>0.3295317429</v>
      </c>
    </row>
    <row r="480">
      <c r="A480" s="11">
        <f>IFERROR(__xludf.DUMMYFUNCTION("""COMPUTED_VALUE"""),1994.0)</f>
        <v>1994</v>
      </c>
      <c r="B480" s="11" t="str">
        <f>IFERROR(__xludf.DUMMYFUNCTION("""COMPUTED_VALUE"""),"Educacion Universitaria")</f>
        <v>Educacion Universitaria</v>
      </c>
      <c r="C480" s="11">
        <f>IFERROR(__xludf.DUMMYFUNCTION("""COMPUTED_VALUE"""),0.715315897214327)</f>
        <v>0.7153158972</v>
      </c>
    </row>
    <row r="481">
      <c r="A481" s="11">
        <f>IFERROR(__xludf.DUMMYFUNCTION("""COMPUTED_VALUE"""),1994.0)</f>
        <v>1994</v>
      </c>
      <c r="B481" s="11" t="str">
        <f>IFERROR(__xludf.DUMMYFUNCTION("""COMPUTED_VALUE"""),"Energia Combustible")</f>
        <v>Energia Combustible</v>
      </c>
      <c r="C481" s="11">
        <f>IFERROR(__xludf.DUMMYFUNCTION("""COMPUTED_VALUE"""),0.750956239607822)</f>
        <v>0.7509562396</v>
      </c>
    </row>
    <row r="482">
      <c r="A482" s="11">
        <f>IFERROR(__xludf.DUMMYFUNCTION("""COMPUTED_VALUE"""),1994.0)</f>
        <v>1994</v>
      </c>
      <c r="B482" s="11" t="str">
        <f>IFERROR(__xludf.DUMMYFUNCTION("""COMPUTED_VALUE"""),"Funcionamiento Estado")</f>
        <v>Funcionamiento Estado</v>
      </c>
      <c r="C482" s="11">
        <f>IFERROR(__xludf.DUMMYFUNCTION("""COMPUTED_VALUE"""),6.30545839516208)</f>
        <v>6.305458395</v>
      </c>
    </row>
    <row r="483">
      <c r="A483" s="11">
        <f>IFERROR(__xludf.DUMMYFUNCTION("""COMPUTED_VALUE"""),1994.0)</f>
        <v>1994</v>
      </c>
      <c r="B483" s="11" t="str">
        <f>IFERROR(__xludf.DUMMYFUNCTION("""COMPUTED_VALUE"""),"Industria")</f>
        <v>Industria</v>
      </c>
      <c r="C483" s="11">
        <f>IFERROR(__xludf.DUMMYFUNCTION("""COMPUTED_VALUE"""),0.0917204744203493)</f>
        <v>0.09172047442</v>
      </c>
    </row>
    <row r="484">
      <c r="A484" s="11">
        <f>IFERROR(__xludf.DUMMYFUNCTION("""COMPUTED_VALUE"""),1994.0)</f>
        <v>1994</v>
      </c>
      <c r="B484" s="11" t="str">
        <f>IFERROR(__xludf.DUMMYFUNCTION("""COMPUTED_VALUE"""),"Inssjyp Prestaciones")</f>
        <v>Inssjyp Prestaciones</v>
      </c>
      <c r="C484" s="11">
        <f>IFERROR(__xludf.DUMMYFUNCTION("""COMPUTED_VALUE"""),0.158952398092863)</f>
        <v>0.1589523981</v>
      </c>
    </row>
    <row r="485">
      <c r="A485" s="11">
        <f>IFERROR(__xludf.DUMMYFUNCTION("""COMPUTED_VALUE"""),1994.0)</f>
        <v>1994</v>
      </c>
      <c r="B485" s="11" t="str">
        <f>IFERROR(__xludf.DUMMYFUNCTION("""COMPUTED_VALUE"""),"Inssjyp Salud")</f>
        <v>Inssjyp Salud</v>
      </c>
      <c r="C485" s="11">
        <f>IFERROR(__xludf.DUMMYFUNCTION("""COMPUTED_VALUE"""),0.957273374773233)</f>
        <v>0.9572733748</v>
      </c>
    </row>
    <row r="486">
      <c r="A486" s="11">
        <f>IFERROR(__xludf.DUMMYFUNCTION("""COMPUTED_VALUE"""),1994.0)</f>
        <v>1994</v>
      </c>
      <c r="B486" s="11" t="str">
        <f>IFERROR(__xludf.DUMMYFUNCTION("""COMPUTED_VALUE"""),"Justicia")</f>
        <v>Justicia</v>
      </c>
      <c r="C486" s="11">
        <f>IFERROR(__xludf.DUMMYFUNCTION("""COMPUTED_VALUE"""),0.740174083579329)</f>
        <v>0.7401740836</v>
      </c>
    </row>
    <row r="487">
      <c r="A487" s="11">
        <f>IFERROR(__xludf.DUMMYFUNCTION("""COMPUTED_VALUE"""),1994.0)</f>
        <v>1994</v>
      </c>
      <c r="B487" s="11" t="str">
        <f>IFERROR(__xludf.DUMMYFUNCTION("""COMPUTED_VALUE"""),"Obras Sociales Prestaciones")</f>
        <v>Obras Sociales Prestaciones</v>
      </c>
      <c r="C487" s="11">
        <f>IFERROR(__xludf.DUMMYFUNCTION("""COMPUTED_VALUE"""),0.146446787665003)</f>
        <v>0.1464467877</v>
      </c>
    </row>
    <row r="488">
      <c r="A488" s="11">
        <f>IFERROR(__xludf.DUMMYFUNCTION("""COMPUTED_VALUE"""),1994.0)</f>
        <v>1994</v>
      </c>
      <c r="B488" s="11" t="str">
        <f>IFERROR(__xludf.DUMMYFUNCTION("""COMPUTED_VALUE"""),"Obras Sociales Salud")</f>
        <v>Obras Sociales Salud</v>
      </c>
      <c r="C488" s="11">
        <f>IFERROR(__xludf.DUMMYFUNCTION("""COMPUTED_VALUE"""),1.99666615605435)</f>
        <v>1.996666156</v>
      </c>
    </row>
    <row r="489">
      <c r="A489" s="11">
        <f>IFERROR(__xludf.DUMMYFUNCTION("""COMPUTED_VALUE"""),1994.0)</f>
        <v>1994</v>
      </c>
      <c r="B489" s="11" t="str">
        <f>IFERROR(__xludf.DUMMYFUNCTION("""COMPUTED_VALUE"""),"Otros Servicios Economicos")</f>
        <v>Otros Servicios Economicos</v>
      </c>
      <c r="C489" s="11">
        <f>IFERROR(__xludf.DUMMYFUNCTION("""COMPUTED_VALUE"""),0.444845828571874)</f>
        <v>0.4448458286</v>
      </c>
    </row>
    <row r="490">
      <c r="A490" s="11">
        <f>IFERROR(__xludf.DUMMYFUNCTION("""COMPUTED_VALUE"""),1994.0)</f>
        <v>1994</v>
      </c>
      <c r="B490" s="11" t="str">
        <f>IFERROR(__xludf.DUMMYFUNCTION("""COMPUTED_VALUE"""),"Otros Servicios Urbanos")</f>
        <v>Otros Servicios Urbanos</v>
      </c>
      <c r="C490" s="11">
        <f>IFERROR(__xludf.DUMMYFUNCTION("""COMPUTED_VALUE"""),0.996720333249369)</f>
        <v>0.9967203332</v>
      </c>
    </row>
    <row r="491">
      <c r="A491" s="11">
        <f>IFERROR(__xludf.DUMMYFUNCTION("""COMPUTED_VALUE"""),1994.0)</f>
        <v>1994</v>
      </c>
      <c r="B491" s="11" t="str">
        <f>IFERROR(__xludf.DUMMYFUNCTION("""COMPUTED_VALUE"""),"Prevision Social")</f>
        <v>Prevision Social</v>
      </c>
      <c r="C491" s="11">
        <f>IFERROR(__xludf.DUMMYFUNCTION("""COMPUTED_VALUE"""),8.23245015586558)</f>
        <v>8.232450156</v>
      </c>
    </row>
    <row r="492">
      <c r="A492" s="11">
        <f>IFERROR(__xludf.DUMMYFUNCTION("""COMPUTED_VALUE"""),1994.0)</f>
        <v>1994</v>
      </c>
      <c r="B492" s="11" t="str">
        <f>IFERROR(__xludf.DUMMYFUNCTION("""COMPUTED_VALUE"""),"Produccion Primaria")</f>
        <v>Produccion Primaria</v>
      </c>
      <c r="C492" s="11">
        <f>IFERROR(__xludf.DUMMYFUNCTION("""COMPUTED_VALUE"""),0.343126672345277)</f>
        <v>0.3431266723</v>
      </c>
    </row>
    <row r="493">
      <c r="A493" s="11">
        <f>IFERROR(__xludf.DUMMYFUNCTION("""COMPUTED_VALUE"""),1994.0)</f>
        <v>1994</v>
      </c>
      <c r="B493" s="11" t="str">
        <f>IFERROR(__xludf.DUMMYFUNCTION("""COMPUTED_VALUE"""),"Programas Empleo")</f>
        <v>Programas Empleo</v>
      </c>
      <c r="C493" s="11">
        <f>IFERROR(__xludf.DUMMYFUNCTION("""COMPUTED_VALUE"""),0.238631571118758)</f>
        <v>0.2386315711</v>
      </c>
    </row>
    <row r="494">
      <c r="A494" s="11">
        <f>IFERROR(__xludf.DUMMYFUNCTION("""COMPUTED_VALUE"""),1994.0)</f>
        <v>1994</v>
      </c>
      <c r="B494" s="11" t="str">
        <f>IFERROR(__xludf.DUMMYFUNCTION("""COMPUTED_VALUE"""),"Promocion Asistencia Social")</f>
        <v>Promocion Asistencia Social</v>
      </c>
      <c r="C494" s="11">
        <f>IFERROR(__xludf.DUMMYFUNCTION("""COMPUTED_VALUE"""),0.724323517882101)</f>
        <v>0.7243235179</v>
      </c>
    </row>
    <row r="495">
      <c r="A495" s="11">
        <f>IFERROR(__xludf.DUMMYFUNCTION("""COMPUTED_VALUE"""),1994.0)</f>
        <v>1994</v>
      </c>
      <c r="B495" s="11" t="str">
        <f>IFERROR(__xludf.DUMMYFUNCTION("""COMPUTED_VALUE"""),"Servicios Deuda Publica")</f>
        <v>Servicios Deuda Publica</v>
      </c>
      <c r="C495" s="11">
        <f>IFERROR(__xludf.DUMMYFUNCTION("""COMPUTED_VALUE"""),1.75322097259033)</f>
        <v>1.753220973</v>
      </c>
    </row>
    <row r="496">
      <c r="A496" s="11">
        <f>IFERROR(__xludf.DUMMYFUNCTION("""COMPUTED_VALUE"""),1994.0)</f>
        <v>1994</v>
      </c>
      <c r="B496" s="11" t="str">
        <f>IFERROR(__xludf.DUMMYFUNCTION("""COMPUTED_VALUE"""),"Servicios Economicos")</f>
        <v>Servicios Economicos</v>
      </c>
      <c r="C496" s="11">
        <f>IFERROR(__xludf.DUMMYFUNCTION("""COMPUTED_VALUE"""),2.74534750702428)</f>
        <v>2.745347507</v>
      </c>
    </row>
    <row r="497">
      <c r="A497" s="11">
        <f>IFERROR(__xludf.DUMMYFUNCTION("""COMPUTED_VALUE"""),1994.0)</f>
        <v>1994</v>
      </c>
      <c r="B497" s="11" t="str">
        <f>IFERROR(__xludf.DUMMYFUNCTION("""COMPUTED_VALUE"""),"Servicios Sociales")</f>
        <v>Servicios Sociales</v>
      </c>
      <c r="C497" s="11">
        <f>IFERROR(__xludf.DUMMYFUNCTION("""COMPUTED_VALUE"""),21.0238472366766)</f>
        <v>21.02384724</v>
      </c>
    </row>
    <row r="498">
      <c r="A498" s="11">
        <f>IFERROR(__xludf.DUMMYFUNCTION("""COMPUTED_VALUE"""),1994.0)</f>
        <v>1994</v>
      </c>
      <c r="B498" s="11" t="str">
        <f>IFERROR(__xludf.DUMMYFUNCTION("""COMPUTED_VALUE"""),"Transporte")</f>
        <v>Transporte</v>
      </c>
      <c r="C498" s="11">
        <f>IFERROR(__xludf.DUMMYFUNCTION("""COMPUTED_VALUE"""),1.05078450886552)</f>
        <v>1.050784509</v>
      </c>
    </row>
    <row r="499">
      <c r="A499" s="11">
        <f>IFERROR(__xludf.DUMMYFUNCTION("""COMPUTED_VALUE"""),1994.0)</f>
        <v>1994</v>
      </c>
      <c r="B499" s="11" t="str">
        <f>IFERROR(__xludf.DUMMYFUNCTION("""COMPUTED_VALUE"""),"Vivienda Urbanismo")</f>
        <v>Vivienda Urbanismo</v>
      </c>
      <c r="C499" s="11">
        <f>IFERROR(__xludf.DUMMYFUNCTION("""COMPUTED_VALUE"""),0.626202936349295)</f>
        <v>0.6262029363</v>
      </c>
    </row>
    <row r="500">
      <c r="A500" s="11">
        <f>IFERROR(__xludf.DUMMYFUNCTION("""COMPUTED_VALUE"""),1995.0)</f>
        <v>1995</v>
      </c>
      <c r="B500" s="11" t="str">
        <f>IFERROR(__xludf.DUMMYFUNCTION("""COMPUTED_VALUE"""),"Administracion General")</f>
        <v>Administracion General</v>
      </c>
      <c r="C500" s="11">
        <f>IFERROR(__xludf.DUMMYFUNCTION("""COMPUTED_VALUE"""),3.09773081047685)</f>
        <v>3.09773081</v>
      </c>
    </row>
    <row r="501">
      <c r="A501" s="11">
        <f>IFERROR(__xludf.DUMMYFUNCTION("""COMPUTED_VALUE"""),1995.0)</f>
        <v>1995</v>
      </c>
      <c r="B501" s="11" t="str">
        <f>IFERROR(__xludf.DUMMYFUNCTION("""COMPUTED_VALUE"""),"Agua Alcantarillado")</f>
        <v>Agua Alcantarillado</v>
      </c>
      <c r="C501" s="11">
        <f>IFERROR(__xludf.DUMMYFUNCTION("""COMPUTED_VALUE"""),0.241221641919154)</f>
        <v>0.2412216419</v>
      </c>
    </row>
    <row r="502">
      <c r="A502" s="11">
        <f>IFERROR(__xludf.DUMMYFUNCTION("""COMPUTED_VALUE"""),1995.0)</f>
        <v>1995</v>
      </c>
      <c r="B502" s="11" t="str">
        <f>IFERROR(__xludf.DUMMYFUNCTION("""COMPUTED_VALUE"""),"Asignaciones Familiares")</f>
        <v>Asignaciones Familiares</v>
      </c>
      <c r="C502" s="11">
        <f>IFERROR(__xludf.DUMMYFUNCTION("""COMPUTED_VALUE"""),0.739539621787494)</f>
        <v>0.7395396218</v>
      </c>
    </row>
    <row r="503">
      <c r="A503" s="11">
        <f>IFERROR(__xludf.DUMMYFUNCTION("""COMPUTED_VALUE"""),1995.0)</f>
        <v>1995</v>
      </c>
      <c r="B503" s="11" t="str">
        <f>IFERROR(__xludf.DUMMYFUNCTION("""COMPUTED_VALUE"""),"Atencion Salud")</f>
        <v>Atencion Salud</v>
      </c>
      <c r="C503" s="11">
        <f>IFERROR(__xludf.DUMMYFUNCTION("""COMPUTED_VALUE"""),1.87417843888791)</f>
        <v>1.874178439</v>
      </c>
    </row>
    <row r="504">
      <c r="A504" s="11">
        <f>IFERROR(__xludf.DUMMYFUNCTION("""COMPUTED_VALUE"""),1995.0)</f>
        <v>1995</v>
      </c>
      <c r="B504" s="11" t="str">
        <f>IFERROR(__xludf.DUMMYFUNCTION("""COMPUTED_VALUE"""),"Ciencia Tecnica")</f>
        <v>Ciencia Tecnica</v>
      </c>
      <c r="C504" s="11">
        <f>IFERROR(__xludf.DUMMYFUNCTION("""COMPUTED_VALUE"""),0.228699739460934)</f>
        <v>0.2286997395</v>
      </c>
    </row>
    <row r="505">
      <c r="A505" s="11">
        <f>IFERROR(__xludf.DUMMYFUNCTION("""COMPUTED_VALUE"""),1995.0)</f>
        <v>1995</v>
      </c>
      <c r="B505" s="11" t="str">
        <f>IFERROR(__xludf.DUMMYFUNCTION("""COMPUTED_VALUE"""),"Comunicaciones")</f>
        <v>Comunicaciones</v>
      </c>
      <c r="C505" s="11">
        <f>IFERROR(__xludf.DUMMYFUNCTION("""COMPUTED_VALUE"""),0.0795793949700429)</f>
        <v>0.07957939497</v>
      </c>
    </row>
    <row r="506">
      <c r="A506" s="11">
        <f>IFERROR(__xludf.DUMMYFUNCTION("""COMPUTED_VALUE"""),1995.0)</f>
        <v>1995</v>
      </c>
      <c r="B506" s="11" t="str">
        <f>IFERROR(__xludf.DUMMYFUNCTION("""COMPUTED_VALUE"""),"Cultura")</f>
        <v>Cultura</v>
      </c>
      <c r="C506" s="11">
        <f>IFERROR(__xludf.DUMMYFUNCTION("""COMPUTED_VALUE"""),0.118614921705679)</f>
        <v>0.1186149217</v>
      </c>
    </row>
    <row r="507">
      <c r="A507" s="11">
        <f>IFERROR(__xludf.DUMMYFUNCTION("""COMPUTED_VALUE"""),1995.0)</f>
        <v>1995</v>
      </c>
      <c r="B507" s="11" t="str">
        <f>IFERROR(__xludf.DUMMYFUNCTION("""COMPUTED_VALUE"""),"Defensa Seguridad")</f>
        <v>Defensa Seguridad</v>
      </c>
      <c r="C507" s="11">
        <f>IFERROR(__xludf.DUMMYFUNCTION("""COMPUTED_VALUE"""),2.36821747610952)</f>
        <v>2.368217476</v>
      </c>
    </row>
    <row r="508">
      <c r="A508" s="11">
        <f>IFERROR(__xludf.DUMMYFUNCTION("""COMPUTED_VALUE"""),1995.0)</f>
        <v>1995</v>
      </c>
      <c r="B508" s="11" t="str">
        <f>IFERROR(__xludf.DUMMYFUNCTION("""COMPUTED_VALUE"""),"Educacion Basica")</f>
        <v>Educacion Basica</v>
      </c>
      <c r="C508" s="11">
        <f>IFERROR(__xludf.DUMMYFUNCTION("""COMPUTED_VALUE"""),2.79524259298846)</f>
        <v>2.795242593</v>
      </c>
    </row>
    <row r="509">
      <c r="A509" s="11">
        <f>IFERROR(__xludf.DUMMYFUNCTION("""COMPUTED_VALUE"""),1995.0)</f>
        <v>1995</v>
      </c>
      <c r="B509" s="11" t="str">
        <f>IFERROR(__xludf.DUMMYFUNCTION("""COMPUTED_VALUE"""),"Educacion Cultura Sin Discriminar")</f>
        <v>Educacion Cultura Sin Discriminar</v>
      </c>
      <c r="C509" s="11">
        <f>IFERROR(__xludf.DUMMYFUNCTION("""COMPUTED_VALUE"""),0.328220390772637)</f>
        <v>0.3282203908</v>
      </c>
    </row>
    <row r="510">
      <c r="A510" s="11">
        <f>IFERROR(__xludf.DUMMYFUNCTION("""COMPUTED_VALUE"""),1995.0)</f>
        <v>1995</v>
      </c>
      <c r="B510" s="11" t="str">
        <f>IFERROR(__xludf.DUMMYFUNCTION("""COMPUTED_VALUE"""),"Educacion Universitaria")</f>
        <v>Educacion Universitaria</v>
      </c>
      <c r="C510" s="11">
        <f>IFERROR(__xludf.DUMMYFUNCTION("""COMPUTED_VALUE"""),0.842992727587051)</f>
        <v>0.8429927276</v>
      </c>
    </row>
    <row r="511">
      <c r="A511" s="11">
        <f>IFERROR(__xludf.DUMMYFUNCTION("""COMPUTED_VALUE"""),1995.0)</f>
        <v>1995</v>
      </c>
      <c r="B511" s="11" t="str">
        <f>IFERROR(__xludf.DUMMYFUNCTION("""COMPUTED_VALUE"""),"Energia Combustible")</f>
        <v>Energia Combustible</v>
      </c>
      <c r="C511" s="11">
        <f>IFERROR(__xludf.DUMMYFUNCTION("""COMPUTED_VALUE"""),0.570232412038613)</f>
        <v>0.570232412</v>
      </c>
    </row>
    <row r="512">
      <c r="A512" s="11">
        <f>IFERROR(__xludf.DUMMYFUNCTION("""COMPUTED_VALUE"""),1995.0)</f>
        <v>1995</v>
      </c>
      <c r="B512" s="11" t="str">
        <f>IFERROR(__xludf.DUMMYFUNCTION("""COMPUTED_VALUE"""),"Funcionamiento Estado")</f>
        <v>Funcionamiento Estado</v>
      </c>
      <c r="C512" s="11">
        <f>IFERROR(__xludf.DUMMYFUNCTION("""COMPUTED_VALUE"""),6.24909121715093)</f>
        <v>6.249091217</v>
      </c>
    </row>
    <row r="513">
      <c r="A513" s="11">
        <f>IFERROR(__xludf.DUMMYFUNCTION("""COMPUTED_VALUE"""),1995.0)</f>
        <v>1995</v>
      </c>
      <c r="B513" s="11" t="str">
        <f>IFERROR(__xludf.DUMMYFUNCTION("""COMPUTED_VALUE"""),"Industria")</f>
        <v>Industria</v>
      </c>
      <c r="C513" s="11">
        <f>IFERROR(__xludf.DUMMYFUNCTION("""COMPUTED_VALUE"""),0.100706154035685)</f>
        <v>0.100706154</v>
      </c>
    </row>
    <row r="514">
      <c r="A514" s="11">
        <f>IFERROR(__xludf.DUMMYFUNCTION("""COMPUTED_VALUE"""),1995.0)</f>
        <v>1995</v>
      </c>
      <c r="B514" s="11" t="str">
        <f>IFERROR(__xludf.DUMMYFUNCTION("""COMPUTED_VALUE"""),"Inssjyp Prestaciones")</f>
        <v>Inssjyp Prestaciones</v>
      </c>
      <c r="C514" s="11">
        <f>IFERROR(__xludf.DUMMYFUNCTION("""COMPUTED_VALUE"""),0.15817665943302)</f>
        <v>0.1581766594</v>
      </c>
    </row>
    <row r="515">
      <c r="A515" s="11">
        <f>IFERROR(__xludf.DUMMYFUNCTION("""COMPUTED_VALUE"""),1995.0)</f>
        <v>1995</v>
      </c>
      <c r="B515" s="11" t="str">
        <f>IFERROR(__xludf.DUMMYFUNCTION("""COMPUTED_VALUE"""),"Inssjyp Salud")</f>
        <v>Inssjyp Salud</v>
      </c>
      <c r="C515" s="11">
        <f>IFERROR(__xludf.DUMMYFUNCTION("""COMPUTED_VALUE"""),1.01525021903544)</f>
        <v>1.015250219</v>
      </c>
    </row>
    <row r="516">
      <c r="A516" s="11">
        <f>IFERROR(__xludf.DUMMYFUNCTION("""COMPUTED_VALUE"""),1995.0)</f>
        <v>1995</v>
      </c>
      <c r="B516" s="11" t="str">
        <f>IFERROR(__xludf.DUMMYFUNCTION("""COMPUTED_VALUE"""),"Justicia")</f>
        <v>Justicia</v>
      </c>
      <c r="C516" s="11">
        <f>IFERROR(__xludf.DUMMYFUNCTION("""COMPUTED_VALUE"""),0.783142930564557)</f>
        <v>0.7831429306</v>
      </c>
    </row>
    <row r="517">
      <c r="A517" s="11">
        <f>IFERROR(__xludf.DUMMYFUNCTION("""COMPUTED_VALUE"""),1995.0)</f>
        <v>1995</v>
      </c>
      <c r="B517" s="11" t="str">
        <f>IFERROR(__xludf.DUMMYFUNCTION("""COMPUTED_VALUE"""),"Obras Sociales Prestaciones")</f>
        <v>Obras Sociales Prestaciones</v>
      </c>
      <c r="C517" s="11">
        <f>IFERROR(__xludf.DUMMYFUNCTION("""COMPUTED_VALUE"""),0.144242126316961)</f>
        <v>0.1442421263</v>
      </c>
    </row>
    <row r="518">
      <c r="A518" s="11">
        <f>IFERROR(__xludf.DUMMYFUNCTION("""COMPUTED_VALUE"""),1995.0)</f>
        <v>1995</v>
      </c>
      <c r="B518" s="11" t="str">
        <f>IFERROR(__xludf.DUMMYFUNCTION("""COMPUTED_VALUE"""),"Obras Sociales Salud")</f>
        <v>Obras Sociales Salud</v>
      </c>
      <c r="C518" s="11">
        <f>IFERROR(__xludf.DUMMYFUNCTION("""COMPUTED_VALUE"""),2.03905071098254)</f>
        <v>2.039050711</v>
      </c>
    </row>
    <row r="519">
      <c r="A519" s="11">
        <f>IFERROR(__xludf.DUMMYFUNCTION("""COMPUTED_VALUE"""),1995.0)</f>
        <v>1995</v>
      </c>
      <c r="B519" s="11" t="str">
        <f>IFERROR(__xludf.DUMMYFUNCTION("""COMPUTED_VALUE"""),"Otros Servicios Economicos")</f>
        <v>Otros Servicios Economicos</v>
      </c>
      <c r="C519" s="11">
        <f>IFERROR(__xludf.DUMMYFUNCTION("""COMPUTED_VALUE"""),0.601576145350712)</f>
        <v>0.6015761454</v>
      </c>
    </row>
    <row r="520">
      <c r="A520" s="11">
        <f>IFERROR(__xludf.DUMMYFUNCTION("""COMPUTED_VALUE"""),1995.0)</f>
        <v>1995</v>
      </c>
      <c r="B520" s="11" t="str">
        <f>IFERROR(__xludf.DUMMYFUNCTION("""COMPUTED_VALUE"""),"Otros Servicios Urbanos")</f>
        <v>Otros Servicios Urbanos</v>
      </c>
      <c r="C520" s="11">
        <f>IFERROR(__xludf.DUMMYFUNCTION("""COMPUTED_VALUE"""),0.894869647537241)</f>
        <v>0.8948696475</v>
      </c>
    </row>
    <row r="521">
      <c r="A521" s="11">
        <f>IFERROR(__xludf.DUMMYFUNCTION("""COMPUTED_VALUE"""),1995.0)</f>
        <v>1995</v>
      </c>
      <c r="B521" s="11" t="str">
        <f>IFERROR(__xludf.DUMMYFUNCTION("""COMPUTED_VALUE"""),"Prevision Social")</f>
        <v>Prevision Social</v>
      </c>
      <c r="C521" s="11">
        <f>IFERROR(__xludf.DUMMYFUNCTION("""COMPUTED_VALUE"""),8.37800646322158)</f>
        <v>8.378006463</v>
      </c>
    </row>
    <row r="522">
      <c r="A522" s="11">
        <f>IFERROR(__xludf.DUMMYFUNCTION("""COMPUTED_VALUE"""),1995.0)</f>
        <v>1995</v>
      </c>
      <c r="B522" s="11" t="str">
        <f>IFERROR(__xludf.DUMMYFUNCTION("""COMPUTED_VALUE"""),"Produccion Primaria")</f>
        <v>Produccion Primaria</v>
      </c>
      <c r="C522" s="11">
        <f>IFERROR(__xludf.DUMMYFUNCTION("""COMPUTED_VALUE"""),0.328081405566926)</f>
        <v>0.3280814056</v>
      </c>
    </row>
    <row r="523">
      <c r="A523" s="11">
        <f>IFERROR(__xludf.DUMMYFUNCTION("""COMPUTED_VALUE"""),1995.0)</f>
        <v>1995</v>
      </c>
      <c r="B523" s="11" t="str">
        <f>IFERROR(__xludf.DUMMYFUNCTION("""COMPUTED_VALUE"""),"Programas Empleo")</f>
        <v>Programas Empleo</v>
      </c>
      <c r="C523" s="11">
        <f>IFERROR(__xludf.DUMMYFUNCTION("""COMPUTED_VALUE"""),0.225983079012911)</f>
        <v>0.225983079</v>
      </c>
    </row>
    <row r="524">
      <c r="A524" s="11">
        <f>IFERROR(__xludf.DUMMYFUNCTION("""COMPUTED_VALUE"""),1995.0)</f>
        <v>1995</v>
      </c>
      <c r="B524" s="11" t="str">
        <f>IFERROR(__xludf.DUMMYFUNCTION("""COMPUTED_VALUE"""),"Promocion Asistencia Social")</f>
        <v>Promocion Asistencia Social</v>
      </c>
      <c r="C524" s="11">
        <f>IFERROR(__xludf.DUMMYFUNCTION("""COMPUTED_VALUE"""),0.635012622981503)</f>
        <v>0.635012623</v>
      </c>
    </row>
    <row r="525">
      <c r="A525" s="11">
        <f>IFERROR(__xludf.DUMMYFUNCTION("""COMPUTED_VALUE"""),1995.0)</f>
        <v>1995</v>
      </c>
      <c r="B525" s="11" t="str">
        <f>IFERROR(__xludf.DUMMYFUNCTION("""COMPUTED_VALUE"""),"Servicios Deuda Publica")</f>
        <v>Servicios Deuda Publica</v>
      </c>
      <c r="C525" s="11">
        <f>IFERROR(__xludf.DUMMYFUNCTION("""COMPUTED_VALUE"""),2.24040741714474)</f>
        <v>2.240407417</v>
      </c>
    </row>
    <row r="526">
      <c r="A526" s="11">
        <f>IFERROR(__xludf.DUMMYFUNCTION("""COMPUTED_VALUE"""),1995.0)</f>
        <v>1995</v>
      </c>
      <c r="B526" s="11" t="str">
        <f>IFERROR(__xludf.DUMMYFUNCTION("""COMPUTED_VALUE"""),"Servicios Economicos")</f>
        <v>Servicios Economicos</v>
      </c>
      <c r="C526" s="11">
        <f>IFERROR(__xludf.DUMMYFUNCTION("""COMPUTED_VALUE"""),2.75513309726718)</f>
        <v>2.755133097</v>
      </c>
    </row>
    <row r="527">
      <c r="A527" s="11">
        <f>IFERROR(__xludf.DUMMYFUNCTION("""COMPUTED_VALUE"""),1995.0)</f>
        <v>1995</v>
      </c>
      <c r="B527" s="11" t="str">
        <f>IFERROR(__xludf.DUMMYFUNCTION("""COMPUTED_VALUE"""),"Servicios Sociales")</f>
        <v>Servicios Sociales</v>
      </c>
      <c r="C527" s="11">
        <f>IFERROR(__xludf.DUMMYFUNCTION("""COMPUTED_VALUE"""),21.1998568683819)</f>
        <v>21.19985687</v>
      </c>
    </row>
    <row r="528">
      <c r="A528" s="11">
        <f>IFERROR(__xludf.DUMMYFUNCTION("""COMPUTED_VALUE"""),1995.0)</f>
        <v>1995</v>
      </c>
      <c r="B528" s="11" t="str">
        <f>IFERROR(__xludf.DUMMYFUNCTION("""COMPUTED_VALUE"""),"Transporte")</f>
        <v>Transporte</v>
      </c>
      <c r="C528" s="11">
        <f>IFERROR(__xludf.DUMMYFUNCTION("""COMPUTED_VALUE"""),1.0749575853052)</f>
        <v>1.074957585</v>
      </c>
    </row>
    <row r="529">
      <c r="A529" s="11">
        <f>IFERROR(__xludf.DUMMYFUNCTION("""COMPUTED_VALUE"""),1995.0)</f>
        <v>1995</v>
      </c>
      <c r="B529" s="11" t="str">
        <f>IFERROR(__xludf.DUMMYFUNCTION("""COMPUTED_VALUE"""),"Vivienda Urbanismo")</f>
        <v>Vivienda Urbanismo</v>
      </c>
      <c r="C529" s="11">
        <f>IFERROR(__xludf.DUMMYFUNCTION("""COMPUTED_VALUE"""),0.540555264751392)</f>
        <v>0.5405552648</v>
      </c>
    </row>
    <row r="530">
      <c r="A530" s="11">
        <f>IFERROR(__xludf.DUMMYFUNCTION("""COMPUTED_VALUE"""),1996.0)</f>
        <v>1996</v>
      </c>
      <c r="B530" s="11" t="str">
        <f>IFERROR(__xludf.DUMMYFUNCTION("""COMPUTED_VALUE"""),"Administracion General")</f>
        <v>Administracion General</v>
      </c>
      <c r="C530" s="11">
        <f>IFERROR(__xludf.DUMMYFUNCTION("""COMPUTED_VALUE"""),2.93903527425896)</f>
        <v>2.939035274</v>
      </c>
    </row>
    <row r="531">
      <c r="A531" s="11">
        <f>IFERROR(__xludf.DUMMYFUNCTION("""COMPUTED_VALUE"""),1996.0)</f>
        <v>1996</v>
      </c>
      <c r="B531" s="11" t="str">
        <f>IFERROR(__xludf.DUMMYFUNCTION("""COMPUTED_VALUE"""),"Agua Alcantarillado")</f>
        <v>Agua Alcantarillado</v>
      </c>
      <c r="C531" s="11">
        <f>IFERROR(__xludf.DUMMYFUNCTION("""COMPUTED_VALUE"""),0.239706028849185)</f>
        <v>0.2397060288</v>
      </c>
    </row>
    <row r="532">
      <c r="A532" s="11">
        <f>IFERROR(__xludf.DUMMYFUNCTION("""COMPUTED_VALUE"""),1996.0)</f>
        <v>1996</v>
      </c>
      <c r="B532" s="11" t="str">
        <f>IFERROR(__xludf.DUMMYFUNCTION("""COMPUTED_VALUE"""),"Asignaciones Familiares")</f>
        <v>Asignaciones Familiares</v>
      </c>
      <c r="C532" s="11">
        <f>IFERROR(__xludf.DUMMYFUNCTION("""COMPUTED_VALUE"""),0.645259978778878)</f>
        <v>0.6452599788</v>
      </c>
    </row>
    <row r="533">
      <c r="A533" s="11">
        <f>IFERROR(__xludf.DUMMYFUNCTION("""COMPUTED_VALUE"""),1996.0)</f>
        <v>1996</v>
      </c>
      <c r="B533" s="11" t="str">
        <f>IFERROR(__xludf.DUMMYFUNCTION("""COMPUTED_VALUE"""),"Atencion Salud")</f>
        <v>Atencion Salud</v>
      </c>
      <c r="C533" s="11">
        <f>IFERROR(__xludf.DUMMYFUNCTION("""COMPUTED_VALUE"""),1.77634680551874)</f>
        <v>1.776346806</v>
      </c>
    </row>
    <row r="534">
      <c r="A534" s="11">
        <f>IFERROR(__xludf.DUMMYFUNCTION("""COMPUTED_VALUE"""),1996.0)</f>
        <v>1996</v>
      </c>
      <c r="B534" s="11" t="str">
        <f>IFERROR(__xludf.DUMMYFUNCTION("""COMPUTED_VALUE"""),"Ciencia Tecnica")</f>
        <v>Ciencia Tecnica</v>
      </c>
      <c r="C534" s="11">
        <f>IFERROR(__xludf.DUMMYFUNCTION("""COMPUTED_VALUE"""),0.195548711021082)</f>
        <v>0.195548711</v>
      </c>
    </row>
    <row r="535">
      <c r="A535" s="11">
        <f>IFERROR(__xludf.DUMMYFUNCTION("""COMPUTED_VALUE"""),1996.0)</f>
        <v>1996</v>
      </c>
      <c r="B535" s="11" t="str">
        <f>IFERROR(__xludf.DUMMYFUNCTION("""COMPUTED_VALUE"""),"Comunicaciones")</f>
        <v>Comunicaciones</v>
      </c>
      <c r="C535" s="11">
        <f>IFERROR(__xludf.DUMMYFUNCTION("""COMPUTED_VALUE"""),0.0595519704441964)</f>
        <v>0.05955197044</v>
      </c>
    </row>
    <row r="536">
      <c r="A536" s="11">
        <f>IFERROR(__xludf.DUMMYFUNCTION("""COMPUTED_VALUE"""),1996.0)</f>
        <v>1996</v>
      </c>
      <c r="B536" s="11" t="str">
        <f>IFERROR(__xludf.DUMMYFUNCTION("""COMPUTED_VALUE"""),"Cultura")</f>
        <v>Cultura</v>
      </c>
      <c r="C536" s="11">
        <f>IFERROR(__xludf.DUMMYFUNCTION("""COMPUTED_VALUE"""),0.124231260659833)</f>
        <v>0.1242312607</v>
      </c>
    </row>
    <row r="537">
      <c r="A537" s="11">
        <f>IFERROR(__xludf.DUMMYFUNCTION("""COMPUTED_VALUE"""),1996.0)</f>
        <v>1996</v>
      </c>
      <c r="B537" s="11" t="str">
        <f>IFERROR(__xludf.DUMMYFUNCTION("""COMPUTED_VALUE"""),"Defensa Seguridad")</f>
        <v>Defensa Seguridad</v>
      </c>
      <c r="C537" s="11">
        <f>IFERROR(__xludf.DUMMYFUNCTION("""COMPUTED_VALUE"""),2.18683466977385)</f>
        <v>2.18683467</v>
      </c>
    </row>
    <row r="538">
      <c r="A538" s="11">
        <f>IFERROR(__xludf.DUMMYFUNCTION("""COMPUTED_VALUE"""),1996.0)</f>
        <v>1996</v>
      </c>
      <c r="B538" s="11" t="str">
        <f>IFERROR(__xludf.DUMMYFUNCTION("""COMPUTED_VALUE"""),"Educacion Basica")</f>
        <v>Educacion Basica</v>
      </c>
      <c r="C538" s="11">
        <f>IFERROR(__xludf.DUMMYFUNCTION("""COMPUTED_VALUE"""),2.67072795570632)</f>
        <v>2.670727956</v>
      </c>
    </row>
    <row r="539">
      <c r="A539" s="11">
        <f>IFERROR(__xludf.DUMMYFUNCTION("""COMPUTED_VALUE"""),1996.0)</f>
        <v>1996</v>
      </c>
      <c r="B539" s="11" t="str">
        <f>IFERROR(__xludf.DUMMYFUNCTION("""COMPUTED_VALUE"""),"Educacion Cultura Sin Discriminar")</f>
        <v>Educacion Cultura Sin Discriminar</v>
      </c>
      <c r="C539" s="11">
        <f>IFERROR(__xludf.DUMMYFUNCTION("""COMPUTED_VALUE"""),0.313730528474772)</f>
        <v>0.3137305285</v>
      </c>
    </row>
    <row r="540">
      <c r="A540" s="11">
        <f>IFERROR(__xludf.DUMMYFUNCTION("""COMPUTED_VALUE"""),1996.0)</f>
        <v>1996</v>
      </c>
      <c r="B540" s="11" t="str">
        <f>IFERROR(__xludf.DUMMYFUNCTION("""COMPUTED_VALUE"""),"Educacion Universitaria")</f>
        <v>Educacion Universitaria</v>
      </c>
      <c r="C540" s="11">
        <f>IFERROR(__xludf.DUMMYFUNCTION("""COMPUTED_VALUE"""),0.832353214639969)</f>
        <v>0.8323532146</v>
      </c>
    </row>
    <row r="541">
      <c r="A541" s="11">
        <f>IFERROR(__xludf.DUMMYFUNCTION("""COMPUTED_VALUE"""),1996.0)</f>
        <v>1996</v>
      </c>
      <c r="B541" s="11" t="str">
        <f>IFERROR(__xludf.DUMMYFUNCTION("""COMPUTED_VALUE"""),"Energia Combustible")</f>
        <v>Energia Combustible</v>
      </c>
      <c r="C541" s="11">
        <f>IFERROR(__xludf.DUMMYFUNCTION("""COMPUTED_VALUE"""),0.378566490850541)</f>
        <v>0.3785664909</v>
      </c>
    </row>
    <row r="542">
      <c r="A542" s="11">
        <f>IFERROR(__xludf.DUMMYFUNCTION("""COMPUTED_VALUE"""),1996.0)</f>
        <v>1996</v>
      </c>
      <c r="B542" s="11" t="str">
        <f>IFERROR(__xludf.DUMMYFUNCTION("""COMPUTED_VALUE"""),"Funcionamiento Estado")</f>
        <v>Funcionamiento Estado</v>
      </c>
      <c r="C542" s="11">
        <f>IFERROR(__xludf.DUMMYFUNCTION("""COMPUTED_VALUE"""),5.87328853990028)</f>
        <v>5.87328854</v>
      </c>
    </row>
    <row r="543">
      <c r="A543" s="11">
        <f>IFERROR(__xludf.DUMMYFUNCTION("""COMPUTED_VALUE"""),1996.0)</f>
        <v>1996</v>
      </c>
      <c r="B543" s="11" t="str">
        <f>IFERROR(__xludf.DUMMYFUNCTION("""COMPUTED_VALUE"""),"Industria")</f>
        <v>Industria</v>
      </c>
      <c r="C543" s="11">
        <f>IFERROR(__xludf.DUMMYFUNCTION("""COMPUTED_VALUE"""),0.073356219170182)</f>
        <v>0.07335621917</v>
      </c>
    </row>
    <row r="544">
      <c r="A544" s="11">
        <f>IFERROR(__xludf.DUMMYFUNCTION("""COMPUTED_VALUE"""),1996.0)</f>
        <v>1996</v>
      </c>
      <c r="B544" s="11" t="str">
        <f>IFERROR(__xludf.DUMMYFUNCTION("""COMPUTED_VALUE"""),"Inssjyp Prestaciones")</f>
        <v>Inssjyp Prestaciones</v>
      </c>
      <c r="C544" s="11">
        <f>IFERROR(__xludf.DUMMYFUNCTION("""COMPUTED_VALUE"""),0.11525173750511)</f>
        <v>0.1152517375</v>
      </c>
    </row>
    <row r="545">
      <c r="A545" s="11">
        <f>IFERROR(__xludf.DUMMYFUNCTION("""COMPUTED_VALUE"""),1996.0)</f>
        <v>1996</v>
      </c>
      <c r="B545" s="11" t="str">
        <f>IFERROR(__xludf.DUMMYFUNCTION("""COMPUTED_VALUE"""),"Inssjyp Salud")</f>
        <v>Inssjyp Salud</v>
      </c>
      <c r="C545" s="11">
        <f>IFERROR(__xludf.DUMMYFUNCTION("""COMPUTED_VALUE"""),0.88158821922231)</f>
        <v>0.8815882192</v>
      </c>
    </row>
    <row r="546">
      <c r="A546" s="11">
        <f>IFERROR(__xludf.DUMMYFUNCTION("""COMPUTED_VALUE"""),1996.0)</f>
        <v>1996</v>
      </c>
      <c r="B546" s="11" t="str">
        <f>IFERROR(__xludf.DUMMYFUNCTION("""COMPUTED_VALUE"""),"Justicia")</f>
        <v>Justicia</v>
      </c>
      <c r="C546" s="11">
        <f>IFERROR(__xludf.DUMMYFUNCTION("""COMPUTED_VALUE"""),0.747418595867468)</f>
        <v>0.7474185959</v>
      </c>
    </row>
    <row r="547">
      <c r="A547" s="11">
        <f>IFERROR(__xludf.DUMMYFUNCTION("""COMPUTED_VALUE"""),1996.0)</f>
        <v>1996</v>
      </c>
      <c r="B547" s="11" t="str">
        <f>IFERROR(__xludf.DUMMYFUNCTION("""COMPUTED_VALUE"""),"Obras Sociales Prestaciones")</f>
        <v>Obras Sociales Prestaciones</v>
      </c>
      <c r="C547" s="11">
        <f>IFERROR(__xludf.DUMMYFUNCTION("""COMPUTED_VALUE"""),0.129580293588731)</f>
        <v>0.1295802936</v>
      </c>
    </row>
    <row r="548">
      <c r="A548" s="11">
        <f>IFERROR(__xludf.DUMMYFUNCTION("""COMPUTED_VALUE"""),1996.0)</f>
        <v>1996</v>
      </c>
      <c r="B548" s="11" t="str">
        <f>IFERROR(__xludf.DUMMYFUNCTION("""COMPUTED_VALUE"""),"Obras Sociales Salud")</f>
        <v>Obras Sociales Salud</v>
      </c>
      <c r="C548" s="11">
        <f>IFERROR(__xludf.DUMMYFUNCTION("""COMPUTED_VALUE"""),1.95249260059647)</f>
        <v>1.952492601</v>
      </c>
    </row>
    <row r="549">
      <c r="A549" s="11">
        <f>IFERROR(__xludf.DUMMYFUNCTION("""COMPUTED_VALUE"""),1996.0)</f>
        <v>1996</v>
      </c>
      <c r="B549" s="11" t="str">
        <f>IFERROR(__xludf.DUMMYFUNCTION("""COMPUTED_VALUE"""),"Otros Servicios Economicos")</f>
        <v>Otros Servicios Economicos</v>
      </c>
      <c r="C549" s="11">
        <f>IFERROR(__xludf.DUMMYFUNCTION("""COMPUTED_VALUE"""),0.615736993354515)</f>
        <v>0.6157369934</v>
      </c>
    </row>
    <row r="550">
      <c r="A550" s="11">
        <f>IFERROR(__xludf.DUMMYFUNCTION("""COMPUTED_VALUE"""),1996.0)</f>
        <v>1996</v>
      </c>
      <c r="B550" s="11" t="str">
        <f>IFERROR(__xludf.DUMMYFUNCTION("""COMPUTED_VALUE"""),"Otros Servicios Urbanos")</f>
        <v>Otros Servicios Urbanos</v>
      </c>
      <c r="C550" s="11">
        <f>IFERROR(__xludf.DUMMYFUNCTION("""COMPUTED_VALUE"""),0.805970978704528)</f>
        <v>0.8059709787</v>
      </c>
    </row>
    <row r="551">
      <c r="A551" s="11">
        <f>IFERROR(__xludf.DUMMYFUNCTION("""COMPUTED_VALUE"""),1996.0)</f>
        <v>1996</v>
      </c>
      <c r="B551" s="11" t="str">
        <f>IFERROR(__xludf.DUMMYFUNCTION("""COMPUTED_VALUE"""),"Prevision Social")</f>
        <v>Prevision Social</v>
      </c>
      <c r="C551" s="11">
        <f>IFERROR(__xludf.DUMMYFUNCTION("""COMPUTED_VALUE"""),8.0038037992448)</f>
        <v>8.003803799</v>
      </c>
    </row>
    <row r="552">
      <c r="A552" s="11">
        <f>IFERROR(__xludf.DUMMYFUNCTION("""COMPUTED_VALUE"""),1996.0)</f>
        <v>1996</v>
      </c>
      <c r="B552" s="11" t="str">
        <f>IFERROR(__xludf.DUMMYFUNCTION("""COMPUTED_VALUE"""),"Produccion Primaria")</f>
        <v>Produccion Primaria</v>
      </c>
      <c r="C552" s="11">
        <f>IFERROR(__xludf.DUMMYFUNCTION("""COMPUTED_VALUE"""),0.309079027213115)</f>
        <v>0.3090790272</v>
      </c>
    </row>
    <row r="553">
      <c r="A553" s="11">
        <f>IFERROR(__xludf.DUMMYFUNCTION("""COMPUTED_VALUE"""),1996.0)</f>
        <v>1996</v>
      </c>
      <c r="B553" s="11" t="str">
        <f>IFERROR(__xludf.DUMMYFUNCTION("""COMPUTED_VALUE"""),"Programas Empleo")</f>
        <v>Programas Empleo</v>
      </c>
      <c r="C553" s="11">
        <f>IFERROR(__xludf.DUMMYFUNCTION("""COMPUTED_VALUE"""),0.264464537027145)</f>
        <v>0.264464537</v>
      </c>
    </row>
    <row r="554">
      <c r="A554" s="11">
        <f>IFERROR(__xludf.DUMMYFUNCTION("""COMPUTED_VALUE"""),1996.0)</f>
        <v>1996</v>
      </c>
      <c r="B554" s="11" t="str">
        <f>IFERROR(__xludf.DUMMYFUNCTION("""COMPUTED_VALUE"""),"Promocion Asistencia Social")</f>
        <v>Promocion Asistencia Social</v>
      </c>
      <c r="C554" s="11">
        <f>IFERROR(__xludf.DUMMYFUNCTION("""COMPUTED_VALUE"""),0.655766722681533)</f>
        <v>0.6557667227</v>
      </c>
    </row>
    <row r="555">
      <c r="A555" s="11">
        <f>IFERROR(__xludf.DUMMYFUNCTION("""COMPUTED_VALUE"""),1996.0)</f>
        <v>1996</v>
      </c>
      <c r="B555" s="11" t="str">
        <f>IFERROR(__xludf.DUMMYFUNCTION("""COMPUTED_VALUE"""),"Servicios Deuda Publica")</f>
        <v>Servicios Deuda Publica</v>
      </c>
      <c r="C555" s="11">
        <f>IFERROR(__xludf.DUMMYFUNCTION("""COMPUTED_VALUE"""),2.2089258211542)</f>
        <v>2.208925821</v>
      </c>
    </row>
    <row r="556">
      <c r="A556" s="11">
        <f>IFERROR(__xludf.DUMMYFUNCTION("""COMPUTED_VALUE"""),1996.0)</f>
        <v>1996</v>
      </c>
      <c r="B556" s="11" t="str">
        <f>IFERROR(__xludf.DUMMYFUNCTION("""COMPUTED_VALUE"""),"Servicios Economicos")</f>
        <v>Servicios Economicos</v>
      </c>
      <c r="C556" s="11">
        <f>IFERROR(__xludf.DUMMYFUNCTION("""COMPUTED_VALUE"""),2.34829520768146)</f>
        <v>2.348295208</v>
      </c>
    </row>
    <row r="557">
      <c r="A557" s="11">
        <f>IFERROR(__xludf.DUMMYFUNCTION("""COMPUTED_VALUE"""),1996.0)</f>
        <v>1996</v>
      </c>
      <c r="B557" s="11" t="str">
        <f>IFERROR(__xludf.DUMMYFUNCTION("""COMPUTED_VALUE"""),"Servicios Sociales")</f>
        <v>Servicios Sociales</v>
      </c>
      <c r="C557" s="11">
        <f>IFERROR(__xludf.DUMMYFUNCTION("""COMPUTED_VALUE"""),20.1142902620518)</f>
        <v>20.11429026</v>
      </c>
    </row>
    <row r="558">
      <c r="A558" s="11">
        <f>IFERROR(__xludf.DUMMYFUNCTION("""COMPUTED_VALUE"""),1996.0)</f>
        <v>1996</v>
      </c>
      <c r="B558" s="11" t="str">
        <f>IFERROR(__xludf.DUMMYFUNCTION("""COMPUTED_VALUE"""),"Transporte")</f>
        <v>Transporte</v>
      </c>
      <c r="C558" s="11">
        <f>IFERROR(__xludf.DUMMYFUNCTION("""COMPUTED_VALUE"""),0.912004506648916)</f>
        <v>0.9120045066</v>
      </c>
    </row>
    <row r="559">
      <c r="A559" s="11">
        <f>IFERROR(__xludf.DUMMYFUNCTION("""COMPUTED_VALUE"""),1996.0)</f>
        <v>1996</v>
      </c>
      <c r="B559" s="11" t="str">
        <f>IFERROR(__xludf.DUMMYFUNCTION("""COMPUTED_VALUE"""),"Vivienda Urbanismo")</f>
        <v>Vivienda Urbanismo</v>
      </c>
      <c r="C559" s="11">
        <f>IFERROR(__xludf.DUMMYFUNCTION("""COMPUTED_VALUE"""),0.507466889832437)</f>
        <v>0.5074668898</v>
      </c>
    </row>
    <row r="560">
      <c r="A560" s="11">
        <f>IFERROR(__xludf.DUMMYFUNCTION("""COMPUTED_VALUE"""),1997.0)</f>
        <v>1997</v>
      </c>
      <c r="B560" s="11" t="str">
        <f>IFERROR(__xludf.DUMMYFUNCTION("""COMPUTED_VALUE"""),"Administracion General")</f>
        <v>Administracion General</v>
      </c>
      <c r="C560" s="11">
        <f>IFERROR(__xludf.DUMMYFUNCTION("""COMPUTED_VALUE"""),2.78113446506157)</f>
        <v>2.781134465</v>
      </c>
    </row>
    <row r="561">
      <c r="A561" s="11">
        <f>IFERROR(__xludf.DUMMYFUNCTION("""COMPUTED_VALUE"""),1997.0)</f>
        <v>1997</v>
      </c>
      <c r="B561" s="11" t="str">
        <f>IFERROR(__xludf.DUMMYFUNCTION("""COMPUTED_VALUE"""),"Agua Alcantarillado")</f>
        <v>Agua Alcantarillado</v>
      </c>
      <c r="C561" s="11">
        <f>IFERROR(__xludf.DUMMYFUNCTION("""COMPUTED_VALUE"""),0.256295957508114)</f>
        <v>0.2562959575</v>
      </c>
    </row>
    <row r="562">
      <c r="A562" s="11">
        <f>IFERROR(__xludf.DUMMYFUNCTION("""COMPUTED_VALUE"""),1997.0)</f>
        <v>1997</v>
      </c>
      <c r="B562" s="11" t="str">
        <f>IFERROR(__xludf.DUMMYFUNCTION("""COMPUTED_VALUE"""),"Asignaciones Familiares")</f>
        <v>Asignaciones Familiares</v>
      </c>
      <c r="C562" s="11">
        <f>IFERROR(__xludf.DUMMYFUNCTION("""COMPUTED_VALUE"""),0.586862968097555)</f>
        <v>0.5868629681</v>
      </c>
    </row>
    <row r="563">
      <c r="A563" s="11">
        <f>IFERROR(__xludf.DUMMYFUNCTION("""COMPUTED_VALUE"""),1997.0)</f>
        <v>1997</v>
      </c>
      <c r="B563" s="11" t="str">
        <f>IFERROR(__xludf.DUMMYFUNCTION("""COMPUTED_VALUE"""),"Atencion Salud")</f>
        <v>Atencion Salud</v>
      </c>
      <c r="C563" s="11">
        <f>IFERROR(__xludf.DUMMYFUNCTION("""COMPUTED_VALUE"""),1.7689563234278)</f>
        <v>1.768956323</v>
      </c>
    </row>
    <row r="564">
      <c r="A564" s="11">
        <f>IFERROR(__xludf.DUMMYFUNCTION("""COMPUTED_VALUE"""),1997.0)</f>
        <v>1997</v>
      </c>
      <c r="B564" s="11" t="str">
        <f>IFERROR(__xludf.DUMMYFUNCTION("""COMPUTED_VALUE"""),"Ciencia Tecnica")</f>
        <v>Ciencia Tecnica</v>
      </c>
      <c r="C564" s="11">
        <f>IFERROR(__xludf.DUMMYFUNCTION("""COMPUTED_VALUE"""),0.217694301264435)</f>
        <v>0.2176943013</v>
      </c>
    </row>
    <row r="565">
      <c r="A565" s="11">
        <f>IFERROR(__xludf.DUMMYFUNCTION("""COMPUTED_VALUE"""),1997.0)</f>
        <v>1997</v>
      </c>
      <c r="B565" s="11" t="str">
        <f>IFERROR(__xludf.DUMMYFUNCTION("""COMPUTED_VALUE"""),"Comunicaciones")</f>
        <v>Comunicaciones</v>
      </c>
      <c r="C565" s="11">
        <f>IFERROR(__xludf.DUMMYFUNCTION("""COMPUTED_VALUE"""),0.0953916899035385)</f>
        <v>0.0953916899</v>
      </c>
    </row>
    <row r="566">
      <c r="A566" s="11">
        <f>IFERROR(__xludf.DUMMYFUNCTION("""COMPUTED_VALUE"""),1997.0)</f>
        <v>1997</v>
      </c>
      <c r="B566" s="11" t="str">
        <f>IFERROR(__xludf.DUMMYFUNCTION("""COMPUTED_VALUE"""),"Cultura")</f>
        <v>Cultura</v>
      </c>
      <c r="C566" s="11">
        <f>IFERROR(__xludf.DUMMYFUNCTION("""COMPUTED_VALUE"""),0.120708548160231)</f>
        <v>0.1207085482</v>
      </c>
    </row>
    <row r="567">
      <c r="A567" s="11">
        <f>IFERROR(__xludf.DUMMYFUNCTION("""COMPUTED_VALUE"""),1997.0)</f>
        <v>1997</v>
      </c>
      <c r="B567" s="11" t="str">
        <f>IFERROR(__xludf.DUMMYFUNCTION("""COMPUTED_VALUE"""),"Defensa Seguridad")</f>
        <v>Defensa Seguridad</v>
      </c>
      <c r="C567" s="11">
        <f>IFERROR(__xludf.DUMMYFUNCTION("""COMPUTED_VALUE"""),2.12309162875838)</f>
        <v>2.123091629</v>
      </c>
    </row>
    <row r="568">
      <c r="A568" s="11">
        <f>IFERROR(__xludf.DUMMYFUNCTION("""COMPUTED_VALUE"""),1997.0)</f>
        <v>1997</v>
      </c>
      <c r="B568" s="11" t="str">
        <f>IFERROR(__xludf.DUMMYFUNCTION("""COMPUTED_VALUE"""),"Educacion Basica")</f>
        <v>Educacion Basica</v>
      </c>
      <c r="C568" s="11">
        <f>IFERROR(__xludf.DUMMYFUNCTION("""COMPUTED_VALUE"""),2.84150035959537)</f>
        <v>2.84150036</v>
      </c>
    </row>
    <row r="569">
      <c r="A569" s="11">
        <f>IFERROR(__xludf.DUMMYFUNCTION("""COMPUTED_VALUE"""),1997.0)</f>
        <v>1997</v>
      </c>
      <c r="B569" s="11" t="str">
        <f>IFERROR(__xludf.DUMMYFUNCTION("""COMPUTED_VALUE"""),"Educacion Cultura Sin Discriminar")</f>
        <v>Educacion Cultura Sin Discriminar</v>
      </c>
      <c r="C569" s="11">
        <f>IFERROR(__xludf.DUMMYFUNCTION("""COMPUTED_VALUE"""),0.327149911627445)</f>
        <v>0.3271499116</v>
      </c>
    </row>
    <row r="570">
      <c r="A570" s="11">
        <f>IFERROR(__xludf.DUMMYFUNCTION("""COMPUTED_VALUE"""),1997.0)</f>
        <v>1997</v>
      </c>
      <c r="B570" s="11" t="str">
        <f>IFERROR(__xludf.DUMMYFUNCTION("""COMPUTED_VALUE"""),"Educacion Universitaria")</f>
        <v>Educacion Universitaria</v>
      </c>
      <c r="C570" s="11">
        <f>IFERROR(__xludf.DUMMYFUNCTION("""COMPUTED_VALUE"""),0.807516147356856)</f>
        <v>0.8075161474</v>
      </c>
    </row>
    <row r="571">
      <c r="A571" s="11">
        <f>IFERROR(__xludf.DUMMYFUNCTION("""COMPUTED_VALUE"""),1997.0)</f>
        <v>1997</v>
      </c>
      <c r="B571" s="11" t="str">
        <f>IFERROR(__xludf.DUMMYFUNCTION("""COMPUTED_VALUE"""),"Energia Combustible")</f>
        <v>Energia Combustible</v>
      </c>
      <c r="C571" s="11">
        <f>IFERROR(__xludf.DUMMYFUNCTION("""COMPUTED_VALUE"""),0.323512100286619)</f>
        <v>0.3235121003</v>
      </c>
    </row>
    <row r="572">
      <c r="A572" s="11">
        <f>IFERROR(__xludf.DUMMYFUNCTION("""COMPUTED_VALUE"""),1997.0)</f>
        <v>1997</v>
      </c>
      <c r="B572" s="11" t="str">
        <f>IFERROR(__xludf.DUMMYFUNCTION("""COMPUTED_VALUE"""),"Funcionamiento Estado")</f>
        <v>Funcionamiento Estado</v>
      </c>
      <c r="C572" s="11">
        <f>IFERROR(__xludf.DUMMYFUNCTION("""COMPUTED_VALUE"""),5.65858227739606)</f>
        <v>5.658582277</v>
      </c>
    </row>
    <row r="573">
      <c r="A573" s="11">
        <f>IFERROR(__xludf.DUMMYFUNCTION("""COMPUTED_VALUE"""),1997.0)</f>
        <v>1997</v>
      </c>
      <c r="B573" s="11" t="str">
        <f>IFERROR(__xludf.DUMMYFUNCTION("""COMPUTED_VALUE"""),"Industria")</f>
        <v>Industria</v>
      </c>
      <c r="C573" s="11">
        <f>IFERROR(__xludf.DUMMYFUNCTION("""COMPUTED_VALUE"""),0.0725810296430151)</f>
        <v>0.07258102964</v>
      </c>
    </row>
    <row r="574">
      <c r="A574" s="11">
        <f>IFERROR(__xludf.DUMMYFUNCTION("""COMPUTED_VALUE"""),1997.0)</f>
        <v>1997</v>
      </c>
      <c r="B574" s="11" t="str">
        <f>IFERROR(__xludf.DUMMYFUNCTION("""COMPUTED_VALUE"""),"Inssjyp Prestaciones")</f>
        <v>Inssjyp Prestaciones</v>
      </c>
      <c r="C574" s="11">
        <f>IFERROR(__xludf.DUMMYFUNCTION("""COMPUTED_VALUE"""),0.121581716910437)</f>
        <v>0.1215817169</v>
      </c>
    </row>
    <row r="575">
      <c r="A575" s="11">
        <f>IFERROR(__xludf.DUMMYFUNCTION("""COMPUTED_VALUE"""),1997.0)</f>
        <v>1997</v>
      </c>
      <c r="B575" s="11" t="str">
        <f>IFERROR(__xludf.DUMMYFUNCTION("""COMPUTED_VALUE"""),"Inssjyp Salud")</f>
        <v>Inssjyp Salud</v>
      </c>
      <c r="C575" s="11">
        <f>IFERROR(__xludf.DUMMYFUNCTION("""COMPUTED_VALUE"""),0.823126523562937)</f>
        <v>0.8231265236</v>
      </c>
    </row>
    <row r="576">
      <c r="A576" s="11">
        <f>IFERROR(__xludf.DUMMYFUNCTION("""COMPUTED_VALUE"""),1997.0)</f>
        <v>1997</v>
      </c>
      <c r="B576" s="11" t="str">
        <f>IFERROR(__xludf.DUMMYFUNCTION("""COMPUTED_VALUE"""),"Justicia")</f>
        <v>Justicia</v>
      </c>
      <c r="C576" s="11">
        <f>IFERROR(__xludf.DUMMYFUNCTION("""COMPUTED_VALUE"""),0.754356183576106)</f>
        <v>0.7543561836</v>
      </c>
    </row>
    <row r="577">
      <c r="A577" s="11">
        <f>IFERROR(__xludf.DUMMYFUNCTION("""COMPUTED_VALUE"""),1997.0)</f>
        <v>1997</v>
      </c>
      <c r="B577" s="11" t="str">
        <f>IFERROR(__xludf.DUMMYFUNCTION("""COMPUTED_VALUE"""),"Obras Sociales Prestaciones")</f>
        <v>Obras Sociales Prestaciones</v>
      </c>
      <c r="C577" s="11">
        <f>IFERROR(__xludf.DUMMYFUNCTION("""COMPUTED_VALUE"""),0.121805642887301)</f>
        <v>0.1218056429</v>
      </c>
    </row>
    <row r="578">
      <c r="A578" s="11">
        <f>IFERROR(__xludf.DUMMYFUNCTION("""COMPUTED_VALUE"""),1997.0)</f>
        <v>1997</v>
      </c>
      <c r="B578" s="11" t="str">
        <f>IFERROR(__xludf.DUMMYFUNCTION("""COMPUTED_VALUE"""),"Obras Sociales Salud")</f>
        <v>Obras Sociales Salud</v>
      </c>
      <c r="C578" s="11">
        <f>IFERROR(__xludf.DUMMYFUNCTION("""COMPUTED_VALUE"""),1.93280721491547)</f>
        <v>1.932807215</v>
      </c>
    </row>
    <row r="579">
      <c r="A579" s="11">
        <f>IFERROR(__xludf.DUMMYFUNCTION("""COMPUTED_VALUE"""),1997.0)</f>
        <v>1997</v>
      </c>
      <c r="B579" s="11" t="str">
        <f>IFERROR(__xludf.DUMMYFUNCTION("""COMPUTED_VALUE"""),"Otros Servicios Economicos")</f>
        <v>Otros Servicios Economicos</v>
      </c>
      <c r="C579" s="11">
        <f>IFERROR(__xludf.DUMMYFUNCTION("""COMPUTED_VALUE"""),0.336741702114758)</f>
        <v>0.3367417021</v>
      </c>
    </row>
    <row r="580">
      <c r="A580" s="11">
        <f>IFERROR(__xludf.DUMMYFUNCTION("""COMPUTED_VALUE"""),1997.0)</f>
        <v>1997</v>
      </c>
      <c r="B580" s="11" t="str">
        <f>IFERROR(__xludf.DUMMYFUNCTION("""COMPUTED_VALUE"""),"Otros Servicios Urbanos")</f>
        <v>Otros Servicios Urbanos</v>
      </c>
      <c r="C580" s="11">
        <f>IFERROR(__xludf.DUMMYFUNCTION("""COMPUTED_VALUE"""),0.764905921837046)</f>
        <v>0.7649059218</v>
      </c>
    </row>
    <row r="581">
      <c r="A581" s="11">
        <f>IFERROR(__xludf.DUMMYFUNCTION("""COMPUTED_VALUE"""),1997.0)</f>
        <v>1997</v>
      </c>
      <c r="B581" s="11" t="str">
        <f>IFERROR(__xludf.DUMMYFUNCTION("""COMPUTED_VALUE"""),"Prevision Social")</f>
        <v>Prevision Social</v>
      </c>
      <c r="C581" s="11">
        <f>IFERROR(__xludf.DUMMYFUNCTION("""COMPUTED_VALUE"""),7.50334502343186)</f>
        <v>7.503345023</v>
      </c>
    </row>
    <row r="582">
      <c r="A582" s="11">
        <f>IFERROR(__xludf.DUMMYFUNCTION("""COMPUTED_VALUE"""),1997.0)</f>
        <v>1997</v>
      </c>
      <c r="B582" s="11" t="str">
        <f>IFERROR(__xludf.DUMMYFUNCTION("""COMPUTED_VALUE"""),"Produccion Primaria")</f>
        <v>Produccion Primaria</v>
      </c>
      <c r="C582" s="11">
        <f>IFERROR(__xludf.DUMMYFUNCTION("""COMPUTED_VALUE"""),0.30356232743696)</f>
        <v>0.3035623274</v>
      </c>
    </row>
    <row r="583">
      <c r="A583" s="11">
        <f>IFERROR(__xludf.DUMMYFUNCTION("""COMPUTED_VALUE"""),1997.0)</f>
        <v>1997</v>
      </c>
      <c r="B583" s="11" t="str">
        <f>IFERROR(__xludf.DUMMYFUNCTION("""COMPUTED_VALUE"""),"Programas Empleo")</f>
        <v>Programas Empleo</v>
      </c>
      <c r="C583" s="11">
        <f>IFERROR(__xludf.DUMMYFUNCTION("""COMPUTED_VALUE"""),0.274759928380136)</f>
        <v>0.2747599284</v>
      </c>
    </row>
    <row r="584">
      <c r="A584" s="11">
        <f>IFERROR(__xludf.DUMMYFUNCTION("""COMPUTED_VALUE"""),1997.0)</f>
        <v>1997</v>
      </c>
      <c r="B584" s="11" t="str">
        <f>IFERROR(__xludf.DUMMYFUNCTION("""COMPUTED_VALUE"""),"Promocion Asistencia Social")</f>
        <v>Promocion Asistencia Social</v>
      </c>
      <c r="C584" s="11">
        <f>IFERROR(__xludf.DUMMYFUNCTION("""COMPUTED_VALUE"""),0.793227832441716)</f>
        <v>0.7932278324</v>
      </c>
    </row>
    <row r="585">
      <c r="A585" s="11">
        <f>IFERROR(__xludf.DUMMYFUNCTION("""COMPUTED_VALUE"""),1997.0)</f>
        <v>1997</v>
      </c>
      <c r="B585" s="11" t="str">
        <f>IFERROR(__xludf.DUMMYFUNCTION("""COMPUTED_VALUE"""),"Servicios Deuda Publica")</f>
        <v>Servicios Deuda Publica</v>
      </c>
      <c r="C585" s="11">
        <f>IFERROR(__xludf.DUMMYFUNCTION("""COMPUTED_VALUE"""),2.67296540068131)</f>
        <v>2.672965401</v>
      </c>
    </row>
    <row r="586">
      <c r="A586" s="11">
        <f>IFERROR(__xludf.DUMMYFUNCTION("""COMPUTED_VALUE"""),1997.0)</f>
        <v>1997</v>
      </c>
      <c r="B586" s="11" t="str">
        <f>IFERROR(__xludf.DUMMYFUNCTION("""COMPUTED_VALUE"""),"Servicios Economicos")</f>
        <v>Servicios Economicos</v>
      </c>
      <c r="C586" s="11">
        <f>IFERROR(__xludf.DUMMYFUNCTION("""COMPUTED_VALUE"""),2.20044067126459)</f>
        <v>2.200440671</v>
      </c>
    </row>
    <row r="587">
      <c r="A587" s="11">
        <f>IFERROR(__xludf.DUMMYFUNCTION("""COMPUTED_VALUE"""),1997.0)</f>
        <v>1997</v>
      </c>
      <c r="B587" s="11" t="str">
        <f>IFERROR(__xludf.DUMMYFUNCTION("""COMPUTED_VALUE"""),"Servicios Sociales")</f>
        <v>Servicios Sociales</v>
      </c>
      <c r="C587" s="11">
        <f>IFERROR(__xludf.DUMMYFUNCTION("""COMPUTED_VALUE"""),19.8247572105816)</f>
        <v>19.82475721</v>
      </c>
    </row>
    <row r="588">
      <c r="A588" s="11">
        <f>IFERROR(__xludf.DUMMYFUNCTION("""COMPUTED_VALUE"""),1997.0)</f>
        <v>1997</v>
      </c>
      <c r="B588" s="11" t="str">
        <f>IFERROR(__xludf.DUMMYFUNCTION("""COMPUTED_VALUE"""),"Transporte")</f>
        <v>Transporte</v>
      </c>
      <c r="C588" s="11">
        <f>IFERROR(__xludf.DUMMYFUNCTION("""COMPUTED_VALUE"""),1.06865182187969)</f>
        <v>1.068651822</v>
      </c>
    </row>
    <row r="589">
      <c r="A589" s="11">
        <f>IFERROR(__xludf.DUMMYFUNCTION("""COMPUTED_VALUE"""),1997.0)</f>
        <v>1997</v>
      </c>
      <c r="B589" s="11" t="str">
        <f>IFERROR(__xludf.DUMMYFUNCTION("""COMPUTED_VALUE"""),"Vivienda Urbanismo")</f>
        <v>Vivienda Urbanismo</v>
      </c>
      <c r="C589" s="11">
        <f>IFERROR(__xludf.DUMMYFUNCTION("""COMPUTED_VALUE"""),0.562512889176909)</f>
        <v>0.5625128892</v>
      </c>
    </row>
    <row r="590">
      <c r="A590" s="11">
        <f>IFERROR(__xludf.DUMMYFUNCTION("""COMPUTED_VALUE"""),1998.0)</f>
        <v>1998</v>
      </c>
      <c r="B590" s="11" t="str">
        <f>IFERROR(__xludf.DUMMYFUNCTION("""COMPUTED_VALUE"""),"Administracion General")</f>
        <v>Administracion General</v>
      </c>
      <c r="C590" s="11">
        <f>IFERROR(__xludf.DUMMYFUNCTION("""COMPUTED_VALUE"""),2.92184875982747)</f>
        <v>2.92184876</v>
      </c>
    </row>
    <row r="591">
      <c r="A591" s="11">
        <f>IFERROR(__xludf.DUMMYFUNCTION("""COMPUTED_VALUE"""),1998.0)</f>
        <v>1998</v>
      </c>
      <c r="B591" s="11" t="str">
        <f>IFERROR(__xludf.DUMMYFUNCTION("""COMPUTED_VALUE"""),"Agua Alcantarillado")</f>
        <v>Agua Alcantarillado</v>
      </c>
      <c r="C591" s="11">
        <f>IFERROR(__xludf.DUMMYFUNCTION("""COMPUTED_VALUE"""),0.239286873114265)</f>
        <v>0.2392868731</v>
      </c>
    </row>
    <row r="592">
      <c r="A592" s="11">
        <f>IFERROR(__xludf.DUMMYFUNCTION("""COMPUTED_VALUE"""),1998.0)</f>
        <v>1998</v>
      </c>
      <c r="B592" s="11" t="str">
        <f>IFERROR(__xludf.DUMMYFUNCTION("""COMPUTED_VALUE"""),"Asignaciones Familiares")</f>
        <v>Asignaciones Familiares</v>
      </c>
      <c r="C592" s="11">
        <f>IFERROR(__xludf.DUMMYFUNCTION("""COMPUTED_VALUE"""),0.574266012706237)</f>
        <v>0.5742660127</v>
      </c>
    </row>
    <row r="593">
      <c r="A593" s="11">
        <f>IFERROR(__xludf.DUMMYFUNCTION("""COMPUTED_VALUE"""),1998.0)</f>
        <v>1998</v>
      </c>
      <c r="B593" s="11" t="str">
        <f>IFERROR(__xludf.DUMMYFUNCTION("""COMPUTED_VALUE"""),"Atencion Salud")</f>
        <v>Atencion Salud</v>
      </c>
      <c r="C593" s="11">
        <f>IFERROR(__xludf.DUMMYFUNCTION("""COMPUTED_VALUE"""),1.86688879906471)</f>
        <v>1.866888799</v>
      </c>
    </row>
    <row r="594">
      <c r="A594" s="11">
        <f>IFERROR(__xludf.DUMMYFUNCTION("""COMPUTED_VALUE"""),1998.0)</f>
        <v>1998</v>
      </c>
      <c r="B594" s="11" t="str">
        <f>IFERROR(__xludf.DUMMYFUNCTION("""COMPUTED_VALUE"""),"Ciencia Tecnica")</f>
        <v>Ciencia Tecnica</v>
      </c>
      <c r="C594" s="11">
        <f>IFERROR(__xludf.DUMMYFUNCTION("""COMPUTED_VALUE"""),0.228857782203423)</f>
        <v>0.2288577822</v>
      </c>
    </row>
    <row r="595">
      <c r="A595" s="11">
        <f>IFERROR(__xludf.DUMMYFUNCTION("""COMPUTED_VALUE"""),1998.0)</f>
        <v>1998</v>
      </c>
      <c r="B595" s="11" t="str">
        <f>IFERROR(__xludf.DUMMYFUNCTION("""COMPUTED_VALUE"""),"Comunicaciones")</f>
        <v>Comunicaciones</v>
      </c>
      <c r="C595" s="11">
        <f>IFERROR(__xludf.DUMMYFUNCTION("""COMPUTED_VALUE"""),0.0715880786969944)</f>
        <v>0.0715880787</v>
      </c>
    </row>
    <row r="596">
      <c r="A596" s="11">
        <f>IFERROR(__xludf.DUMMYFUNCTION("""COMPUTED_VALUE"""),1998.0)</f>
        <v>1998</v>
      </c>
      <c r="B596" s="11" t="str">
        <f>IFERROR(__xludf.DUMMYFUNCTION("""COMPUTED_VALUE"""),"Cultura")</f>
        <v>Cultura</v>
      </c>
      <c r="C596" s="11">
        <f>IFERROR(__xludf.DUMMYFUNCTION("""COMPUTED_VALUE"""),0.162568919364366)</f>
        <v>0.1625689194</v>
      </c>
    </row>
    <row r="597">
      <c r="A597" s="11">
        <f>IFERROR(__xludf.DUMMYFUNCTION("""COMPUTED_VALUE"""),1998.0)</f>
        <v>1998</v>
      </c>
      <c r="B597" s="11" t="str">
        <f>IFERROR(__xludf.DUMMYFUNCTION("""COMPUTED_VALUE"""),"Defensa Seguridad")</f>
        <v>Defensa Seguridad</v>
      </c>
      <c r="C597" s="11">
        <f>IFERROR(__xludf.DUMMYFUNCTION("""COMPUTED_VALUE"""),2.19455858875018)</f>
        <v>2.194558589</v>
      </c>
    </row>
    <row r="598">
      <c r="A598" s="11">
        <f>IFERROR(__xludf.DUMMYFUNCTION("""COMPUTED_VALUE"""),1998.0)</f>
        <v>1998</v>
      </c>
      <c r="B598" s="11" t="str">
        <f>IFERROR(__xludf.DUMMYFUNCTION("""COMPUTED_VALUE"""),"Educacion Basica")</f>
        <v>Educacion Basica</v>
      </c>
      <c r="C598" s="11">
        <f>IFERROR(__xludf.DUMMYFUNCTION("""COMPUTED_VALUE"""),2.84455633157499)</f>
        <v>2.844556332</v>
      </c>
    </row>
    <row r="599">
      <c r="A599" s="11">
        <f>IFERROR(__xludf.DUMMYFUNCTION("""COMPUTED_VALUE"""),1998.0)</f>
        <v>1998</v>
      </c>
      <c r="B599" s="11" t="str">
        <f>IFERROR(__xludf.DUMMYFUNCTION("""COMPUTED_VALUE"""),"Educacion Cultura Sin Discriminar")</f>
        <v>Educacion Cultura Sin Discriminar</v>
      </c>
      <c r="C599" s="11">
        <f>IFERROR(__xludf.DUMMYFUNCTION("""COMPUTED_VALUE"""),0.317090972029677)</f>
        <v>0.317090972</v>
      </c>
    </row>
    <row r="600">
      <c r="A600" s="11">
        <f>IFERROR(__xludf.DUMMYFUNCTION("""COMPUTED_VALUE"""),1998.0)</f>
        <v>1998</v>
      </c>
      <c r="B600" s="11" t="str">
        <f>IFERROR(__xludf.DUMMYFUNCTION("""COMPUTED_VALUE"""),"Educacion Universitaria")</f>
        <v>Educacion Universitaria</v>
      </c>
      <c r="C600" s="11">
        <f>IFERROR(__xludf.DUMMYFUNCTION("""COMPUTED_VALUE"""),0.845364376467524)</f>
        <v>0.8453643765</v>
      </c>
    </row>
    <row r="601">
      <c r="A601" s="11">
        <f>IFERROR(__xludf.DUMMYFUNCTION("""COMPUTED_VALUE"""),1998.0)</f>
        <v>1998</v>
      </c>
      <c r="B601" s="11" t="str">
        <f>IFERROR(__xludf.DUMMYFUNCTION("""COMPUTED_VALUE"""),"Energia Combustible")</f>
        <v>Energia Combustible</v>
      </c>
      <c r="C601" s="11">
        <f>IFERROR(__xludf.DUMMYFUNCTION("""COMPUTED_VALUE"""),0.305593350656601)</f>
        <v>0.3055933507</v>
      </c>
    </row>
    <row r="602">
      <c r="A602" s="11">
        <f>IFERROR(__xludf.DUMMYFUNCTION("""COMPUTED_VALUE"""),1998.0)</f>
        <v>1998</v>
      </c>
      <c r="B602" s="11" t="str">
        <f>IFERROR(__xludf.DUMMYFUNCTION("""COMPUTED_VALUE"""),"Funcionamiento Estado")</f>
        <v>Funcionamiento Estado</v>
      </c>
      <c r="C602" s="11">
        <f>IFERROR(__xludf.DUMMYFUNCTION("""COMPUTED_VALUE"""),5.89920205341433)</f>
        <v>5.899202053</v>
      </c>
    </row>
    <row r="603">
      <c r="A603" s="11">
        <f>IFERROR(__xludf.DUMMYFUNCTION("""COMPUTED_VALUE"""),1998.0)</f>
        <v>1998</v>
      </c>
      <c r="B603" s="11" t="str">
        <f>IFERROR(__xludf.DUMMYFUNCTION("""COMPUTED_VALUE"""),"Industria")</f>
        <v>Industria</v>
      </c>
      <c r="C603" s="11">
        <f>IFERROR(__xludf.DUMMYFUNCTION("""COMPUTED_VALUE"""),0.0747444485378058)</f>
        <v>0.07474444854</v>
      </c>
    </row>
    <row r="604">
      <c r="A604" s="11">
        <f>IFERROR(__xludf.DUMMYFUNCTION("""COMPUTED_VALUE"""),1998.0)</f>
        <v>1998</v>
      </c>
      <c r="B604" s="11" t="str">
        <f>IFERROR(__xludf.DUMMYFUNCTION("""COMPUTED_VALUE"""),"Inssjyp Prestaciones")</f>
        <v>Inssjyp Prestaciones</v>
      </c>
      <c r="C604" s="11">
        <f>IFERROR(__xludf.DUMMYFUNCTION("""COMPUTED_VALUE"""),0.119832970343052)</f>
        <v>0.1198329703</v>
      </c>
    </row>
    <row r="605">
      <c r="A605" s="11">
        <f>IFERROR(__xludf.DUMMYFUNCTION("""COMPUTED_VALUE"""),1998.0)</f>
        <v>1998</v>
      </c>
      <c r="B605" s="11" t="str">
        <f>IFERROR(__xludf.DUMMYFUNCTION("""COMPUTED_VALUE"""),"Inssjyp Salud")</f>
        <v>Inssjyp Salud</v>
      </c>
      <c r="C605" s="11">
        <f>IFERROR(__xludf.DUMMYFUNCTION("""COMPUTED_VALUE"""),0.77031101519332)</f>
        <v>0.7703110152</v>
      </c>
    </row>
    <row r="606">
      <c r="A606" s="11">
        <f>IFERROR(__xludf.DUMMYFUNCTION("""COMPUTED_VALUE"""),1998.0)</f>
        <v>1998</v>
      </c>
      <c r="B606" s="11" t="str">
        <f>IFERROR(__xludf.DUMMYFUNCTION("""COMPUTED_VALUE"""),"Justicia")</f>
        <v>Justicia</v>
      </c>
      <c r="C606" s="11">
        <f>IFERROR(__xludf.DUMMYFUNCTION("""COMPUTED_VALUE"""),0.782794704836674)</f>
        <v>0.7827947048</v>
      </c>
    </row>
    <row r="607">
      <c r="A607" s="11">
        <f>IFERROR(__xludf.DUMMYFUNCTION("""COMPUTED_VALUE"""),1998.0)</f>
        <v>1998</v>
      </c>
      <c r="B607" s="11" t="str">
        <f>IFERROR(__xludf.DUMMYFUNCTION("""COMPUTED_VALUE"""),"Obras Sociales Prestaciones")</f>
        <v>Obras Sociales Prestaciones</v>
      </c>
      <c r="C607" s="11">
        <f>IFERROR(__xludf.DUMMYFUNCTION("""COMPUTED_VALUE"""),0.114424892435931)</f>
        <v>0.1144248924</v>
      </c>
    </row>
    <row r="608">
      <c r="A608" s="11">
        <f>IFERROR(__xludf.DUMMYFUNCTION("""COMPUTED_VALUE"""),1998.0)</f>
        <v>1998</v>
      </c>
      <c r="B608" s="11" t="str">
        <f>IFERROR(__xludf.DUMMYFUNCTION("""COMPUTED_VALUE"""),"Obras Sociales Salud")</f>
        <v>Obras Sociales Salud</v>
      </c>
      <c r="C608" s="11">
        <f>IFERROR(__xludf.DUMMYFUNCTION("""COMPUTED_VALUE"""),1.95627672654288)</f>
        <v>1.956276727</v>
      </c>
    </row>
    <row r="609">
      <c r="A609" s="11">
        <f>IFERROR(__xludf.DUMMYFUNCTION("""COMPUTED_VALUE"""),1998.0)</f>
        <v>1998</v>
      </c>
      <c r="B609" s="11" t="str">
        <f>IFERROR(__xludf.DUMMYFUNCTION("""COMPUTED_VALUE"""),"Otros Servicios Economicos")</f>
        <v>Otros Servicios Economicos</v>
      </c>
      <c r="C609" s="11">
        <f>IFERROR(__xludf.DUMMYFUNCTION("""COMPUTED_VALUE"""),0.336743060587335)</f>
        <v>0.3367430606</v>
      </c>
    </row>
    <row r="610">
      <c r="A610" s="11">
        <f>IFERROR(__xludf.DUMMYFUNCTION("""COMPUTED_VALUE"""),1998.0)</f>
        <v>1998</v>
      </c>
      <c r="B610" s="11" t="str">
        <f>IFERROR(__xludf.DUMMYFUNCTION("""COMPUTED_VALUE"""),"Otros Servicios Urbanos")</f>
        <v>Otros Servicios Urbanos</v>
      </c>
      <c r="C610" s="11">
        <f>IFERROR(__xludf.DUMMYFUNCTION("""COMPUTED_VALUE"""),0.862372523629253)</f>
        <v>0.8623725236</v>
      </c>
    </row>
    <row r="611">
      <c r="A611" s="11">
        <f>IFERROR(__xludf.DUMMYFUNCTION("""COMPUTED_VALUE"""),1998.0)</f>
        <v>1998</v>
      </c>
      <c r="B611" s="11" t="str">
        <f>IFERROR(__xludf.DUMMYFUNCTION("""COMPUTED_VALUE"""),"Prevision Social")</f>
        <v>Prevision Social</v>
      </c>
      <c r="C611" s="11">
        <f>IFERROR(__xludf.DUMMYFUNCTION("""COMPUTED_VALUE"""),7.45287674018884)</f>
        <v>7.45287674</v>
      </c>
    </row>
    <row r="612">
      <c r="A612" s="11">
        <f>IFERROR(__xludf.DUMMYFUNCTION("""COMPUTED_VALUE"""),1998.0)</f>
        <v>1998</v>
      </c>
      <c r="B612" s="11" t="str">
        <f>IFERROR(__xludf.DUMMYFUNCTION("""COMPUTED_VALUE"""),"Produccion Primaria")</f>
        <v>Produccion Primaria</v>
      </c>
      <c r="C612" s="11">
        <f>IFERROR(__xludf.DUMMYFUNCTION("""COMPUTED_VALUE"""),0.336296205596558)</f>
        <v>0.3362962056</v>
      </c>
    </row>
    <row r="613">
      <c r="A613" s="11">
        <f>IFERROR(__xludf.DUMMYFUNCTION("""COMPUTED_VALUE"""),1998.0)</f>
        <v>1998</v>
      </c>
      <c r="B613" s="11" t="str">
        <f>IFERROR(__xludf.DUMMYFUNCTION("""COMPUTED_VALUE"""),"Programas Empleo")</f>
        <v>Programas Empleo</v>
      </c>
      <c r="C613" s="11">
        <f>IFERROR(__xludf.DUMMYFUNCTION("""COMPUTED_VALUE"""),0.289838784022886)</f>
        <v>0.289838784</v>
      </c>
    </row>
    <row r="614">
      <c r="A614" s="11">
        <f>IFERROR(__xludf.DUMMYFUNCTION("""COMPUTED_VALUE"""),1998.0)</f>
        <v>1998</v>
      </c>
      <c r="B614" s="11" t="str">
        <f>IFERROR(__xludf.DUMMYFUNCTION("""COMPUTED_VALUE"""),"Promocion Asistencia Social")</f>
        <v>Promocion Asistencia Social</v>
      </c>
      <c r="C614" s="11">
        <f>IFERROR(__xludf.DUMMYFUNCTION("""COMPUTED_VALUE"""),0.883912945495253)</f>
        <v>0.8839129455</v>
      </c>
    </row>
    <row r="615">
      <c r="A615" s="11">
        <f>IFERROR(__xludf.DUMMYFUNCTION("""COMPUTED_VALUE"""),1998.0)</f>
        <v>1998</v>
      </c>
      <c r="B615" s="11" t="str">
        <f>IFERROR(__xludf.DUMMYFUNCTION("""COMPUTED_VALUE"""),"Servicios Deuda Publica")</f>
        <v>Servicios Deuda Publica</v>
      </c>
      <c r="C615" s="11">
        <f>IFERROR(__xludf.DUMMYFUNCTION("""COMPUTED_VALUE"""),2.69228009509898)</f>
        <v>2.692280095</v>
      </c>
    </row>
    <row r="616">
      <c r="A616" s="11">
        <f>IFERROR(__xludf.DUMMYFUNCTION("""COMPUTED_VALUE"""),1998.0)</f>
        <v>1998</v>
      </c>
      <c r="B616" s="11" t="str">
        <f>IFERROR(__xludf.DUMMYFUNCTION("""COMPUTED_VALUE"""),"Servicios Economicos")</f>
        <v>Servicios Economicos</v>
      </c>
      <c r="C616" s="11">
        <f>IFERROR(__xludf.DUMMYFUNCTION("""COMPUTED_VALUE"""),2.23891858547082)</f>
        <v>2.238918585</v>
      </c>
    </row>
    <row r="617">
      <c r="A617" s="11">
        <f>IFERROR(__xludf.DUMMYFUNCTION("""COMPUTED_VALUE"""),1998.0)</f>
        <v>1998</v>
      </c>
      <c r="B617" s="11" t="str">
        <f>IFERROR(__xludf.DUMMYFUNCTION("""COMPUTED_VALUE"""),"Servicios Sociales")</f>
        <v>Servicios Sociales</v>
      </c>
      <c r="C617" s="11">
        <f>IFERROR(__xludf.DUMMYFUNCTION("""COMPUTED_VALUE"""),20.129554203663)</f>
        <v>20.1295542</v>
      </c>
    </row>
    <row r="618">
      <c r="A618" s="11">
        <f>IFERROR(__xludf.DUMMYFUNCTION("""COMPUTED_VALUE"""),1998.0)</f>
        <v>1998</v>
      </c>
      <c r="B618" s="11" t="str">
        <f>IFERROR(__xludf.DUMMYFUNCTION("""COMPUTED_VALUE"""),"Transporte")</f>
        <v>Transporte</v>
      </c>
      <c r="C618" s="11">
        <f>IFERROR(__xludf.DUMMYFUNCTION("""COMPUTED_VALUE"""),1.11395344139552)</f>
        <v>1.113953441</v>
      </c>
    </row>
    <row r="619">
      <c r="A619" s="11">
        <f>IFERROR(__xludf.DUMMYFUNCTION("""COMPUTED_VALUE"""),1998.0)</f>
        <v>1998</v>
      </c>
      <c r="B619" s="11" t="str">
        <f>IFERROR(__xludf.DUMMYFUNCTION("""COMPUTED_VALUE"""),"Vivienda Urbanismo")</f>
        <v>Vivienda Urbanismo</v>
      </c>
      <c r="C619" s="11">
        <f>IFERROR(__xludf.DUMMYFUNCTION("""COMPUTED_VALUE"""),0.600827539286437)</f>
        <v>0.6008275393</v>
      </c>
    </row>
    <row r="620">
      <c r="A620" s="11">
        <f>IFERROR(__xludf.DUMMYFUNCTION("""COMPUTED_VALUE"""),1999.0)</f>
        <v>1999</v>
      </c>
      <c r="B620" s="11" t="str">
        <f>IFERROR(__xludf.DUMMYFUNCTION("""COMPUTED_VALUE"""),"Administracion General")</f>
        <v>Administracion General</v>
      </c>
      <c r="C620" s="11">
        <f>IFERROR(__xludf.DUMMYFUNCTION("""COMPUTED_VALUE"""),3.46232922435443)</f>
        <v>3.462329224</v>
      </c>
    </row>
    <row r="621">
      <c r="A621" s="11">
        <f>IFERROR(__xludf.DUMMYFUNCTION("""COMPUTED_VALUE"""),1999.0)</f>
        <v>1999</v>
      </c>
      <c r="B621" s="11" t="str">
        <f>IFERROR(__xludf.DUMMYFUNCTION("""COMPUTED_VALUE"""),"Agua Alcantarillado")</f>
        <v>Agua Alcantarillado</v>
      </c>
      <c r="C621" s="11">
        <f>IFERROR(__xludf.DUMMYFUNCTION("""COMPUTED_VALUE"""),0.244780101479379)</f>
        <v>0.2447801015</v>
      </c>
    </row>
    <row r="622">
      <c r="A622" s="11">
        <f>IFERROR(__xludf.DUMMYFUNCTION("""COMPUTED_VALUE"""),1999.0)</f>
        <v>1999</v>
      </c>
      <c r="B622" s="11" t="str">
        <f>IFERROR(__xludf.DUMMYFUNCTION("""COMPUTED_VALUE"""),"Asignaciones Familiares")</f>
        <v>Asignaciones Familiares</v>
      </c>
      <c r="C622" s="11">
        <f>IFERROR(__xludf.DUMMYFUNCTION("""COMPUTED_VALUE"""),0.670490102112332)</f>
        <v>0.6704901021</v>
      </c>
    </row>
    <row r="623">
      <c r="A623" s="11">
        <f>IFERROR(__xludf.DUMMYFUNCTION("""COMPUTED_VALUE"""),1999.0)</f>
        <v>1999</v>
      </c>
      <c r="B623" s="11" t="str">
        <f>IFERROR(__xludf.DUMMYFUNCTION("""COMPUTED_VALUE"""),"Atencion Salud")</f>
        <v>Atencion Salud</v>
      </c>
      <c r="C623" s="11">
        <f>IFERROR(__xludf.DUMMYFUNCTION("""COMPUTED_VALUE"""),2.11515621841522)</f>
        <v>2.115156218</v>
      </c>
    </row>
    <row r="624">
      <c r="A624" s="11">
        <f>IFERROR(__xludf.DUMMYFUNCTION("""COMPUTED_VALUE"""),1999.0)</f>
        <v>1999</v>
      </c>
      <c r="B624" s="11" t="str">
        <f>IFERROR(__xludf.DUMMYFUNCTION("""COMPUTED_VALUE"""),"Ciencia Tecnica")</f>
        <v>Ciencia Tecnica</v>
      </c>
      <c r="C624" s="11">
        <f>IFERROR(__xludf.DUMMYFUNCTION("""COMPUTED_VALUE"""),0.223492326923442)</f>
        <v>0.2234923269</v>
      </c>
    </row>
    <row r="625">
      <c r="A625" s="11">
        <f>IFERROR(__xludf.DUMMYFUNCTION("""COMPUTED_VALUE"""),1999.0)</f>
        <v>1999</v>
      </c>
      <c r="B625" s="11" t="str">
        <f>IFERROR(__xludf.DUMMYFUNCTION("""COMPUTED_VALUE"""),"Comunicaciones")</f>
        <v>Comunicaciones</v>
      </c>
      <c r="C625" s="11">
        <f>IFERROR(__xludf.DUMMYFUNCTION("""COMPUTED_VALUE"""),0.0693510948451243)</f>
        <v>0.06935109485</v>
      </c>
    </row>
    <row r="626">
      <c r="A626" s="11">
        <f>IFERROR(__xludf.DUMMYFUNCTION("""COMPUTED_VALUE"""),1999.0)</f>
        <v>1999</v>
      </c>
      <c r="B626" s="11" t="str">
        <f>IFERROR(__xludf.DUMMYFUNCTION("""COMPUTED_VALUE"""),"Cultura")</f>
        <v>Cultura</v>
      </c>
      <c r="C626" s="11">
        <f>IFERROR(__xludf.DUMMYFUNCTION("""COMPUTED_VALUE"""),0.183443425836344)</f>
        <v>0.1834434258</v>
      </c>
    </row>
    <row r="627">
      <c r="A627" s="11">
        <f>IFERROR(__xludf.DUMMYFUNCTION("""COMPUTED_VALUE"""),1999.0)</f>
        <v>1999</v>
      </c>
      <c r="B627" s="11" t="str">
        <f>IFERROR(__xludf.DUMMYFUNCTION("""COMPUTED_VALUE"""),"Defensa Seguridad")</f>
        <v>Defensa Seguridad</v>
      </c>
      <c r="C627" s="11">
        <f>IFERROR(__xludf.DUMMYFUNCTION("""COMPUTED_VALUE"""),2.40580173593606)</f>
        <v>2.405801736</v>
      </c>
    </row>
    <row r="628">
      <c r="A628" s="11">
        <f>IFERROR(__xludf.DUMMYFUNCTION("""COMPUTED_VALUE"""),1999.0)</f>
        <v>1999</v>
      </c>
      <c r="B628" s="11" t="str">
        <f>IFERROR(__xludf.DUMMYFUNCTION("""COMPUTED_VALUE"""),"Educacion Basica")</f>
        <v>Educacion Basica</v>
      </c>
      <c r="C628" s="11">
        <f>IFERROR(__xludf.DUMMYFUNCTION("""COMPUTED_VALUE"""),3.21962048720463)</f>
        <v>3.219620487</v>
      </c>
    </row>
    <row r="629">
      <c r="A629" s="11">
        <f>IFERROR(__xludf.DUMMYFUNCTION("""COMPUTED_VALUE"""),1999.0)</f>
        <v>1999</v>
      </c>
      <c r="B629" s="11" t="str">
        <f>IFERROR(__xludf.DUMMYFUNCTION("""COMPUTED_VALUE"""),"Educacion Cultura Sin Discriminar")</f>
        <v>Educacion Cultura Sin Discriminar</v>
      </c>
      <c r="C629" s="11">
        <f>IFERROR(__xludf.DUMMYFUNCTION("""COMPUTED_VALUE"""),0.393487063953444)</f>
        <v>0.393487064</v>
      </c>
    </row>
    <row r="630">
      <c r="A630" s="11">
        <f>IFERROR(__xludf.DUMMYFUNCTION("""COMPUTED_VALUE"""),1999.0)</f>
        <v>1999</v>
      </c>
      <c r="B630" s="11" t="str">
        <f>IFERROR(__xludf.DUMMYFUNCTION("""COMPUTED_VALUE"""),"Educacion Universitaria")</f>
        <v>Educacion Universitaria</v>
      </c>
      <c r="C630" s="11">
        <f>IFERROR(__xludf.DUMMYFUNCTION("""COMPUTED_VALUE"""),0.917519776266689)</f>
        <v>0.9175197763</v>
      </c>
    </row>
    <row r="631">
      <c r="A631" s="11">
        <f>IFERROR(__xludf.DUMMYFUNCTION("""COMPUTED_VALUE"""),1999.0)</f>
        <v>1999</v>
      </c>
      <c r="B631" s="11" t="str">
        <f>IFERROR(__xludf.DUMMYFUNCTION("""COMPUTED_VALUE"""),"Energia Combustible")</f>
        <v>Energia Combustible</v>
      </c>
      <c r="C631" s="11">
        <f>IFERROR(__xludf.DUMMYFUNCTION("""COMPUTED_VALUE"""),0.248451841295451)</f>
        <v>0.2484518413</v>
      </c>
    </row>
    <row r="632">
      <c r="A632" s="11">
        <f>IFERROR(__xludf.DUMMYFUNCTION("""COMPUTED_VALUE"""),1999.0)</f>
        <v>1999</v>
      </c>
      <c r="B632" s="11" t="str">
        <f>IFERROR(__xludf.DUMMYFUNCTION("""COMPUTED_VALUE"""),"Funcionamiento Estado")</f>
        <v>Funcionamiento Estado</v>
      </c>
      <c r="C632" s="11">
        <f>IFERROR(__xludf.DUMMYFUNCTION("""COMPUTED_VALUE"""),6.7559349390509)</f>
        <v>6.755934939</v>
      </c>
    </row>
    <row r="633">
      <c r="A633" s="11">
        <f>IFERROR(__xludf.DUMMYFUNCTION("""COMPUTED_VALUE"""),1999.0)</f>
        <v>1999</v>
      </c>
      <c r="B633" s="11" t="str">
        <f>IFERROR(__xludf.DUMMYFUNCTION("""COMPUTED_VALUE"""),"Industria")</f>
        <v>Industria</v>
      </c>
      <c r="C633" s="11">
        <f>IFERROR(__xludf.DUMMYFUNCTION("""COMPUTED_VALUE"""),0.0712405673245192)</f>
        <v>0.07124056732</v>
      </c>
    </row>
    <row r="634">
      <c r="A634" s="11">
        <f>IFERROR(__xludf.DUMMYFUNCTION("""COMPUTED_VALUE"""),1999.0)</f>
        <v>1999</v>
      </c>
      <c r="B634" s="11" t="str">
        <f>IFERROR(__xludf.DUMMYFUNCTION("""COMPUTED_VALUE"""),"Inssjyp Prestaciones")</f>
        <v>Inssjyp Prestaciones</v>
      </c>
      <c r="C634" s="11">
        <f>IFERROR(__xludf.DUMMYFUNCTION("""COMPUTED_VALUE"""),0.122913362056909)</f>
        <v>0.1229133621</v>
      </c>
    </row>
    <row r="635">
      <c r="A635" s="11">
        <f>IFERROR(__xludf.DUMMYFUNCTION("""COMPUTED_VALUE"""),1999.0)</f>
        <v>1999</v>
      </c>
      <c r="B635" s="11" t="str">
        <f>IFERROR(__xludf.DUMMYFUNCTION("""COMPUTED_VALUE"""),"Inssjyp Salud")</f>
        <v>Inssjyp Salud</v>
      </c>
      <c r="C635" s="11">
        <f>IFERROR(__xludf.DUMMYFUNCTION("""COMPUTED_VALUE"""),0.857904397413497)</f>
        <v>0.8579043974</v>
      </c>
    </row>
    <row r="636">
      <c r="A636" s="11">
        <f>IFERROR(__xludf.DUMMYFUNCTION("""COMPUTED_VALUE"""),1999.0)</f>
        <v>1999</v>
      </c>
      <c r="B636" s="11" t="str">
        <f>IFERROR(__xludf.DUMMYFUNCTION("""COMPUTED_VALUE"""),"Justicia")</f>
        <v>Justicia</v>
      </c>
      <c r="C636" s="11">
        <f>IFERROR(__xludf.DUMMYFUNCTION("""COMPUTED_VALUE"""),0.887803978760407)</f>
        <v>0.8878039788</v>
      </c>
    </row>
    <row r="637">
      <c r="A637" s="11">
        <f>IFERROR(__xludf.DUMMYFUNCTION("""COMPUTED_VALUE"""),1999.0)</f>
        <v>1999</v>
      </c>
      <c r="B637" s="11" t="str">
        <f>IFERROR(__xludf.DUMMYFUNCTION("""COMPUTED_VALUE"""),"Obras Sociales Prestaciones")</f>
        <v>Obras Sociales Prestaciones</v>
      </c>
      <c r="C637" s="11">
        <f>IFERROR(__xludf.DUMMYFUNCTION("""COMPUTED_VALUE"""),0.113572987160652)</f>
        <v>0.1135729872</v>
      </c>
    </row>
    <row r="638">
      <c r="A638" s="11">
        <f>IFERROR(__xludf.DUMMYFUNCTION("""COMPUTED_VALUE"""),1999.0)</f>
        <v>1999</v>
      </c>
      <c r="B638" s="11" t="str">
        <f>IFERROR(__xludf.DUMMYFUNCTION("""COMPUTED_VALUE"""),"Obras Sociales Salud")</f>
        <v>Obras Sociales Salud</v>
      </c>
      <c r="C638" s="11">
        <f>IFERROR(__xludf.DUMMYFUNCTION("""COMPUTED_VALUE"""),2.14733136427789)</f>
        <v>2.147331364</v>
      </c>
    </row>
    <row r="639">
      <c r="A639" s="11">
        <f>IFERROR(__xludf.DUMMYFUNCTION("""COMPUTED_VALUE"""),1999.0)</f>
        <v>1999</v>
      </c>
      <c r="B639" s="11" t="str">
        <f>IFERROR(__xludf.DUMMYFUNCTION("""COMPUTED_VALUE"""),"Otros Servicios Economicos")</f>
        <v>Otros Servicios Economicos</v>
      </c>
      <c r="C639" s="11">
        <f>IFERROR(__xludf.DUMMYFUNCTION("""COMPUTED_VALUE"""),0.229981196611447)</f>
        <v>0.2299811966</v>
      </c>
    </row>
    <row r="640">
      <c r="A640" s="11">
        <f>IFERROR(__xludf.DUMMYFUNCTION("""COMPUTED_VALUE"""),1999.0)</f>
        <v>1999</v>
      </c>
      <c r="B640" s="11" t="str">
        <f>IFERROR(__xludf.DUMMYFUNCTION("""COMPUTED_VALUE"""),"Otros Servicios Urbanos")</f>
        <v>Otros Servicios Urbanos</v>
      </c>
      <c r="C640" s="11">
        <f>IFERROR(__xludf.DUMMYFUNCTION("""COMPUTED_VALUE"""),0.9167270035877)</f>
        <v>0.9167270036</v>
      </c>
    </row>
    <row r="641">
      <c r="A641" s="11">
        <f>IFERROR(__xludf.DUMMYFUNCTION("""COMPUTED_VALUE"""),1999.0)</f>
        <v>1999</v>
      </c>
      <c r="B641" s="11" t="str">
        <f>IFERROR(__xludf.DUMMYFUNCTION("""COMPUTED_VALUE"""),"Prevision Social")</f>
        <v>Prevision Social</v>
      </c>
      <c r="C641" s="11">
        <f>IFERROR(__xludf.DUMMYFUNCTION("""COMPUTED_VALUE"""),7.89575508986267)</f>
        <v>7.89575509</v>
      </c>
    </row>
    <row r="642">
      <c r="A642" s="11">
        <f>IFERROR(__xludf.DUMMYFUNCTION("""COMPUTED_VALUE"""),1999.0)</f>
        <v>1999</v>
      </c>
      <c r="B642" s="11" t="str">
        <f>IFERROR(__xludf.DUMMYFUNCTION("""COMPUTED_VALUE"""),"Produccion Primaria")</f>
        <v>Produccion Primaria</v>
      </c>
      <c r="C642" s="11">
        <f>IFERROR(__xludf.DUMMYFUNCTION("""COMPUTED_VALUE"""),0.406291937927364)</f>
        <v>0.4062919379</v>
      </c>
    </row>
    <row r="643">
      <c r="A643" s="11">
        <f>IFERROR(__xludf.DUMMYFUNCTION("""COMPUTED_VALUE"""),1999.0)</f>
        <v>1999</v>
      </c>
      <c r="B643" s="11" t="str">
        <f>IFERROR(__xludf.DUMMYFUNCTION("""COMPUTED_VALUE"""),"Programas Empleo")</f>
        <v>Programas Empleo</v>
      </c>
      <c r="C643" s="11">
        <f>IFERROR(__xludf.DUMMYFUNCTION("""COMPUTED_VALUE"""),0.300993611721668)</f>
        <v>0.3009936117</v>
      </c>
    </row>
    <row r="644">
      <c r="A644" s="11">
        <f>IFERROR(__xludf.DUMMYFUNCTION("""COMPUTED_VALUE"""),1999.0)</f>
        <v>1999</v>
      </c>
      <c r="B644" s="11" t="str">
        <f>IFERROR(__xludf.DUMMYFUNCTION("""COMPUTED_VALUE"""),"Promocion Asistencia Social")</f>
        <v>Promocion Asistencia Social</v>
      </c>
      <c r="C644" s="11">
        <f>IFERROR(__xludf.DUMMYFUNCTION("""COMPUTED_VALUE"""),0.937899288562832)</f>
        <v>0.9378992886</v>
      </c>
    </row>
    <row r="645">
      <c r="A645" s="11">
        <f>IFERROR(__xludf.DUMMYFUNCTION("""COMPUTED_VALUE"""),1999.0)</f>
        <v>1999</v>
      </c>
      <c r="B645" s="11" t="str">
        <f>IFERROR(__xludf.DUMMYFUNCTION("""COMPUTED_VALUE"""),"Servicios Deuda Publica")</f>
        <v>Servicios Deuda Publica</v>
      </c>
      <c r="C645" s="11">
        <f>IFERROR(__xludf.DUMMYFUNCTION("""COMPUTED_VALUE"""),3.56452629186287)</f>
        <v>3.564526292</v>
      </c>
    </row>
    <row r="646">
      <c r="A646" s="11">
        <f>IFERROR(__xludf.DUMMYFUNCTION("""COMPUTED_VALUE"""),1999.0)</f>
        <v>1999</v>
      </c>
      <c r="B646" s="11" t="str">
        <f>IFERROR(__xludf.DUMMYFUNCTION("""COMPUTED_VALUE"""),"Servicios Economicos")</f>
        <v>Servicios Economicos</v>
      </c>
      <c r="C646" s="11">
        <f>IFERROR(__xludf.DUMMYFUNCTION("""COMPUTED_VALUE"""),2.08696284497176)</f>
        <v>2.086962845</v>
      </c>
    </row>
    <row r="647">
      <c r="A647" s="11">
        <f>IFERROR(__xludf.DUMMYFUNCTION("""COMPUTED_VALUE"""),1999.0)</f>
        <v>1999</v>
      </c>
      <c r="B647" s="11" t="str">
        <f>IFERROR(__xludf.DUMMYFUNCTION("""COMPUTED_VALUE"""),"Servicios Sociales")</f>
        <v>Servicios Sociales</v>
      </c>
      <c r="C647" s="11">
        <f>IFERROR(__xludf.DUMMYFUNCTION("""COMPUTED_VALUE"""),21.8252654889323)</f>
        <v>21.82526549</v>
      </c>
    </row>
    <row r="648">
      <c r="A648" s="11">
        <f>IFERROR(__xludf.DUMMYFUNCTION("""COMPUTED_VALUE"""),1999.0)</f>
        <v>1999</v>
      </c>
      <c r="B648" s="11" t="str">
        <f>IFERROR(__xludf.DUMMYFUNCTION("""COMPUTED_VALUE"""),"Transporte")</f>
        <v>Transporte</v>
      </c>
      <c r="C648" s="11">
        <f>IFERROR(__xludf.DUMMYFUNCTION("""COMPUTED_VALUE"""),1.06164620696785)</f>
        <v>1.061646207</v>
      </c>
    </row>
    <row r="649">
      <c r="A649" s="11">
        <f>IFERROR(__xludf.DUMMYFUNCTION("""COMPUTED_VALUE"""),1999.0)</f>
        <v>1999</v>
      </c>
      <c r="B649" s="11" t="str">
        <f>IFERROR(__xludf.DUMMYFUNCTION("""COMPUTED_VALUE"""),"Vivienda Urbanismo")</f>
        <v>Vivienda Urbanismo</v>
      </c>
      <c r="C649" s="11">
        <f>IFERROR(__xludf.DUMMYFUNCTION("""COMPUTED_VALUE"""),0.564178882096993)</f>
        <v>0.5641788821</v>
      </c>
    </row>
    <row r="650">
      <c r="A650" s="11">
        <f>IFERROR(__xludf.DUMMYFUNCTION("""COMPUTED_VALUE"""),2000.0)</f>
        <v>2000</v>
      </c>
      <c r="B650" s="11" t="str">
        <f>IFERROR(__xludf.DUMMYFUNCTION("""COMPUTED_VALUE"""),"Administracion General")</f>
        <v>Administracion General</v>
      </c>
      <c r="C650" s="11">
        <f>IFERROR(__xludf.DUMMYFUNCTION("""COMPUTED_VALUE"""),2.80405565942438)</f>
        <v>2.804055659</v>
      </c>
    </row>
    <row r="651">
      <c r="A651" s="11">
        <f>IFERROR(__xludf.DUMMYFUNCTION("""COMPUTED_VALUE"""),2000.0)</f>
        <v>2000</v>
      </c>
      <c r="B651" s="11" t="str">
        <f>IFERROR(__xludf.DUMMYFUNCTION("""COMPUTED_VALUE"""),"Agua Alcantarillado")</f>
        <v>Agua Alcantarillado</v>
      </c>
      <c r="C651" s="11">
        <f>IFERROR(__xludf.DUMMYFUNCTION("""COMPUTED_VALUE"""),0.209695060183779)</f>
        <v>0.2096950602</v>
      </c>
    </row>
    <row r="652">
      <c r="A652" s="11">
        <f>IFERROR(__xludf.DUMMYFUNCTION("""COMPUTED_VALUE"""),2000.0)</f>
        <v>2000</v>
      </c>
      <c r="B652" s="11" t="str">
        <f>IFERROR(__xludf.DUMMYFUNCTION("""COMPUTED_VALUE"""),"Asignaciones Familiares")</f>
        <v>Asignaciones Familiares</v>
      </c>
      <c r="C652" s="11">
        <f>IFERROR(__xludf.DUMMYFUNCTION("""COMPUTED_VALUE"""),0.659226469851448)</f>
        <v>0.6592264699</v>
      </c>
    </row>
    <row r="653">
      <c r="A653" s="11">
        <f>IFERROR(__xludf.DUMMYFUNCTION("""COMPUTED_VALUE"""),2000.0)</f>
        <v>2000</v>
      </c>
      <c r="B653" s="11" t="str">
        <f>IFERROR(__xludf.DUMMYFUNCTION("""COMPUTED_VALUE"""),"Atencion Salud")</f>
        <v>Atencion Salud</v>
      </c>
      <c r="C653" s="11">
        <f>IFERROR(__xludf.DUMMYFUNCTION("""COMPUTED_VALUE"""),2.16194045812263)</f>
        <v>2.161940458</v>
      </c>
    </row>
    <row r="654">
      <c r="A654" s="11">
        <f>IFERROR(__xludf.DUMMYFUNCTION("""COMPUTED_VALUE"""),2000.0)</f>
        <v>2000</v>
      </c>
      <c r="B654" s="11" t="str">
        <f>IFERROR(__xludf.DUMMYFUNCTION("""COMPUTED_VALUE"""),"Ciencia Tecnica")</f>
        <v>Ciencia Tecnica</v>
      </c>
      <c r="C654" s="11">
        <f>IFERROR(__xludf.DUMMYFUNCTION("""COMPUTED_VALUE"""),0.204782772906078)</f>
        <v>0.2047827729</v>
      </c>
    </row>
    <row r="655">
      <c r="A655" s="11">
        <f>IFERROR(__xludf.DUMMYFUNCTION("""COMPUTED_VALUE"""),2000.0)</f>
        <v>2000</v>
      </c>
      <c r="B655" s="11" t="str">
        <f>IFERROR(__xludf.DUMMYFUNCTION("""COMPUTED_VALUE"""),"Comunicaciones")</f>
        <v>Comunicaciones</v>
      </c>
      <c r="C655" s="11">
        <f>IFERROR(__xludf.DUMMYFUNCTION("""COMPUTED_VALUE"""),0.0477047155812722)</f>
        <v>0.04770471558</v>
      </c>
    </row>
    <row r="656">
      <c r="A656" s="11">
        <f>IFERROR(__xludf.DUMMYFUNCTION("""COMPUTED_VALUE"""),2000.0)</f>
        <v>2000</v>
      </c>
      <c r="B656" s="11" t="str">
        <f>IFERROR(__xludf.DUMMYFUNCTION("""COMPUTED_VALUE"""),"Cultura")</f>
        <v>Cultura</v>
      </c>
      <c r="C656" s="11">
        <f>IFERROR(__xludf.DUMMYFUNCTION("""COMPUTED_VALUE"""),0.202387318213592)</f>
        <v>0.2023873182</v>
      </c>
    </row>
    <row r="657">
      <c r="A657" s="11">
        <f>IFERROR(__xludf.DUMMYFUNCTION("""COMPUTED_VALUE"""),2000.0)</f>
        <v>2000</v>
      </c>
      <c r="B657" s="11" t="str">
        <f>IFERROR(__xludf.DUMMYFUNCTION("""COMPUTED_VALUE"""),"Defensa Seguridad")</f>
        <v>Defensa Seguridad</v>
      </c>
      <c r="C657" s="11">
        <f>IFERROR(__xludf.DUMMYFUNCTION("""COMPUTED_VALUE"""),2.36366298158445)</f>
        <v>2.363662982</v>
      </c>
    </row>
    <row r="658">
      <c r="A658" s="11">
        <f>IFERROR(__xludf.DUMMYFUNCTION("""COMPUTED_VALUE"""),2000.0)</f>
        <v>2000</v>
      </c>
      <c r="B658" s="11" t="str">
        <f>IFERROR(__xludf.DUMMYFUNCTION("""COMPUTED_VALUE"""),"Educacion Basica")</f>
        <v>Educacion Basica</v>
      </c>
      <c r="C658" s="11">
        <f>IFERROR(__xludf.DUMMYFUNCTION("""COMPUTED_VALUE"""),3.30969737574951)</f>
        <v>3.309697376</v>
      </c>
    </row>
    <row r="659">
      <c r="A659" s="11">
        <f>IFERROR(__xludf.DUMMYFUNCTION("""COMPUTED_VALUE"""),2000.0)</f>
        <v>2000</v>
      </c>
      <c r="B659" s="11" t="str">
        <f>IFERROR(__xludf.DUMMYFUNCTION("""COMPUTED_VALUE"""),"Educacion Cultura Sin Discriminar")</f>
        <v>Educacion Cultura Sin Discriminar</v>
      </c>
      <c r="C659" s="11">
        <f>IFERROR(__xludf.DUMMYFUNCTION("""COMPUTED_VALUE"""),0.380420010591321)</f>
        <v>0.3804200106</v>
      </c>
    </row>
    <row r="660">
      <c r="A660" s="11">
        <f>IFERROR(__xludf.DUMMYFUNCTION("""COMPUTED_VALUE"""),2000.0)</f>
        <v>2000</v>
      </c>
      <c r="B660" s="11" t="str">
        <f>IFERROR(__xludf.DUMMYFUNCTION("""COMPUTED_VALUE"""),"Educacion Universitaria")</f>
        <v>Educacion Universitaria</v>
      </c>
      <c r="C660" s="11">
        <f>IFERROR(__xludf.DUMMYFUNCTION("""COMPUTED_VALUE"""),0.924082889798268)</f>
        <v>0.9240828898</v>
      </c>
    </row>
    <row r="661">
      <c r="A661" s="11">
        <f>IFERROR(__xludf.DUMMYFUNCTION("""COMPUTED_VALUE"""),2000.0)</f>
        <v>2000</v>
      </c>
      <c r="B661" s="11" t="str">
        <f>IFERROR(__xludf.DUMMYFUNCTION("""COMPUTED_VALUE"""),"Energia Combustible")</f>
        <v>Energia Combustible</v>
      </c>
      <c r="C661" s="11">
        <f>IFERROR(__xludf.DUMMYFUNCTION("""COMPUTED_VALUE"""),0.262242765398608)</f>
        <v>0.2622427654</v>
      </c>
    </row>
    <row r="662">
      <c r="A662" s="11">
        <f>IFERROR(__xludf.DUMMYFUNCTION("""COMPUTED_VALUE"""),2000.0)</f>
        <v>2000</v>
      </c>
      <c r="B662" s="11" t="str">
        <f>IFERROR(__xludf.DUMMYFUNCTION("""COMPUTED_VALUE"""),"Funcionamiento Estado")</f>
        <v>Funcionamiento Estado</v>
      </c>
      <c r="C662" s="11">
        <f>IFERROR(__xludf.DUMMYFUNCTION("""COMPUTED_VALUE"""),6.08127448750743)</f>
        <v>6.081274488</v>
      </c>
    </row>
    <row r="663">
      <c r="A663" s="11">
        <f>IFERROR(__xludf.DUMMYFUNCTION("""COMPUTED_VALUE"""),2000.0)</f>
        <v>2000</v>
      </c>
      <c r="B663" s="11" t="str">
        <f>IFERROR(__xludf.DUMMYFUNCTION("""COMPUTED_VALUE"""),"Industria")</f>
        <v>Industria</v>
      </c>
      <c r="C663" s="11">
        <f>IFERROR(__xludf.DUMMYFUNCTION("""COMPUTED_VALUE"""),0.0630347329702806)</f>
        <v>0.06303473297</v>
      </c>
    </row>
    <row r="664">
      <c r="A664" s="11">
        <f>IFERROR(__xludf.DUMMYFUNCTION("""COMPUTED_VALUE"""),2000.0)</f>
        <v>2000</v>
      </c>
      <c r="B664" s="11" t="str">
        <f>IFERROR(__xludf.DUMMYFUNCTION("""COMPUTED_VALUE"""),"Inssjyp Prestaciones")</f>
        <v>Inssjyp Prestaciones</v>
      </c>
      <c r="C664" s="11">
        <f>IFERROR(__xludf.DUMMYFUNCTION("""COMPUTED_VALUE"""),0.11664781395248)</f>
        <v>0.116647814</v>
      </c>
    </row>
    <row r="665">
      <c r="A665" s="11">
        <f>IFERROR(__xludf.DUMMYFUNCTION("""COMPUTED_VALUE"""),2000.0)</f>
        <v>2000</v>
      </c>
      <c r="B665" s="11" t="str">
        <f>IFERROR(__xludf.DUMMYFUNCTION("""COMPUTED_VALUE"""),"Inssjyp Salud")</f>
        <v>Inssjyp Salud</v>
      </c>
      <c r="C665" s="11">
        <f>IFERROR(__xludf.DUMMYFUNCTION("""COMPUTED_VALUE"""),0.785447987525279)</f>
        <v>0.7854479875</v>
      </c>
    </row>
    <row r="666">
      <c r="A666" s="11">
        <f>IFERROR(__xludf.DUMMYFUNCTION("""COMPUTED_VALUE"""),2000.0)</f>
        <v>2000</v>
      </c>
      <c r="B666" s="11" t="str">
        <f>IFERROR(__xludf.DUMMYFUNCTION("""COMPUTED_VALUE"""),"Justicia")</f>
        <v>Justicia</v>
      </c>
      <c r="C666" s="11">
        <f>IFERROR(__xludf.DUMMYFUNCTION("""COMPUTED_VALUE"""),0.913555846498597)</f>
        <v>0.9135558465</v>
      </c>
    </row>
    <row r="667">
      <c r="A667" s="11">
        <f>IFERROR(__xludf.DUMMYFUNCTION("""COMPUTED_VALUE"""),2000.0)</f>
        <v>2000</v>
      </c>
      <c r="B667" s="11" t="str">
        <f>IFERROR(__xludf.DUMMYFUNCTION("""COMPUTED_VALUE"""),"Obras Sociales Prestaciones")</f>
        <v>Obras Sociales Prestaciones</v>
      </c>
      <c r="C667" s="11">
        <f>IFERROR(__xludf.DUMMYFUNCTION("""COMPUTED_VALUE"""),0.111232830904875)</f>
        <v>0.1112328309</v>
      </c>
    </row>
    <row r="668">
      <c r="A668" s="11">
        <f>IFERROR(__xludf.DUMMYFUNCTION("""COMPUTED_VALUE"""),2000.0)</f>
        <v>2000</v>
      </c>
      <c r="B668" s="11" t="str">
        <f>IFERROR(__xludf.DUMMYFUNCTION("""COMPUTED_VALUE"""),"Obras Sociales Salud")</f>
        <v>Obras Sociales Salud</v>
      </c>
      <c r="C668" s="11">
        <f>IFERROR(__xludf.DUMMYFUNCTION("""COMPUTED_VALUE"""),2.14153274662115)</f>
        <v>2.141532747</v>
      </c>
    </row>
    <row r="669">
      <c r="A669" s="11">
        <f>IFERROR(__xludf.DUMMYFUNCTION("""COMPUTED_VALUE"""),2000.0)</f>
        <v>2000</v>
      </c>
      <c r="B669" s="11" t="str">
        <f>IFERROR(__xludf.DUMMYFUNCTION("""COMPUTED_VALUE"""),"Otros Servicios Economicos")</f>
        <v>Otros Servicios Economicos</v>
      </c>
      <c r="C669" s="11">
        <f>IFERROR(__xludf.DUMMYFUNCTION("""COMPUTED_VALUE"""),0.190023025648454)</f>
        <v>0.1900230256</v>
      </c>
    </row>
    <row r="670">
      <c r="A670" s="11">
        <f>IFERROR(__xludf.DUMMYFUNCTION("""COMPUTED_VALUE"""),2000.0)</f>
        <v>2000</v>
      </c>
      <c r="B670" s="11" t="str">
        <f>IFERROR(__xludf.DUMMYFUNCTION("""COMPUTED_VALUE"""),"Otros Servicios Urbanos")</f>
        <v>Otros Servicios Urbanos</v>
      </c>
      <c r="C670" s="11">
        <f>IFERROR(__xludf.DUMMYFUNCTION("""COMPUTED_VALUE"""),0.804333266329761)</f>
        <v>0.8043332663</v>
      </c>
    </row>
    <row r="671">
      <c r="A671" s="11">
        <f>IFERROR(__xludf.DUMMYFUNCTION("""COMPUTED_VALUE"""),2000.0)</f>
        <v>2000</v>
      </c>
      <c r="B671" s="11" t="str">
        <f>IFERROR(__xludf.DUMMYFUNCTION("""COMPUTED_VALUE"""),"Prevision Social")</f>
        <v>Prevision Social</v>
      </c>
      <c r="C671" s="11">
        <f>IFERROR(__xludf.DUMMYFUNCTION("""COMPUTED_VALUE"""),7.94913233213157)</f>
        <v>7.949132332</v>
      </c>
    </row>
    <row r="672">
      <c r="A672" s="11">
        <f>IFERROR(__xludf.DUMMYFUNCTION("""COMPUTED_VALUE"""),2000.0)</f>
        <v>2000</v>
      </c>
      <c r="B672" s="11" t="str">
        <f>IFERROR(__xludf.DUMMYFUNCTION("""COMPUTED_VALUE"""),"Produccion Primaria")</f>
        <v>Produccion Primaria</v>
      </c>
      <c r="C672" s="11">
        <f>IFERROR(__xludf.DUMMYFUNCTION("""COMPUTED_VALUE"""),0.363078385030749)</f>
        <v>0.363078385</v>
      </c>
    </row>
    <row r="673">
      <c r="A673" s="11">
        <f>IFERROR(__xludf.DUMMYFUNCTION("""COMPUTED_VALUE"""),2000.0)</f>
        <v>2000</v>
      </c>
      <c r="B673" s="11" t="str">
        <f>IFERROR(__xludf.DUMMYFUNCTION("""COMPUTED_VALUE"""),"Programas Empleo")</f>
        <v>Programas Empleo</v>
      </c>
      <c r="C673" s="11">
        <f>IFERROR(__xludf.DUMMYFUNCTION("""COMPUTED_VALUE"""),0.298483793867464)</f>
        <v>0.2984837939</v>
      </c>
    </row>
    <row r="674">
      <c r="A674" s="11">
        <f>IFERROR(__xludf.DUMMYFUNCTION("""COMPUTED_VALUE"""),2000.0)</f>
        <v>2000</v>
      </c>
      <c r="B674" s="11" t="str">
        <f>IFERROR(__xludf.DUMMYFUNCTION("""COMPUTED_VALUE"""),"Promocion Asistencia Social")</f>
        <v>Promocion Asistencia Social</v>
      </c>
      <c r="C674" s="11">
        <f>IFERROR(__xludf.DUMMYFUNCTION("""COMPUTED_VALUE"""),0.890167838342959)</f>
        <v>0.8901678383</v>
      </c>
    </row>
    <row r="675">
      <c r="A675" s="11">
        <f>IFERROR(__xludf.DUMMYFUNCTION("""COMPUTED_VALUE"""),2000.0)</f>
        <v>2000</v>
      </c>
      <c r="B675" s="11" t="str">
        <f>IFERROR(__xludf.DUMMYFUNCTION("""COMPUTED_VALUE"""),"Servicios Deuda Publica")</f>
        <v>Servicios Deuda Publica</v>
      </c>
      <c r="C675" s="11">
        <f>IFERROR(__xludf.DUMMYFUNCTION("""COMPUTED_VALUE"""),4.26534761160213)</f>
        <v>4.265347612</v>
      </c>
    </row>
    <row r="676">
      <c r="A676" s="11">
        <f>IFERROR(__xludf.DUMMYFUNCTION("""COMPUTED_VALUE"""),2000.0)</f>
        <v>2000</v>
      </c>
      <c r="B676" s="11" t="str">
        <f>IFERROR(__xludf.DUMMYFUNCTION("""COMPUTED_VALUE"""),"Servicios Economicos")</f>
        <v>Servicios Economicos</v>
      </c>
      <c r="C676" s="11">
        <f>IFERROR(__xludf.DUMMYFUNCTION("""COMPUTED_VALUE"""),1.73158065019561)</f>
        <v>1.73158065</v>
      </c>
    </row>
    <row r="677">
      <c r="A677" s="11">
        <f>IFERROR(__xludf.DUMMYFUNCTION("""COMPUTED_VALUE"""),2000.0)</f>
        <v>2000</v>
      </c>
      <c r="B677" s="11" t="str">
        <f>IFERROR(__xludf.DUMMYFUNCTION("""COMPUTED_VALUE"""),"Servicios Sociales")</f>
        <v>Servicios Sociales</v>
      </c>
      <c r="C677" s="11">
        <f>IFERROR(__xludf.DUMMYFUNCTION("""COMPUTED_VALUE"""),21.7509208985982)</f>
        <v>21.7509209</v>
      </c>
    </row>
    <row r="678">
      <c r="A678" s="11">
        <f>IFERROR(__xludf.DUMMYFUNCTION("""COMPUTED_VALUE"""),2000.0)</f>
        <v>2000</v>
      </c>
      <c r="B678" s="11" t="str">
        <f>IFERROR(__xludf.DUMMYFUNCTION("""COMPUTED_VALUE"""),"Transporte")</f>
        <v>Transporte</v>
      </c>
      <c r="C678" s="11">
        <f>IFERROR(__xludf.DUMMYFUNCTION("""COMPUTED_VALUE"""),0.805497025566246)</f>
        <v>0.8054970256</v>
      </c>
    </row>
    <row r="679">
      <c r="A679" s="11">
        <f>IFERROR(__xludf.DUMMYFUNCTION("""COMPUTED_VALUE"""),2000.0)</f>
        <v>2000</v>
      </c>
      <c r="B679" s="11" t="str">
        <f>IFERROR(__xludf.DUMMYFUNCTION("""COMPUTED_VALUE"""),"Vivienda Urbanismo")</f>
        <v>Vivienda Urbanismo</v>
      </c>
      <c r="C679" s="11">
        <f>IFERROR(__xludf.DUMMYFUNCTION("""COMPUTED_VALUE"""),0.601709933506054)</f>
        <v>0.6017099335</v>
      </c>
    </row>
    <row r="680">
      <c r="A680" s="11">
        <f>IFERROR(__xludf.DUMMYFUNCTION("""COMPUTED_VALUE"""),2001.0)</f>
        <v>2001</v>
      </c>
      <c r="B680" s="11" t="str">
        <f>IFERROR(__xludf.DUMMYFUNCTION("""COMPUTED_VALUE"""),"Administracion General")</f>
        <v>Administracion General</v>
      </c>
      <c r="C680" s="11">
        <f>IFERROR(__xludf.DUMMYFUNCTION("""COMPUTED_VALUE"""),2.74178709319381)</f>
        <v>2.741787093</v>
      </c>
    </row>
    <row r="681">
      <c r="A681" s="11">
        <f>IFERROR(__xludf.DUMMYFUNCTION("""COMPUTED_VALUE"""),2001.0)</f>
        <v>2001</v>
      </c>
      <c r="B681" s="11" t="str">
        <f>IFERROR(__xludf.DUMMYFUNCTION("""COMPUTED_VALUE"""),"Agua Alcantarillado")</f>
        <v>Agua Alcantarillado</v>
      </c>
      <c r="C681" s="11">
        <f>IFERROR(__xludf.DUMMYFUNCTION("""COMPUTED_VALUE"""),0.204928568839537)</f>
        <v>0.2049285688</v>
      </c>
    </row>
    <row r="682">
      <c r="A682" s="11">
        <f>IFERROR(__xludf.DUMMYFUNCTION("""COMPUTED_VALUE"""),2001.0)</f>
        <v>2001</v>
      </c>
      <c r="B682" s="11" t="str">
        <f>IFERROR(__xludf.DUMMYFUNCTION("""COMPUTED_VALUE"""),"Asignaciones Familiares")</f>
        <v>Asignaciones Familiares</v>
      </c>
      <c r="C682" s="11">
        <f>IFERROR(__xludf.DUMMYFUNCTION("""COMPUTED_VALUE"""),0.674632638875778)</f>
        <v>0.6746326389</v>
      </c>
    </row>
    <row r="683">
      <c r="A683" s="11">
        <f>IFERROR(__xludf.DUMMYFUNCTION("""COMPUTED_VALUE"""),2001.0)</f>
        <v>2001</v>
      </c>
      <c r="B683" s="11" t="str">
        <f>IFERROR(__xludf.DUMMYFUNCTION("""COMPUTED_VALUE"""),"Atencion Salud")</f>
        <v>Atencion Salud</v>
      </c>
      <c r="C683" s="11">
        <f>IFERROR(__xludf.DUMMYFUNCTION("""COMPUTED_VALUE"""),2.13769259116602)</f>
        <v>2.137692591</v>
      </c>
    </row>
    <row r="684">
      <c r="A684" s="11">
        <f>IFERROR(__xludf.DUMMYFUNCTION("""COMPUTED_VALUE"""),2001.0)</f>
        <v>2001</v>
      </c>
      <c r="B684" s="11" t="str">
        <f>IFERROR(__xludf.DUMMYFUNCTION("""COMPUTED_VALUE"""),"Ciencia Tecnica")</f>
        <v>Ciencia Tecnica</v>
      </c>
      <c r="C684" s="11">
        <f>IFERROR(__xludf.DUMMYFUNCTION("""COMPUTED_VALUE"""),0.190361071670332)</f>
        <v>0.1903610717</v>
      </c>
    </row>
    <row r="685">
      <c r="A685" s="11">
        <f>IFERROR(__xludf.DUMMYFUNCTION("""COMPUTED_VALUE"""),2001.0)</f>
        <v>2001</v>
      </c>
      <c r="B685" s="11" t="str">
        <f>IFERROR(__xludf.DUMMYFUNCTION("""COMPUTED_VALUE"""),"Comunicaciones")</f>
        <v>Comunicaciones</v>
      </c>
      <c r="C685" s="11">
        <f>IFERROR(__xludf.DUMMYFUNCTION("""COMPUTED_VALUE"""),0.0764241118106132)</f>
        <v>0.07642411181</v>
      </c>
    </row>
    <row r="686">
      <c r="A686" s="11">
        <f>IFERROR(__xludf.DUMMYFUNCTION("""COMPUTED_VALUE"""),2001.0)</f>
        <v>2001</v>
      </c>
      <c r="B686" s="11" t="str">
        <f>IFERROR(__xludf.DUMMYFUNCTION("""COMPUTED_VALUE"""),"Cultura")</f>
        <v>Cultura</v>
      </c>
      <c r="C686" s="11">
        <f>IFERROR(__xludf.DUMMYFUNCTION("""COMPUTED_VALUE"""),0.190788108788626)</f>
        <v>0.1907881088</v>
      </c>
    </row>
    <row r="687">
      <c r="A687" s="11">
        <f>IFERROR(__xludf.DUMMYFUNCTION("""COMPUTED_VALUE"""),2001.0)</f>
        <v>2001</v>
      </c>
      <c r="B687" s="11" t="str">
        <f>IFERROR(__xludf.DUMMYFUNCTION("""COMPUTED_VALUE"""),"Defensa Seguridad")</f>
        <v>Defensa Seguridad</v>
      </c>
      <c r="C687" s="11">
        <f>IFERROR(__xludf.DUMMYFUNCTION("""COMPUTED_VALUE"""),2.4476456546869)</f>
        <v>2.447645655</v>
      </c>
    </row>
    <row r="688">
      <c r="A688" s="11">
        <f>IFERROR(__xludf.DUMMYFUNCTION("""COMPUTED_VALUE"""),2001.0)</f>
        <v>2001</v>
      </c>
      <c r="B688" s="11" t="str">
        <f>IFERROR(__xludf.DUMMYFUNCTION("""COMPUTED_VALUE"""),"Educacion Basica")</f>
        <v>Educacion Basica</v>
      </c>
      <c r="C688" s="11">
        <f>IFERROR(__xludf.DUMMYFUNCTION("""COMPUTED_VALUE"""),3.48685260816441)</f>
        <v>3.486852608</v>
      </c>
    </row>
    <row r="689">
      <c r="A689" s="11">
        <f>IFERROR(__xludf.DUMMYFUNCTION("""COMPUTED_VALUE"""),2001.0)</f>
        <v>2001</v>
      </c>
      <c r="B689" s="11" t="str">
        <f>IFERROR(__xludf.DUMMYFUNCTION("""COMPUTED_VALUE"""),"Educacion Cultura Sin Discriminar")</f>
        <v>Educacion Cultura Sin Discriminar</v>
      </c>
      <c r="C689" s="11">
        <f>IFERROR(__xludf.DUMMYFUNCTION("""COMPUTED_VALUE"""),0.374174113702173)</f>
        <v>0.3741741137</v>
      </c>
    </row>
    <row r="690">
      <c r="A690" s="11">
        <f>IFERROR(__xludf.DUMMYFUNCTION("""COMPUTED_VALUE"""),2001.0)</f>
        <v>2001</v>
      </c>
      <c r="B690" s="11" t="str">
        <f>IFERROR(__xludf.DUMMYFUNCTION("""COMPUTED_VALUE"""),"Educacion Universitaria")</f>
        <v>Educacion Universitaria</v>
      </c>
      <c r="C690" s="11">
        <f>IFERROR(__xludf.DUMMYFUNCTION("""COMPUTED_VALUE"""),0.95553218101721)</f>
        <v>0.955532181</v>
      </c>
    </row>
    <row r="691">
      <c r="A691" s="11">
        <f>IFERROR(__xludf.DUMMYFUNCTION("""COMPUTED_VALUE"""),2001.0)</f>
        <v>2001</v>
      </c>
      <c r="B691" s="11" t="str">
        <f>IFERROR(__xludf.DUMMYFUNCTION("""COMPUTED_VALUE"""),"Energia Combustible")</f>
        <v>Energia Combustible</v>
      </c>
      <c r="C691" s="11">
        <f>IFERROR(__xludf.DUMMYFUNCTION("""COMPUTED_VALUE"""),0.211457251086594)</f>
        <v>0.2114572511</v>
      </c>
    </row>
    <row r="692">
      <c r="A692" s="11">
        <f>IFERROR(__xludf.DUMMYFUNCTION("""COMPUTED_VALUE"""),2001.0)</f>
        <v>2001</v>
      </c>
      <c r="B692" s="11" t="str">
        <f>IFERROR(__xludf.DUMMYFUNCTION("""COMPUTED_VALUE"""),"Funcionamiento Estado")</f>
        <v>Funcionamiento Estado</v>
      </c>
      <c r="C692" s="11">
        <f>IFERROR(__xludf.DUMMYFUNCTION("""COMPUTED_VALUE"""),6.16495728085366)</f>
        <v>6.164957281</v>
      </c>
    </row>
    <row r="693">
      <c r="A693" s="11">
        <f>IFERROR(__xludf.DUMMYFUNCTION("""COMPUTED_VALUE"""),2001.0)</f>
        <v>2001</v>
      </c>
      <c r="B693" s="11" t="str">
        <f>IFERROR(__xludf.DUMMYFUNCTION("""COMPUTED_VALUE"""),"Industria")</f>
        <v>Industria</v>
      </c>
      <c r="C693" s="11">
        <f>IFERROR(__xludf.DUMMYFUNCTION("""COMPUTED_VALUE"""),0.0641645911998202)</f>
        <v>0.0641645912</v>
      </c>
    </row>
    <row r="694">
      <c r="A694" s="11">
        <f>IFERROR(__xludf.DUMMYFUNCTION("""COMPUTED_VALUE"""),2001.0)</f>
        <v>2001</v>
      </c>
      <c r="B694" s="11" t="str">
        <f>IFERROR(__xludf.DUMMYFUNCTION("""COMPUTED_VALUE"""),"Inssjyp Prestaciones")</f>
        <v>Inssjyp Prestaciones</v>
      </c>
      <c r="C694" s="11">
        <f>IFERROR(__xludf.DUMMYFUNCTION("""COMPUTED_VALUE"""),0.0998312549781269)</f>
        <v>0.09983125498</v>
      </c>
    </row>
    <row r="695">
      <c r="A695" s="11">
        <f>IFERROR(__xludf.DUMMYFUNCTION("""COMPUTED_VALUE"""),2001.0)</f>
        <v>2001</v>
      </c>
      <c r="B695" s="11" t="str">
        <f>IFERROR(__xludf.DUMMYFUNCTION("""COMPUTED_VALUE"""),"Inssjyp Salud")</f>
        <v>Inssjyp Salud</v>
      </c>
      <c r="C695" s="11">
        <f>IFERROR(__xludf.DUMMYFUNCTION("""COMPUTED_VALUE"""),0.789361284837142)</f>
        <v>0.7893612848</v>
      </c>
    </row>
    <row r="696">
      <c r="A696" s="11">
        <f>IFERROR(__xludf.DUMMYFUNCTION("""COMPUTED_VALUE"""),2001.0)</f>
        <v>2001</v>
      </c>
      <c r="B696" s="11" t="str">
        <f>IFERROR(__xludf.DUMMYFUNCTION("""COMPUTED_VALUE"""),"Justicia")</f>
        <v>Justicia</v>
      </c>
      <c r="C696" s="11">
        <f>IFERROR(__xludf.DUMMYFUNCTION("""COMPUTED_VALUE"""),0.975524532972941)</f>
        <v>0.975524533</v>
      </c>
    </row>
    <row r="697">
      <c r="A697" s="11">
        <f>IFERROR(__xludf.DUMMYFUNCTION("""COMPUTED_VALUE"""),2001.0)</f>
        <v>2001</v>
      </c>
      <c r="B697" s="11" t="str">
        <f>IFERROR(__xludf.DUMMYFUNCTION("""COMPUTED_VALUE"""),"Obras Sociales Prestaciones")</f>
        <v>Obras Sociales Prestaciones</v>
      </c>
      <c r="C697" s="11">
        <f>IFERROR(__xludf.DUMMYFUNCTION("""COMPUTED_VALUE"""),0.146718979639761)</f>
        <v>0.1467189796</v>
      </c>
    </row>
    <row r="698">
      <c r="A698" s="11">
        <f>IFERROR(__xludf.DUMMYFUNCTION("""COMPUTED_VALUE"""),2001.0)</f>
        <v>2001</v>
      </c>
      <c r="B698" s="11" t="str">
        <f>IFERROR(__xludf.DUMMYFUNCTION("""COMPUTED_VALUE"""),"Obras Sociales Salud")</f>
        <v>Obras Sociales Salud</v>
      </c>
      <c r="C698" s="11">
        <f>IFERROR(__xludf.DUMMYFUNCTION("""COMPUTED_VALUE"""),2.1260913931352)</f>
        <v>2.126091393</v>
      </c>
    </row>
    <row r="699">
      <c r="A699" s="11">
        <f>IFERROR(__xludf.DUMMYFUNCTION("""COMPUTED_VALUE"""),2001.0)</f>
        <v>2001</v>
      </c>
      <c r="B699" s="11" t="str">
        <f>IFERROR(__xludf.DUMMYFUNCTION("""COMPUTED_VALUE"""),"Otros Servicios Economicos")</f>
        <v>Otros Servicios Economicos</v>
      </c>
      <c r="C699" s="11">
        <f>IFERROR(__xludf.DUMMYFUNCTION("""COMPUTED_VALUE"""),0.208465891692773)</f>
        <v>0.2084658917</v>
      </c>
    </row>
    <row r="700">
      <c r="A700" s="11">
        <f>IFERROR(__xludf.DUMMYFUNCTION("""COMPUTED_VALUE"""),2001.0)</f>
        <v>2001</v>
      </c>
      <c r="B700" s="11" t="str">
        <f>IFERROR(__xludf.DUMMYFUNCTION("""COMPUTED_VALUE"""),"Otros Servicios Urbanos")</f>
        <v>Otros Servicios Urbanos</v>
      </c>
      <c r="C700" s="11">
        <f>IFERROR(__xludf.DUMMYFUNCTION("""COMPUTED_VALUE"""),0.792274987016127)</f>
        <v>0.792274987</v>
      </c>
    </row>
    <row r="701">
      <c r="A701" s="11">
        <f>IFERROR(__xludf.DUMMYFUNCTION("""COMPUTED_VALUE"""),2001.0)</f>
        <v>2001</v>
      </c>
      <c r="B701" s="11" t="str">
        <f>IFERROR(__xludf.DUMMYFUNCTION("""COMPUTED_VALUE"""),"Prevision Social")</f>
        <v>Prevision Social</v>
      </c>
      <c r="C701" s="11">
        <f>IFERROR(__xludf.DUMMYFUNCTION("""COMPUTED_VALUE"""),8.16520463077483)</f>
        <v>8.165204631</v>
      </c>
    </row>
    <row r="702">
      <c r="A702" s="11">
        <f>IFERROR(__xludf.DUMMYFUNCTION("""COMPUTED_VALUE"""),2001.0)</f>
        <v>2001</v>
      </c>
      <c r="B702" s="11" t="str">
        <f>IFERROR(__xludf.DUMMYFUNCTION("""COMPUTED_VALUE"""),"Produccion Primaria")</f>
        <v>Produccion Primaria</v>
      </c>
      <c r="C702" s="11">
        <f>IFERROR(__xludf.DUMMYFUNCTION("""COMPUTED_VALUE"""),0.334162558863183)</f>
        <v>0.3341625589</v>
      </c>
    </row>
    <row r="703">
      <c r="A703" s="11">
        <f>IFERROR(__xludf.DUMMYFUNCTION("""COMPUTED_VALUE"""),2001.0)</f>
        <v>2001</v>
      </c>
      <c r="B703" s="11" t="str">
        <f>IFERROR(__xludf.DUMMYFUNCTION("""COMPUTED_VALUE"""),"Programas Empleo")</f>
        <v>Programas Empleo</v>
      </c>
      <c r="C703" s="11">
        <f>IFERROR(__xludf.DUMMYFUNCTION("""COMPUTED_VALUE"""),0.408042657916452)</f>
        <v>0.4080426579</v>
      </c>
    </row>
    <row r="704">
      <c r="A704" s="11">
        <f>IFERROR(__xludf.DUMMYFUNCTION("""COMPUTED_VALUE"""),2001.0)</f>
        <v>2001</v>
      </c>
      <c r="B704" s="11" t="str">
        <f>IFERROR(__xludf.DUMMYFUNCTION("""COMPUTED_VALUE"""),"Promocion Asistencia Social")</f>
        <v>Promocion Asistencia Social</v>
      </c>
      <c r="C704" s="11">
        <f>IFERROR(__xludf.DUMMYFUNCTION("""COMPUTED_VALUE"""),0.905270517574356)</f>
        <v>0.9052705176</v>
      </c>
    </row>
    <row r="705">
      <c r="A705" s="11">
        <f>IFERROR(__xludf.DUMMYFUNCTION("""COMPUTED_VALUE"""),2001.0)</f>
        <v>2001</v>
      </c>
      <c r="B705" s="11" t="str">
        <f>IFERROR(__xludf.DUMMYFUNCTION("""COMPUTED_VALUE"""),"Servicios Deuda Publica")</f>
        <v>Servicios Deuda Publica</v>
      </c>
      <c r="C705" s="11">
        <f>IFERROR(__xludf.DUMMYFUNCTION("""COMPUTED_VALUE"""),5.31808401718817)</f>
        <v>5.318084017</v>
      </c>
    </row>
    <row r="706">
      <c r="A706" s="11">
        <f>IFERROR(__xludf.DUMMYFUNCTION("""COMPUTED_VALUE"""),2001.0)</f>
        <v>2001</v>
      </c>
      <c r="B706" s="11" t="str">
        <f>IFERROR(__xludf.DUMMYFUNCTION("""COMPUTED_VALUE"""),"Servicios Economicos")</f>
        <v>Servicios Economicos</v>
      </c>
      <c r="C706" s="11">
        <f>IFERROR(__xludf.DUMMYFUNCTION("""COMPUTED_VALUE"""),1.72247638525068)</f>
        <v>1.722476385</v>
      </c>
    </row>
    <row r="707">
      <c r="A707" s="11">
        <f>IFERROR(__xludf.DUMMYFUNCTION("""COMPUTED_VALUE"""),2001.0)</f>
        <v>2001</v>
      </c>
      <c r="B707" s="11" t="str">
        <f>IFERROR(__xludf.DUMMYFUNCTION("""COMPUTED_VALUE"""),"Servicios Sociales")</f>
        <v>Servicios Sociales</v>
      </c>
      <c r="C707" s="11">
        <f>IFERROR(__xludf.DUMMYFUNCTION("""COMPUTED_VALUE"""),22.3921442883675)</f>
        <v>22.39214429</v>
      </c>
    </row>
    <row r="708">
      <c r="A708" s="11">
        <f>IFERROR(__xludf.DUMMYFUNCTION("""COMPUTED_VALUE"""),2001.0)</f>
        <v>2001</v>
      </c>
      <c r="B708" s="11" t="str">
        <f>IFERROR(__xludf.DUMMYFUNCTION("""COMPUTED_VALUE"""),"Transporte")</f>
        <v>Transporte</v>
      </c>
      <c r="C708" s="11">
        <f>IFERROR(__xludf.DUMMYFUNCTION("""COMPUTED_VALUE"""),0.827801980597702)</f>
        <v>0.8278019806</v>
      </c>
    </row>
    <row r="709">
      <c r="A709" s="11">
        <f>IFERROR(__xludf.DUMMYFUNCTION("""COMPUTED_VALUE"""),2001.0)</f>
        <v>2001</v>
      </c>
      <c r="B709" s="11" t="str">
        <f>IFERROR(__xludf.DUMMYFUNCTION("""COMPUTED_VALUE"""),"Vivienda Urbanismo")</f>
        <v>Vivienda Urbanismo</v>
      </c>
      <c r="C709" s="11">
        <f>IFERROR(__xludf.DUMMYFUNCTION("""COMPUTED_VALUE"""),0.744386700271484)</f>
        <v>0.7443867003</v>
      </c>
    </row>
    <row r="710">
      <c r="A710" s="11">
        <f>IFERROR(__xludf.DUMMYFUNCTION("""COMPUTED_VALUE"""),2002.0)</f>
        <v>2002</v>
      </c>
      <c r="B710" s="11" t="str">
        <f>IFERROR(__xludf.DUMMYFUNCTION("""COMPUTED_VALUE"""),"Administracion General")</f>
        <v>Administracion General</v>
      </c>
      <c r="C710" s="11">
        <f>IFERROR(__xludf.DUMMYFUNCTION("""COMPUTED_VALUE"""),2.27138870048097)</f>
        <v>2.2713887</v>
      </c>
    </row>
    <row r="711">
      <c r="A711" s="11">
        <f>IFERROR(__xludf.DUMMYFUNCTION("""COMPUTED_VALUE"""),2002.0)</f>
        <v>2002</v>
      </c>
      <c r="B711" s="11" t="str">
        <f>IFERROR(__xludf.DUMMYFUNCTION("""COMPUTED_VALUE"""),"Agua Alcantarillado")</f>
        <v>Agua Alcantarillado</v>
      </c>
      <c r="C711" s="11">
        <f>IFERROR(__xludf.DUMMYFUNCTION("""COMPUTED_VALUE"""),0.189656145309624)</f>
        <v>0.1896561453</v>
      </c>
    </row>
    <row r="712">
      <c r="A712" s="11">
        <f>IFERROR(__xludf.DUMMYFUNCTION("""COMPUTED_VALUE"""),2002.0)</f>
        <v>2002</v>
      </c>
      <c r="B712" s="11" t="str">
        <f>IFERROR(__xludf.DUMMYFUNCTION("""COMPUTED_VALUE"""),"Asignaciones Familiares")</f>
        <v>Asignaciones Familiares</v>
      </c>
      <c r="C712" s="11">
        <f>IFERROR(__xludf.DUMMYFUNCTION("""COMPUTED_VALUE"""),0.509661626440251)</f>
        <v>0.5096616264</v>
      </c>
    </row>
    <row r="713">
      <c r="A713" s="11">
        <f>IFERROR(__xludf.DUMMYFUNCTION("""COMPUTED_VALUE"""),2002.0)</f>
        <v>2002</v>
      </c>
      <c r="B713" s="11" t="str">
        <f>IFERROR(__xludf.DUMMYFUNCTION("""COMPUTED_VALUE"""),"Atencion Salud")</f>
        <v>Atencion Salud</v>
      </c>
      <c r="C713" s="11">
        <f>IFERROR(__xludf.DUMMYFUNCTION("""COMPUTED_VALUE"""),1.88267626846122)</f>
        <v>1.882676268</v>
      </c>
    </row>
    <row r="714">
      <c r="A714" s="11">
        <f>IFERROR(__xludf.DUMMYFUNCTION("""COMPUTED_VALUE"""),2002.0)</f>
        <v>2002</v>
      </c>
      <c r="B714" s="11" t="str">
        <f>IFERROR(__xludf.DUMMYFUNCTION("""COMPUTED_VALUE"""),"Ciencia Tecnica")</f>
        <v>Ciencia Tecnica</v>
      </c>
      <c r="C714" s="11">
        <f>IFERROR(__xludf.DUMMYFUNCTION("""COMPUTED_VALUE"""),0.182512636992074)</f>
        <v>0.182512637</v>
      </c>
    </row>
    <row r="715">
      <c r="A715" s="11">
        <f>IFERROR(__xludf.DUMMYFUNCTION("""COMPUTED_VALUE"""),2002.0)</f>
        <v>2002</v>
      </c>
      <c r="B715" s="11" t="str">
        <f>IFERROR(__xludf.DUMMYFUNCTION("""COMPUTED_VALUE"""),"Comunicaciones")</f>
        <v>Comunicaciones</v>
      </c>
      <c r="C715" s="11">
        <f>IFERROR(__xludf.DUMMYFUNCTION("""COMPUTED_VALUE"""),0.0530643195168731)</f>
        <v>0.05306431952</v>
      </c>
    </row>
    <row r="716">
      <c r="A716" s="11">
        <f>IFERROR(__xludf.DUMMYFUNCTION("""COMPUTED_VALUE"""),2002.0)</f>
        <v>2002</v>
      </c>
      <c r="B716" s="11" t="str">
        <f>IFERROR(__xludf.DUMMYFUNCTION("""COMPUTED_VALUE"""),"Cultura")</f>
        <v>Cultura</v>
      </c>
      <c r="C716" s="11">
        <f>IFERROR(__xludf.DUMMYFUNCTION("""COMPUTED_VALUE"""),0.155057452259974)</f>
        <v>0.1550574523</v>
      </c>
    </row>
    <row r="717">
      <c r="A717" s="11">
        <f>IFERROR(__xludf.DUMMYFUNCTION("""COMPUTED_VALUE"""),2002.0)</f>
        <v>2002</v>
      </c>
      <c r="B717" s="11" t="str">
        <f>IFERROR(__xludf.DUMMYFUNCTION("""COMPUTED_VALUE"""),"Defensa Seguridad")</f>
        <v>Defensa Seguridad</v>
      </c>
      <c r="C717" s="11">
        <f>IFERROR(__xludf.DUMMYFUNCTION("""COMPUTED_VALUE"""),2.19793485535829)</f>
        <v>2.197934855</v>
      </c>
    </row>
    <row r="718">
      <c r="A718" s="11">
        <f>IFERROR(__xludf.DUMMYFUNCTION("""COMPUTED_VALUE"""),2002.0)</f>
        <v>2002</v>
      </c>
      <c r="B718" s="11" t="str">
        <f>IFERROR(__xludf.DUMMYFUNCTION("""COMPUTED_VALUE"""),"Educacion Basica")</f>
        <v>Educacion Basica</v>
      </c>
      <c r="C718" s="11">
        <f>IFERROR(__xludf.DUMMYFUNCTION("""COMPUTED_VALUE"""),2.91396926335604)</f>
        <v>2.913969263</v>
      </c>
    </row>
    <row r="719">
      <c r="A719" s="11">
        <f>IFERROR(__xludf.DUMMYFUNCTION("""COMPUTED_VALUE"""),2002.0)</f>
        <v>2002</v>
      </c>
      <c r="B719" s="11" t="str">
        <f>IFERROR(__xludf.DUMMYFUNCTION("""COMPUTED_VALUE"""),"Educacion Cultura Sin Discriminar")</f>
        <v>Educacion Cultura Sin Discriminar</v>
      </c>
      <c r="C719" s="11">
        <f>IFERROR(__xludf.DUMMYFUNCTION("""COMPUTED_VALUE"""),0.306009218847177)</f>
        <v>0.3060092188</v>
      </c>
    </row>
    <row r="720">
      <c r="A720" s="11">
        <f>IFERROR(__xludf.DUMMYFUNCTION("""COMPUTED_VALUE"""),2002.0)</f>
        <v>2002</v>
      </c>
      <c r="B720" s="11" t="str">
        <f>IFERROR(__xludf.DUMMYFUNCTION("""COMPUTED_VALUE"""),"Educacion Universitaria")</f>
        <v>Educacion Universitaria</v>
      </c>
      <c r="C720" s="11">
        <f>IFERROR(__xludf.DUMMYFUNCTION("""COMPUTED_VALUE"""),0.805739470352617)</f>
        <v>0.8057394704</v>
      </c>
    </row>
    <row r="721">
      <c r="A721" s="11">
        <f>IFERROR(__xludf.DUMMYFUNCTION("""COMPUTED_VALUE"""),2002.0)</f>
        <v>2002</v>
      </c>
      <c r="B721" s="11" t="str">
        <f>IFERROR(__xludf.DUMMYFUNCTION("""COMPUTED_VALUE"""),"Energia Combustible")</f>
        <v>Energia Combustible</v>
      </c>
      <c r="C721" s="11">
        <f>IFERROR(__xludf.DUMMYFUNCTION("""COMPUTED_VALUE"""),0.205485581343293)</f>
        <v>0.2054855813</v>
      </c>
    </row>
    <row r="722">
      <c r="A722" s="11">
        <f>IFERROR(__xludf.DUMMYFUNCTION("""COMPUTED_VALUE"""),2002.0)</f>
        <v>2002</v>
      </c>
      <c r="B722" s="11" t="str">
        <f>IFERROR(__xludf.DUMMYFUNCTION("""COMPUTED_VALUE"""),"Funcionamiento Estado")</f>
        <v>Funcionamiento Estado</v>
      </c>
      <c r="C722" s="11">
        <f>IFERROR(__xludf.DUMMYFUNCTION("""COMPUTED_VALUE"""),5.28322253661596)</f>
        <v>5.283222537</v>
      </c>
    </row>
    <row r="723">
      <c r="A723" s="11">
        <f>IFERROR(__xludf.DUMMYFUNCTION("""COMPUTED_VALUE"""),2002.0)</f>
        <v>2002</v>
      </c>
      <c r="B723" s="11" t="str">
        <f>IFERROR(__xludf.DUMMYFUNCTION("""COMPUTED_VALUE"""),"Industria")</f>
        <v>Industria</v>
      </c>
      <c r="C723" s="11">
        <f>IFERROR(__xludf.DUMMYFUNCTION("""COMPUTED_VALUE"""),0.0502151215575739)</f>
        <v>0.05021512156</v>
      </c>
    </row>
    <row r="724">
      <c r="A724" s="11">
        <f>IFERROR(__xludf.DUMMYFUNCTION("""COMPUTED_VALUE"""),2002.0)</f>
        <v>2002</v>
      </c>
      <c r="B724" s="11" t="str">
        <f>IFERROR(__xludf.DUMMYFUNCTION("""COMPUTED_VALUE"""),"Inssjyp Prestaciones")</f>
        <v>Inssjyp Prestaciones</v>
      </c>
      <c r="C724" s="11">
        <f>IFERROR(__xludf.DUMMYFUNCTION("""COMPUTED_VALUE"""),0.0805077297789019)</f>
        <v>0.08050772978</v>
      </c>
    </row>
    <row r="725">
      <c r="A725" s="11">
        <f>IFERROR(__xludf.DUMMYFUNCTION("""COMPUTED_VALUE"""),2002.0)</f>
        <v>2002</v>
      </c>
      <c r="B725" s="11" t="str">
        <f>IFERROR(__xludf.DUMMYFUNCTION("""COMPUTED_VALUE"""),"Inssjyp Salud")</f>
        <v>Inssjyp Salud</v>
      </c>
      <c r="C725" s="11">
        <f>IFERROR(__xludf.DUMMYFUNCTION("""COMPUTED_VALUE"""),0.652531566936166)</f>
        <v>0.6525315669</v>
      </c>
    </row>
    <row r="726">
      <c r="A726" s="11">
        <f>IFERROR(__xludf.DUMMYFUNCTION("""COMPUTED_VALUE"""),2002.0)</f>
        <v>2002</v>
      </c>
      <c r="B726" s="11" t="str">
        <f>IFERROR(__xludf.DUMMYFUNCTION("""COMPUTED_VALUE"""),"Justicia")</f>
        <v>Justicia</v>
      </c>
      <c r="C726" s="11">
        <f>IFERROR(__xludf.DUMMYFUNCTION("""COMPUTED_VALUE"""),0.813898980776701)</f>
        <v>0.8138989808</v>
      </c>
    </row>
    <row r="727">
      <c r="A727" s="11">
        <f>IFERROR(__xludf.DUMMYFUNCTION("""COMPUTED_VALUE"""),2002.0)</f>
        <v>2002</v>
      </c>
      <c r="B727" s="11" t="str">
        <f>IFERROR(__xludf.DUMMYFUNCTION("""COMPUTED_VALUE"""),"Obras Sociales Prestaciones")</f>
        <v>Obras Sociales Prestaciones</v>
      </c>
      <c r="C727" s="11">
        <f>IFERROR(__xludf.DUMMYFUNCTION("""COMPUTED_VALUE"""),0.103956957525991)</f>
        <v>0.1039569575</v>
      </c>
    </row>
    <row r="728">
      <c r="A728" s="11">
        <f>IFERROR(__xludf.DUMMYFUNCTION("""COMPUTED_VALUE"""),2002.0)</f>
        <v>2002</v>
      </c>
      <c r="B728" s="11" t="str">
        <f>IFERROR(__xludf.DUMMYFUNCTION("""COMPUTED_VALUE"""),"Obras Sociales Salud")</f>
        <v>Obras Sociales Salud</v>
      </c>
      <c r="C728" s="11">
        <f>IFERROR(__xludf.DUMMYFUNCTION("""COMPUTED_VALUE"""),1.90845634984155)</f>
        <v>1.90845635</v>
      </c>
    </row>
    <row r="729">
      <c r="A729" s="11">
        <f>IFERROR(__xludf.DUMMYFUNCTION("""COMPUTED_VALUE"""),2002.0)</f>
        <v>2002</v>
      </c>
      <c r="B729" s="11" t="str">
        <f>IFERROR(__xludf.DUMMYFUNCTION("""COMPUTED_VALUE"""),"Otros Servicios Economicos")</f>
        <v>Otros Servicios Economicos</v>
      </c>
      <c r="C729" s="11">
        <f>IFERROR(__xludf.DUMMYFUNCTION("""COMPUTED_VALUE"""),0.164619994892919)</f>
        <v>0.1646199949</v>
      </c>
    </row>
    <row r="730">
      <c r="A730" s="11">
        <f>IFERROR(__xludf.DUMMYFUNCTION("""COMPUTED_VALUE"""),2002.0)</f>
        <v>2002</v>
      </c>
      <c r="B730" s="11" t="str">
        <f>IFERROR(__xludf.DUMMYFUNCTION("""COMPUTED_VALUE"""),"Otros Servicios Urbanos")</f>
        <v>Otros Servicios Urbanos</v>
      </c>
      <c r="C730" s="11">
        <f>IFERROR(__xludf.DUMMYFUNCTION("""COMPUTED_VALUE"""),0.63256120552121)</f>
        <v>0.6325612055</v>
      </c>
    </row>
    <row r="731">
      <c r="A731" s="11">
        <f>IFERROR(__xludf.DUMMYFUNCTION("""COMPUTED_VALUE"""),2002.0)</f>
        <v>2002</v>
      </c>
      <c r="B731" s="11" t="str">
        <f>IFERROR(__xludf.DUMMYFUNCTION("""COMPUTED_VALUE"""),"Prevision Social")</f>
        <v>Prevision Social</v>
      </c>
      <c r="C731" s="11">
        <f>IFERROR(__xludf.DUMMYFUNCTION("""COMPUTED_VALUE"""),7.09194742235367)</f>
        <v>7.091947422</v>
      </c>
    </row>
    <row r="732">
      <c r="A732" s="11">
        <f>IFERROR(__xludf.DUMMYFUNCTION("""COMPUTED_VALUE"""),2002.0)</f>
        <v>2002</v>
      </c>
      <c r="B732" s="11" t="str">
        <f>IFERROR(__xludf.DUMMYFUNCTION("""COMPUTED_VALUE"""),"Produccion Primaria")</f>
        <v>Produccion Primaria</v>
      </c>
      <c r="C732" s="11">
        <f>IFERROR(__xludf.DUMMYFUNCTION("""COMPUTED_VALUE"""),0.286841331308963)</f>
        <v>0.2868413313</v>
      </c>
    </row>
    <row r="733">
      <c r="A733" s="11">
        <f>IFERROR(__xludf.DUMMYFUNCTION("""COMPUTED_VALUE"""),2002.0)</f>
        <v>2002</v>
      </c>
      <c r="B733" s="11" t="str">
        <f>IFERROR(__xludf.DUMMYFUNCTION("""COMPUTED_VALUE"""),"Programas Empleo")</f>
        <v>Programas Empleo</v>
      </c>
      <c r="C733" s="11">
        <f>IFERROR(__xludf.DUMMYFUNCTION("""COMPUTED_VALUE"""),1.03558473939052)</f>
        <v>1.035584739</v>
      </c>
    </row>
    <row r="734">
      <c r="A734" s="11">
        <f>IFERROR(__xludf.DUMMYFUNCTION("""COMPUTED_VALUE"""),2002.0)</f>
        <v>2002</v>
      </c>
      <c r="B734" s="11" t="str">
        <f>IFERROR(__xludf.DUMMYFUNCTION("""COMPUTED_VALUE"""),"Promocion Asistencia Social")</f>
        <v>Promocion Asistencia Social</v>
      </c>
      <c r="C734" s="11">
        <f>IFERROR(__xludf.DUMMYFUNCTION("""COMPUTED_VALUE"""),0.868453074359239)</f>
        <v>0.8684530744</v>
      </c>
    </row>
    <row r="735">
      <c r="A735" s="11">
        <f>IFERROR(__xludf.DUMMYFUNCTION("""COMPUTED_VALUE"""),2002.0)</f>
        <v>2002</v>
      </c>
      <c r="B735" s="11" t="str">
        <f>IFERROR(__xludf.DUMMYFUNCTION("""COMPUTED_VALUE"""),"Servicios Deuda Publica")</f>
        <v>Servicios Deuda Publica</v>
      </c>
      <c r="C735" s="11">
        <f>IFERROR(__xludf.DUMMYFUNCTION("""COMPUTED_VALUE"""),2.63497645013537)</f>
        <v>2.63497645</v>
      </c>
    </row>
    <row r="736">
      <c r="A736" s="11">
        <f>IFERROR(__xludf.DUMMYFUNCTION("""COMPUTED_VALUE"""),2002.0)</f>
        <v>2002</v>
      </c>
      <c r="B736" s="11" t="str">
        <f>IFERROR(__xludf.DUMMYFUNCTION("""COMPUTED_VALUE"""),"Servicios Economicos")</f>
        <v>Servicios Economicos</v>
      </c>
      <c r="C736" s="11">
        <f>IFERROR(__xludf.DUMMYFUNCTION("""COMPUTED_VALUE"""),1.34736882879082)</f>
        <v>1.347368829</v>
      </c>
    </row>
    <row r="737">
      <c r="A737" s="11">
        <f>IFERROR(__xludf.DUMMYFUNCTION("""COMPUTED_VALUE"""),2002.0)</f>
        <v>2002</v>
      </c>
      <c r="B737" s="11" t="str">
        <f>IFERROR(__xludf.DUMMYFUNCTION("""COMPUTED_VALUE"""),"Servicios Sociales")</f>
        <v>Servicios Sociales</v>
      </c>
      <c r="C737" s="11">
        <f>IFERROR(__xludf.DUMMYFUNCTION("""COMPUTED_VALUE"""),19.841962190755)</f>
        <v>19.84196219</v>
      </c>
    </row>
    <row r="738">
      <c r="A738" s="11">
        <f>IFERROR(__xludf.DUMMYFUNCTION("""COMPUTED_VALUE"""),2002.0)</f>
        <v>2002</v>
      </c>
      <c r="B738" s="11" t="str">
        <f>IFERROR(__xludf.DUMMYFUNCTION("""COMPUTED_VALUE"""),"Transporte")</f>
        <v>Transporte</v>
      </c>
      <c r="C738" s="11">
        <f>IFERROR(__xludf.DUMMYFUNCTION("""COMPUTED_VALUE"""),0.587142480171199)</f>
        <v>0.5871424802</v>
      </c>
    </row>
    <row r="739">
      <c r="A739" s="11">
        <f>IFERROR(__xludf.DUMMYFUNCTION("""COMPUTED_VALUE"""),2002.0)</f>
        <v>2002</v>
      </c>
      <c r="B739" s="11" t="str">
        <f>IFERROR(__xludf.DUMMYFUNCTION("""COMPUTED_VALUE"""),"Vivienda Urbanismo")</f>
        <v>Vivienda Urbanismo</v>
      </c>
      <c r="C739" s="11">
        <f>IFERROR(__xludf.DUMMYFUNCTION("""COMPUTED_VALUE"""),0.522681063028782)</f>
        <v>0.522681063</v>
      </c>
    </row>
    <row r="740">
      <c r="A740" s="11">
        <f>IFERROR(__xludf.DUMMYFUNCTION("""COMPUTED_VALUE"""),2003.0)</f>
        <v>2003</v>
      </c>
      <c r="B740" s="11" t="str">
        <f>IFERROR(__xludf.DUMMYFUNCTION("""COMPUTED_VALUE"""),"Administracion General")</f>
        <v>Administracion General</v>
      </c>
      <c r="C740" s="11">
        <f>IFERROR(__xludf.DUMMYFUNCTION("""COMPUTED_VALUE"""),2.36876916045601)</f>
        <v>2.36876916</v>
      </c>
    </row>
    <row r="741">
      <c r="A741" s="11">
        <f>IFERROR(__xludf.DUMMYFUNCTION("""COMPUTED_VALUE"""),2003.0)</f>
        <v>2003</v>
      </c>
      <c r="B741" s="11" t="str">
        <f>IFERROR(__xludf.DUMMYFUNCTION("""COMPUTED_VALUE"""),"Agua Alcantarillado")</f>
        <v>Agua Alcantarillado</v>
      </c>
      <c r="C741" s="11">
        <f>IFERROR(__xludf.DUMMYFUNCTION("""COMPUTED_VALUE"""),0.205207273772716)</f>
        <v>0.2052072738</v>
      </c>
    </row>
    <row r="742">
      <c r="A742" s="11">
        <f>IFERROR(__xludf.DUMMYFUNCTION("""COMPUTED_VALUE"""),2003.0)</f>
        <v>2003</v>
      </c>
      <c r="B742" s="11" t="str">
        <f>IFERROR(__xludf.DUMMYFUNCTION("""COMPUTED_VALUE"""),"Asignaciones Familiares")</f>
        <v>Asignaciones Familiares</v>
      </c>
      <c r="C742" s="11">
        <f>IFERROR(__xludf.DUMMYFUNCTION("""COMPUTED_VALUE"""),0.465899071685656)</f>
        <v>0.4658990717</v>
      </c>
    </row>
    <row r="743">
      <c r="A743" s="11">
        <f>IFERROR(__xludf.DUMMYFUNCTION("""COMPUTED_VALUE"""),2003.0)</f>
        <v>2003</v>
      </c>
      <c r="B743" s="11" t="str">
        <f>IFERROR(__xludf.DUMMYFUNCTION("""COMPUTED_VALUE"""),"Atencion Salud")</f>
        <v>Atencion Salud</v>
      </c>
      <c r="C743" s="11">
        <f>IFERROR(__xludf.DUMMYFUNCTION("""COMPUTED_VALUE"""),1.89534654695372)</f>
        <v>1.895346547</v>
      </c>
    </row>
    <row r="744">
      <c r="A744" s="11">
        <f>IFERROR(__xludf.DUMMYFUNCTION("""COMPUTED_VALUE"""),2003.0)</f>
        <v>2003</v>
      </c>
      <c r="B744" s="11" t="str">
        <f>IFERROR(__xludf.DUMMYFUNCTION("""COMPUTED_VALUE"""),"Ciencia Tecnica")</f>
        <v>Ciencia Tecnica</v>
      </c>
      <c r="C744" s="11">
        <f>IFERROR(__xludf.DUMMYFUNCTION("""COMPUTED_VALUE"""),0.20240558233151)</f>
        <v>0.2024055823</v>
      </c>
    </row>
    <row r="745">
      <c r="A745" s="11">
        <f>IFERROR(__xludf.DUMMYFUNCTION("""COMPUTED_VALUE"""),2003.0)</f>
        <v>2003</v>
      </c>
      <c r="B745" s="11" t="str">
        <f>IFERROR(__xludf.DUMMYFUNCTION("""COMPUTED_VALUE"""),"Comunicaciones")</f>
        <v>Comunicaciones</v>
      </c>
      <c r="C745" s="11">
        <f>IFERROR(__xludf.DUMMYFUNCTION("""COMPUTED_VALUE"""),0.0539655730402505)</f>
        <v>0.05396557304</v>
      </c>
    </row>
    <row r="746">
      <c r="A746" s="11">
        <f>IFERROR(__xludf.DUMMYFUNCTION("""COMPUTED_VALUE"""),2003.0)</f>
        <v>2003</v>
      </c>
      <c r="B746" s="11" t="str">
        <f>IFERROR(__xludf.DUMMYFUNCTION("""COMPUTED_VALUE"""),"Cultura")</f>
        <v>Cultura</v>
      </c>
      <c r="C746" s="11">
        <f>IFERROR(__xludf.DUMMYFUNCTION("""COMPUTED_VALUE"""),0.150815562413374)</f>
        <v>0.1508155624</v>
      </c>
    </row>
    <row r="747">
      <c r="A747" s="11">
        <f>IFERROR(__xludf.DUMMYFUNCTION("""COMPUTED_VALUE"""),2003.0)</f>
        <v>2003</v>
      </c>
      <c r="B747" s="11" t="str">
        <f>IFERROR(__xludf.DUMMYFUNCTION("""COMPUTED_VALUE"""),"Defensa Seguridad")</f>
        <v>Defensa Seguridad</v>
      </c>
      <c r="C747" s="11">
        <f>IFERROR(__xludf.DUMMYFUNCTION("""COMPUTED_VALUE"""),2.16498137901299)</f>
        <v>2.164981379</v>
      </c>
    </row>
    <row r="748">
      <c r="A748" s="11">
        <f>IFERROR(__xludf.DUMMYFUNCTION("""COMPUTED_VALUE"""),2003.0)</f>
        <v>2003</v>
      </c>
      <c r="B748" s="11" t="str">
        <f>IFERROR(__xludf.DUMMYFUNCTION("""COMPUTED_VALUE"""),"Educacion Basica")</f>
        <v>Educacion Basica</v>
      </c>
      <c r="C748" s="11">
        <f>IFERROR(__xludf.DUMMYFUNCTION("""COMPUTED_VALUE"""),2.63322094259698)</f>
        <v>2.633220943</v>
      </c>
    </row>
    <row r="749">
      <c r="A749" s="11">
        <f>IFERROR(__xludf.DUMMYFUNCTION("""COMPUTED_VALUE"""),2003.0)</f>
        <v>2003</v>
      </c>
      <c r="B749" s="11" t="str">
        <f>IFERROR(__xludf.DUMMYFUNCTION("""COMPUTED_VALUE"""),"Educacion Cultura Sin Discriminar")</f>
        <v>Educacion Cultura Sin Discriminar</v>
      </c>
      <c r="C749" s="11">
        <f>IFERROR(__xludf.DUMMYFUNCTION("""COMPUTED_VALUE"""),0.287537540745402)</f>
        <v>0.2875375407</v>
      </c>
    </row>
    <row r="750">
      <c r="A750" s="11">
        <f>IFERROR(__xludf.DUMMYFUNCTION("""COMPUTED_VALUE"""),2003.0)</f>
        <v>2003</v>
      </c>
      <c r="B750" s="11" t="str">
        <f>IFERROR(__xludf.DUMMYFUNCTION("""COMPUTED_VALUE"""),"Educacion Universitaria")</f>
        <v>Educacion Universitaria</v>
      </c>
      <c r="C750" s="11">
        <f>IFERROR(__xludf.DUMMYFUNCTION("""COMPUTED_VALUE"""),0.796707283399211)</f>
        <v>0.7967072834</v>
      </c>
    </row>
    <row r="751">
      <c r="A751" s="11">
        <f>IFERROR(__xludf.DUMMYFUNCTION("""COMPUTED_VALUE"""),2003.0)</f>
        <v>2003</v>
      </c>
      <c r="B751" s="11" t="str">
        <f>IFERROR(__xludf.DUMMYFUNCTION("""COMPUTED_VALUE"""),"Energia Combustible")</f>
        <v>Energia Combustible</v>
      </c>
      <c r="C751" s="11">
        <f>IFERROR(__xludf.DUMMYFUNCTION("""COMPUTED_VALUE"""),0.189074854306026)</f>
        <v>0.1890748543</v>
      </c>
    </row>
    <row r="752">
      <c r="A752" s="11">
        <f>IFERROR(__xludf.DUMMYFUNCTION("""COMPUTED_VALUE"""),2003.0)</f>
        <v>2003</v>
      </c>
      <c r="B752" s="11" t="str">
        <f>IFERROR(__xludf.DUMMYFUNCTION("""COMPUTED_VALUE"""),"Funcionamiento Estado")</f>
        <v>Funcionamiento Estado</v>
      </c>
      <c r="C752" s="11">
        <f>IFERROR(__xludf.DUMMYFUNCTION("""COMPUTED_VALUE"""),5.26216322911255)</f>
        <v>5.262163229</v>
      </c>
    </row>
    <row r="753">
      <c r="A753" s="11">
        <f>IFERROR(__xludf.DUMMYFUNCTION("""COMPUTED_VALUE"""),2003.0)</f>
        <v>2003</v>
      </c>
      <c r="B753" s="11" t="str">
        <f>IFERROR(__xludf.DUMMYFUNCTION("""COMPUTED_VALUE"""),"Industria")</f>
        <v>Industria</v>
      </c>
      <c r="C753" s="11">
        <f>IFERROR(__xludf.DUMMYFUNCTION("""COMPUTED_VALUE"""),0.0592321876072065)</f>
        <v>0.05923218761</v>
      </c>
    </row>
    <row r="754">
      <c r="A754" s="11">
        <f>IFERROR(__xludf.DUMMYFUNCTION("""COMPUTED_VALUE"""),2003.0)</f>
        <v>2003</v>
      </c>
      <c r="B754" s="11" t="str">
        <f>IFERROR(__xludf.DUMMYFUNCTION("""COMPUTED_VALUE"""),"Inssjyp Prestaciones")</f>
        <v>Inssjyp Prestaciones</v>
      </c>
      <c r="C754" s="11">
        <f>IFERROR(__xludf.DUMMYFUNCTION("""COMPUTED_VALUE"""),0.0910080973226729)</f>
        <v>0.09100809732</v>
      </c>
    </row>
    <row r="755">
      <c r="A755" s="11">
        <f>IFERROR(__xludf.DUMMYFUNCTION("""COMPUTED_VALUE"""),2003.0)</f>
        <v>2003</v>
      </c>
      <c r="B755" s="11" t="str">
        <f>IFERROR(__xludf.DUMMYFUNCTION("""COMPUTED_VALUE"""),"Inssjyp Salud")</f>
        <v>Inssjyp Salud</v>
      </c>
      <c r="C755" s="11">
        <f>IFERROR(__xludf.DUMMYFUNCTION("""COMPUTED_VALUE"""),0.566510853189058)</f>
        <v>0.5665108532</v>
      </c>
    </row>
    <row r="756">
      <c r="A756" s="11">
        <f>IFERROR(__xludf.DUMMYFUNCTION("""COMPUTED_VALUE"""),2003.0)</f>
        <v>2003</v>
      </c>
      <c r="B756" s="11" t="str">
        <f>IFERROR(__xludf.DUMMYFUNCTION("""COMPUTED_VALUE"""),"Justicia")</f>
        <v>Justicia</v>
      </c>
      <c r="C756" s="11">
        <f>IFERROR(__xludf.DUMMYFUNCTION("""COMPUTED_VALUE"""),0.728412689643543)</f>
        <v>0.7284126896</v>
      </c>
    </row>
    <row r="757">
      <c r="A757" s="11">
        <f>IFERROR(__xludf.DUMMYFUNCTION("""COMPUTED_VALUE"""),2003.0)</f>
        <v>2003</v>
      </c>
      <c r="B757" s="11" t="str">
        <f>IFERROR(__xludf.DUMMYFUNCTION("""COMPUTED_VALUE"""),"Obras Sociales Prestaciones")</f>
        <v>Obras Sociales Prestaciones</v>
      </c>
      <c r="C757" s="11">
        <f>IFERROR(__xludf.DUMMYFUNCTION("""COMPUTED_VALUE"""),0.0992253019922977)</f>
        <v>0.09922530199</v>
      </c>
    </row>
    <row r="758">
      <c r="A758" s="11">
        <f>IFERROR(__xludf.DUMMYFUNCTION("""COMPUTED_VALUE"""),2003.0)</f>
        <v>2003</v>
      </c>
      <c r="B758" s="11" t="str">
        <f>IFERROR(__xludf.DUMMYFUNCTION("""COMPUTED_VALUE"""),"Obras Sociales Salud")</f>
        <v>Obras Sociales Salud</v>
      </c>
      <c r="C758" s="11">
        <f>IFERROR(__xludf.DUMMYFUNCTION("""COMPUTED_VALUE"""),1.79099779689391)</f>
        <v>1.790997797</v>
      </c>
    </row>
    <row r="759">
      <c r="A759" s="11">
        <f>IFERROR(__xludf.DUMMYFUNCTION("""COMPUTED_VALUE"""),2003.0)</f>
        <v>2003</v>
      </c>
      <c r="B759" s="11" t="str">
        <f>IFERROR(__xludf.DUMMYFUNCTION("""COMPUTED_VALUE"""),"Otros Servicios Economicos")</f>
        <v>Otros Servicios Economicos</v>
      </c>
      <c r="C759" s="11">
        <f>IFERROR(__xludf.DUMMYFUNCTION("""COMPUTED_VALUE"""),0.989423466124293)</f>
        <v>0.9894234661</v>
      </c>
    </row>
    <row r="760">
      <c r="A760" s="11">
        <f>IFERROR(__xludf.DUMMYFUNCTION("""COMPUTED_VALUE"""),2003.0)</f>
        <v>2003</v>
      </c>
      <c r="B760" s="11" t="str">
        <f>IFERROR(__xludf.DUMMYFUNCTION("""COMPUTED_VALUE"""),"Otros Servicios Urbanos")</f>
        <v>Otros Servicios Urbanos</v>
      </c>
      <c r="C760" s="11">
        <f>IFERROR(__xludf.DUMMYFUNCTION("""COMPUTED_VALUE"""),0.647464540718077)</f>
        <v>0.6474645407</v>
      </c>
    </row>
    <row r="761">
      <c r="A761" s="11">
        <f>IFERROR(__xludf.DUMMYFUNCTION("""COMPUTED_VALUE"""),2003.0)</f>
        <v>2003</v>
      </c>
      <c r="B761" s="11" t="str">
        <f>IFERROR(__xludf.DUMMYFUNCTION("""COMPUTED_VALUE"""),"Prevision Social")</f>
        <v>Prevision Social</v>
      </c>
      <c r="C761" s="11">
        <f>IFERROR(__xludf.DUMMYFUNCTION("""COMPUTED_VALUE"""),6.5855647434991)</f>
        <v>6.585564743</v>
      </c>
    </row>
    <row r="762">
      <c r="A762" s="11">
        <f>IFERROR(__xludf.DUMMYFUNCTION("""COMPUTED_VALUE"""),2003.0)</f>
        <v>2003</v>
      </c>
      <c r="B762" s="11" t="str">
        <f>IFERROR(__xludf.DUMMYFUNCTION("""COMPUTED_VALUE"""),"Produccion Primaria")</f>
        <v>Produccion Primaria</v>
      </c>
      <c r="C762" s="11">
        <f>IFERROR(__xludf.DUMMYFUNCTION("""COMPUTED_VALUE"""),0.316202653516207)</f>
        <v>0.3162026535</v>
      </c>
    </row>
    <row r="763">
      <c r="A763" s="11">
        <f>IFERROR(__xludf.DUMMYFUNCTION("""COMPUTED_VALUE"""),2003.0)</f>
        <v>2003</v>
      </c>
      <c r="B763" s="11" t="str">
        <f>IFERROR(__xludf.DUMMYFUNCTION("""COMPUTED_VALUE"""),"Programas Empleo")</f>
        <v>Programas Empleo</v>
      </c>
      <c r="C763" s="11">
        <f>IFERROR(__xludf.DUMMYFUNCTION("""COMPUTED_VALUE"""),1.27060188560371)</f>
        <v>1.270601886</v>
      </c>
    </row>
    <row r="764">
      <c r="A764" s="11">
        <f>IFERROR(__xludf.DUMMYFUNCTION("""COMPUTED_VALUE"""),2003.0)</f>
        <v>2003</v>
      </c>
      <c r="B764" s="11" t="str">
        <f>IFERROR(__xludf.DUMMYFUNCTION("""COMPUTED_VALUE"""),"Promocion Asistencia Social")</f>
        <v>Promocion Asistencia Social</v>
      </c>
      <c r="C764" s="11">
        <f>IFERROR(__xludf.DUMMYFUNCTION("""COMPUTED_VALUE"""),1.07543795334203)</f>
        <v>1.075437953</v>
      </c>
    </row>
    <row r="765">
      <c r="A765" s="11">
        <f>IFERROR(__xludf.DUMMYFUNCTION("""COMPUTED_VALUE"""),2003.0)</f>
        <v>2003</v>
      </c>
      <c r="B765" s="11" t="str">
        <f>IFERROR(__xludf.DUMMYFUNCTION("""COMPUTED_VALUE"""),"Servicios Deuda Publica")</f>
        <v>Servicios Deuda Publica</v>
      </c>
      <c r="C765" s="11">
        <f>IFERROR(__xludf.DUMMYFUNCTION("""COMPUTED_VALUE"""),2.41876358621131)</f>
        <v>2.418763586</v>
      </c>
    </row>
    <row r="766">
      <c r="A766" s="11">
        <f>IFERROR(__xludf.DUMMYFUNCTION("""COMPUTED_VALUE"""),2003.0)</f>
        <v>2003</v>
      </c>
      <c r="B766" s="11" t="str">
        <f>IFERROR(__xludf.DUMMYFUNCTION("""COMPUTED_VALUE"""),"Servicios Economicos")</f>
        <v>Servicios Economicos</v>
      </c>
      <c r="C766" s="11">
        <f>IFERROR(__xludf.DUMMYFUNCTION("""COMPUTED_VALUE"""),2.40033312174111)</f>
        <v>2.400333122</v>
      </c>
    </row>
    <row r="767">
      <c r="A767" s="11">
        <f>IFERROR(__xludf.DUMMYFUNCTION("""COMPUTED_VALUE"""),2003.0)</f>
        <v>2003</v>
      </c>
      <c r="B767" s="11" t="str">
        <f>IFERROR(__xludf.DUMMYFUNCTION("""COMPUTED_VALUE"""),"Servicios Sociales")</f>
        <v>Servicios Sociales</v>
      </c>
      <c r="C767" s="11">
        <f>IFERROR(__xludf.DUMMYFUNCTION("""COMPUTED_VALUE"""),19.368209731017)</f>
        <v>19.36820973</v>
      </c>
    </row>
    <row r="768">
      <c r="A768" s="11">
        <f>IFERROR(__xludf.DUMMYFUNCTION("""COMPUTED_VALUE"""),2003.0)</f>
        <v>2003</v>
      </c>
      <c r="B768" s="11" t="str">
        <f>IFERROR(__xludf.DUMMYFUNCTION("""COMPUTED_VALUE"""),"Transporte")</f>
        <v>Transporte</v>
      </c>
      <c r="C768" s="11">
        <f>IFERROR(__xludf.DUMMYFUNCTION("""COMPUTED_VALUE"""),0.792434387147131)</f>
        <v>0.7924343871</v>
      </c>
    </row>
    <row r="769">
      <c r="A769" s="11">
        <f>IFERROR(__xludf.DUMMYFUNCTION("""COMPUTED_VALUE"""),2003.0)</f>
        <v>2003</v>
      </c>
      <c r="B769" s="11" t="str">
        <f>IFERROR(__xludf.DUMMYFUNCTION("""COMPUTED_VALUE"""),"Vivienda Urbanismo")</f>
        <v>Vivienda Urbanismo</v>
      </c>
      <c r="C769" s="11">
        <f>IFERROR(__xludf.DUMMYFUNCTION("""COMPUTED_VALUE"""),0.604258754557556)</f>
        <v>0.6042587546</v>
      </c>
    </row>
    <row r="770">
      <c r="A770" s="11">
        <f>IFERROR(__xludf.DUMMYFUNCTION("""COMPUTED_VALUE"""),2004.0)</f>
        <v>2004</v>
      </c>
      <c r="B770" s="11" t="str">
        <f>IFERROR(__xludf.DUMMYFUNCTION("""COMPUTED_VALUE"""),"Administracion General")</f>
        <v>Administracion General</v>
      </c>
      <c r="C770" s="11">
        <f>IFERROR(__xludf.DUMMYFUNCTION("""COMPUTED_VALUE"""),2.32266306105917)</f>
        <v>2.322663061</v>
      </c>
    </row>
    <row r="771">
      <c r="A771" s="11">
        <f>IFERROR(__xludf.DUMMYFUNCTION("""COMPUTED_VALUE"""),2004.0)</f>
        <v>2004</v>
      </c>
      <c r="B771" s="11" t="str">
        <f>IFERROR(__xludf.DUMMYFUNCTION("""COMPUTED_VALUE"""),"Agua Alcantarillado")</f>
        <v>Agua Alcantarillado</v>
      </c>
      <c r="C771" s="11">
        <f>IFERROR(__xludf.DUMMYFUNCTION("""COMPUTED_VALUE"""),0.208586133602061)</f>
        <v>0.2085861336</v>
      </c>
    </row>
    <row r="772">
      <c r="A772" s="11">
        <f>IFERROR(__xludf.DUMMYFUNCTION("""COMPUTED_VALUE"""),2004.0)</f>
        <v>2004</v>
      </c>
      <c r="B772" s="11" t="str">
        <f>IFERROR(__xludf.DUMMYFUNCTION("""COMPUTED_VALUE"""),"Asignaciones Familiares")</f>
        <v>Asignaciones Familiares</v>
      </c>
      <c r="C772" s="11">
        <f>IFERROR(__xludf.DUMMYFUNCTION("""COMPUTED_VALUE"""),0.401099790577216)</f>
        <v>0.4010997906</v>
      </c>
    </row>
    <row r="773">
      <c r="A773" s="11">
        <f>IFERROR(__xludf.DUMMYFUNCTION("""COMPUTED_VALUE"""),2004.0)</f>
        <v>2004</v>
      </c>
      <c r="B773" s="11" t="str">
        <f>IFERROR(__xludf.DUMMYFUNCTION("""COMPUTED_VALUE"""),"Atencion Salud")</f>
        <v>Atencion Salud</v>
      </c>
      <c r="C773" s="11">
        <f>IFERROR(__xludf.DUMMYFUNCTION("""COMPUTED_VALUE"""),1.74275769115267)</f>
        <v>1.742757691</v>
      </c>
    </row>
    <row r="774">
      <c r="A774" s="11">
        <f>IFERROR(__xludf.DUMMYFUNCTION("""COMPUTED_VALUE"""),2004.0)</f>
        <v>2004</v>
      </c>
      <c r="B774" s="11" t="str">
        <f>IFERROR(__xludf.DUMMYFUNCTION("""COMPUTED_VALUE"""),"Ciencia Tecnica")</f>
        <v>Ciencia Tecnica</v>
      </c>
      <c r="C774" s="11">
        <f>IFERROR(__xludf.DUMMYFUNCTION("""COMPUTED_VALUE"""),0.186908452574093)</f>
        <v>0.1869084526</v>
      </c>
    </row>
    <row r="775">
      <c r="A775" s="11">
        <f>IFERROR(__xludf.DUMMYFUNCTION("""COMPUTED_VALUE"""),2004.0)</f>
        <v>2004</v>
      </c>
      <c r="B775" s="11" t="str">
        <f>IFERROR(__xludf.DUMMYFUNCTION("""COMPUTED_VALUE"""),"Comunicaciones")</f>
        <v>Comunicaciones</v>
      </c>
      <c r="C775" s="11">
        <f>IFERROR(__xludf.DUMMYFUNCTION("""COMPUTED_VALUE"""),0.0600618574236033)</f>
        <v>0.06006185742</v>
      </c>
    </row>
    <row r="776">
      <c r="A776" s="11">
        <f>IFERROR(__xludf.DUMMYFUNCTION("""COMPUTED_VALUE"""),2004.0)</f>
        <v>2004</v>
      </c>
      <c r="B776" s="11" t="str">
        <f>IFERROR(__xludf.DUMMYFUNCTION("""COMPUTED_VALUE"""),"Cultura")</f>
        <v>Cultura</v>
      </c>
      <c r="C776" s="11">
        <f>IFERROR(__xludf.DUMMYFUNCTION("""COMPUTED_VALUE"""),0.1430807800125)</f>
        <v>0.14308078</v>
      </c>
    </row>
    <row r="777">
      <c r="A777" s="11">
        <f>IFERROR(__xludf.DUMMYFUNCTION("""COMPUTED_VALUE"""),2004.0)</f>
        <v>2004</v>
      </c>
      <c r="B777" s="11" t="str">
        <f>IFERROR(__xludf.DUMMYFUNCTION("""COMPUTED_VALUE"""),"Defensa Seguridad")</f>
        <v>Defensa Seguridad</v>
      </c>
      <c r="C777" s="11">
        <f>IFERROR(__xludf.DUMMYFUNCTION("""COMPUTED_VALUE"""),1.98633804495098)</f>
        <v>1.986338045</v>
      </c>
    </row>
    <row r="778">
      <c r="A778" s="11">
        <f>IFERROR(__xludf.DUMMYFUNCTION("""COMPUTED_VALUE"""),2004.0)</f>
        <v>2004</v>
      </c>
      <c r="B778" s="11" t="str">
        <f>IFERROR(__xludf.DUMMYFUNCTION("""COMPUTED_VALUE"""),"Educacion Basica")</f>
        <v>Educacion Basica</v>
      </c>
      <c r="C778" s="11">
        <f>IFERROR(__xludf.DUMMYFUNCTION("""COMPUTED_VALUE"""),2.54007001761106)</f>
        <v>2.540070018</v>
      </c>
    </row>
    <row r="779">
      <c r="A779" s="11">
        <f>IFERROR(__xludf.DUMMYFUNCTION("""COMPUTED_VALUE"""),2004.0)</f>
        <v>2004</v>
      </c>
      <c r="B779" s="11" t="str">
        <f>IFERROR(__xludf.DUMMYFUNCTION("""COMPUTED_VALUE"""),"Educacion Cultura Sin Discriminar")</f>
        <v>Educacion Cultura Sin Discriminar</v>
      </c>
      <c r="C779" s="11">
        <f>IFERROR(__xludf.DUMMYFUNCTION("""COMPUTED_VALUE"""),0.306089053127933)</f>
        <v>0.3060890531</v>
      </c>
    </row>
    <row r="780">
      <c r="A780" s="11">
        <f>IFERROR(__xludf.DUMMYFUNCTION("""COMPUTED_VALUE"""),2004.0)</f>
        <v>2004</v>
      </c>
      <c r="B780" s="11" t="str">
        <f>IFERROR(__xludf.DUMMYFUNCTION("""COMPUTED_VALUE"""),"Educacion Universitaria")</f>
        <v>Educacion Universitaria</v>
      </c>
      <c r="C780" s="11">
        <f>IFERROR(__xludf.DUMMYFUNCTION("""COMPUTED_VALUE"""),0.686631306500537)</f>
        <v>0.6866313065</v>
      </c>
    </row>
    <row r="781">
      <c r="A781" s="11">
        <f>IFERROR(__xludf.DUMMYFUNCTION("""COMPUTED_VALUE"""),2004.0)</f>
        <v>2004</v>
      </c>
      <c r="B781" s="11" t="str">
        <f>IFERROR(__xludf.DUMMYFUNCTION("""COMPUTED_VALUE"""),"Energia Combustible")</f>
        <v>Energia Combustible</v>
      </c>
      <c r="C781" s="11">
        <f>IFERROR(__xludf.DUMMYFUNCTION("""COMPUTED_VALUE"""),0.615235204733717)</f>
        <v>0.6152352047</v>
      </c>
    </row>
    <row r="782">
      <c r="A782" s="11">
        <f>IFERROR(__xludf.DUMMYFUNCTION("""COMPUTED_VALUE"""),2004.0)</f>
        <v>2004</v>
      </c>
      <c r="B782" s="11" t="str">
        <f>IFERROR(__xludf.DUMMYFUNCTION("""COMPUTED_VALUE"""),"Funcionamiento Estado")</f>
        <v>Funcionamiento Estado</v>
      </c>
      <c r="C782" s="11">
        <f>IFERROR(__xludf.DUMMYFUNCTION("""COMPUTED_VALUE"""),4.99306707233424)</f>
        <v>4.993067072</v>
      </c>
    </row>
    <row r="783">
      <c r="A783" s="11">
        <f>IFERROR(__xludf.DUMMYFUNCTION("""COMPUTED_VALUE"""),2004.0)</f>
        <v>2004</v>
      </c>
      <c r="B783" s="11" t="str">
        <f>IFERROR(__xludf.DUMMYFUNCTION("""COMPUTED_VALUE"""),"Industria")</f>
        <v>Industria</v>
      </c>
      <c r="C783" s="11">
        <f>IFERROR(__xludf.DUMMYFUNCTION("""COMPUTED_VALUE"""),0.0539995492908254)</f>
        <v>0.05399954929</v>
      </c>
    </row>
    <row r="784">
      <c r="A784" s="11">
        <f>IFERROR(__xludf.DUMMYFUNCTION("""COMPUTED_VALUE"""),2004.0)</f>
        <v>2004</v>
      </c>
      <c r="B784" s="11" t="str">
        <f>IFERROR(__xludf.DUMMYFUNCTION("""COMPUTED_VALUE"""),"Inssjyp Prestaciones")</f>
        <v>Inssjyp Prestaciones</v>
      </c>
      <c r="C784" s="11">
        <f>IFERROR(__xludf.DUMMYFUNCTION("""COMPUTED_VALUE"""),0.0898215844652507)</f>
        <v>0.08982158447</v>
      </c>
    </row>
    <row r="785">
      <c r="A785" s="11">
        <f>IFERROR(__xludf.DUMMYFUNCTION("""COMPUTED_VALUE"""),2004.0)</f>
        <v>2004</v>
      </c>
      <c r="B785" s="11" t="str">
        <f>IFERROR(__xludf.DUMMYFUNCTION("""COMPUTED_VALUE"""),"Inssjyp Salud")</f>
        <v>Inssjyp Salud</v>
      </c>
      <c r="C785" s="11">
        <f>IFERROR(__xludf.DUMMYFUNCTION("""COMPUTED_VALUE"""),0.496252743001023)</f>
        <v>0.496252743</v>
      </c>
    </row>
    <row r="786">
      <c r="A786" s="11">
        <f>IFERROR(__xludf.DUMMYFUNCTION("""COMPUTED_VALUE"""),2004.0)</f>
        <v>2004</v>
      </c>
      <c r="B786" s="11" t="str">
        <f>IFERROR(__xludf.DUMMYFUNCTION("""COMPUTED_VALUE"""),"Justicia")</f>
        <v>Justicia</v>
      </c>
      <c r="C786" s="11">
        <f>IFERROR(__xludf.DUMMYFUNCTION("""COMPUTED_VALUE"""),0.684065966324079)</f>
        <v>0.6840659663</v>
      </c>
    </row>
    <row r="787">
      <c r="A787" s="11">
        <f>IFERROR(__xludf.DUMMYFUNCTION("""COMPUTED_VALUE"""),2004.0)</f>
        <v>2004</v>
      </c>
      <c r="B787" s="11" t="str">
        <f>IFERROR(__xludf.DUMMYFUNCTION("""COMPUTED_VALUE"""),"Obras Sociales Prestaciones")</f>
        <v>Obras Sociales Prestaciones</v>
      </c>
      <c r="C787" s="11">
        <f>IFERROR(__xludf.DUMMYFUNCTION("""COMPUTED_VALUE"""),0.0893690072387651)</f>
        <v>0.08936900724</v>
      </c>
    </row>
    <row r="788">
      <c r="A788" s="11">
        <f>IFERROR(__xludf.DUMMYFUNCTION("""COMPUTED_VALUE"""),2004.0)</f>
        <v>2004</v>
      </c>
      <c r="B788" s="11" t="str">
        <f>IFERROR(__xludf.DUMMYFUNCTION("""COMPUTED_VALUE"""),"Obras Sociales Salud")</f>
        <v>Obras Sociales Salud</v>
      </c>
      <c r="C788" s="11">
        <f>IFERROR(__xludf.DUMMYFUNCTION("""COMPUTED_VALUE"""),1.65126884579078)</f>
        <v>1.651268846</v>
      </c>
    </row>
    <row r="789">
      <c r="A789" s="11">
        <f>IFERROR(__xludf.DUMMYFUNCTION("""COMPUTED_VALUE"""),2004.0)</f>
        <v>2004</v>
      </c>
      <c r="B789" s="11" t="str">
        <f>IFERROR(__xludf.DUMMYFUNCTION("""COMPUTED_VALUE"""),"Otros Servicios Economicos")</f>
        <v>Otros Servicios Economicos</v>
      </c>
      <c r="C789" s="11">
        <f>IFERROR(__xludf.DUMMYFUNCTION("""COMPUTED_VALUE"""),0.388956869265153)</f>
        <v>0.3889568693</v>
      </c>
    </row>
    <row r="790">
      <c r="A790" s="11">
        <f>IFERROR(__xludf.DUMMYFUNCTION("""COMPUTED_VALUE"""),2004.0)</f>
        <v>2004</v>
      </c>
      <c r="B790" s="11" t="str">
        <f>IFERROR(__xludf.DUMMYFUNCTION("""COMPUTED_VALUE"""),"Otros Servicios Urbanos")</f>
        <v>Otros Servicios Urbanos</v>
      </c>
      <c r="C790" s="11">
        <f>IFERROR(__xludf.DUMMYFUNCTION("""COMPUTED_VALUE"""),0.640234282925473)</f>
        <v>0.6402342829</v>
      </c>
    </row>
    <row r="791">
      <c r="A791" s="11">
        <f>IFERROR(__xludf.DUMMYFUNCTION("""COMPUTED_VALUE"""),2004.0)</f>
        <v>2004</v>
      </c>
      <c r="B791" s="11" t="str">
        <f>IFERROR(__xludf.DUMMYFUNCTION("""COMPUTED_VALUE"""),"Prevision Social")</f>
        <v>Prevision Social</v>
      </c>
      <c r="C791" s="11">
        <f>IFERROR(__xludf.DUMMYFUNCTION("""COMPUTED_VALUE"""),5.85120566071794)</f>
        <v>5.851205661</v>
      </c>
    </row>
    <row r="792">
      <c r="A792" s="11">
        <f>IFERROR(__xludf.DUMMYFUNCTION("""COMPUTED_VALUE"""),2004.0)</f>
        <v>2004</v>
      </c>
      <c r="B792" s="11" t="str">
        <f>IFERROR(__xludf.DUMMYFUNCTION("""COMPUTED_VALUE"""),"Produccion Primaria")</f>
        <v>Produccion Primaria</v>
      </c>
      <c r="C792" s="11">
        <f>IFERROR(__xludf.DUMMYFUNCTION("""COMPUTED_VALUE"""),0.323162440550595)</f>
        <v>0.3231624406</v>
      </c>
    </row>
    <row r="793">
      <c r="A793" s="11">
        <f>IFERROR(__xludf.DUMMYFUNCTION("""COMPUTED_VALUE"""),2004.0)</f>
        <v>2004</v>
      </c>
      <c r="B793" s="11" t="str">
        <f>IFERROR(__xludf.DUMMYFUNCTION("""COMPUTED_VALUE"""),"Programas Empleo")</f>
        <v>Programas Empleo</v>
      </c>
      <c r="C793" s="11">
        <f>IFERROR(__xludf.DUMMYFUNCTION("""COMPUTED_VALUE"""),0.978522546457257)</f>
        <v>0.9785225465</v>
      </c>
    </row>
    <row r="794">
      <c r="A794" s="11">
        <f>IFERROR(__xludf.DUMMYFUNCTION("""COMPUTED_VALUE"""),2004.0)</f>
        <v>2004</v>
      </c>
      <c r="B794" s="11" t="str">
        <f>IFERROR(__xludf.DUMMYFUNCTION("""COMPUTED_VALUE"""),"Promocion Asistencia Social")</f>
        <v>Promocion Asistencia Social</v>
      </c>
      <c r="C794" s="11">
        <f>IFERROR(__xludf.DUMMYFUNCTION("""COMPUTED_VALUE"""),1.00741407087651)</f>
        <v>1.007414071</v>
      </c>
    </row>
    <row r="795">
      <c r="A795" s="11">
        <f>IFERROR(__xludf.DUMMYFUNCTION("""COMPUTED_VALUE"""),2004.0)</f>
        <v>2004</v>
      </c>
      <c r="B795" s="11" t="str">
        <f>IFERROR(__xludf.DUMMYFUNCTION("""COMPUTED_VALUE"""),"Servicios Deuda Publica")</f>
        <v>Servicios Deuda Publica</v>
      </c>
      <c r="C795" s="11">
        <f>IFERROR(__xludf.DUMMYFUNCTION("""COMPUTED_VALUE"""),1.57734438937671)</f>
        <v>1.577344389</v>
      </c>
    </row>
    <row r="796">
      <c r="A796" s="11">
        <f>IFERROR(__xludf.DUMMYFUNCTION("""COMPUTED_VALUE"""),2004.0)</f>
        <v>2004</v>
      </c>
      <c r="B796" s="11" t="str">
        <f>IFERROR(__xludf.DUMMYFUNCTION("""COMPUTED_VALUE"""),"Servicios Economicos")</f>
        <v>Servicios Economicos</v>
      </c>
      <c r="C796" s="11">
        <f>IFERROR(__xludf.DUMMYFUNCTION("""COMPUTED_VALUE"""),2.36319882795653)</f>
        <v>2.363198828</v>
      </c>
    </row>
    <row r="797">
      <c r="A797" s="11">
        <f>IFERROR(__xludf.DUMMYFUNCTION("""COMPUTED_VALUE"""),2004.0)</f>
        <v>2004</v>
      </c>
      <c r="B797" s="11" t="str">
        <f>IFERROR(__xludf.DUMMYFUNCTION("""COMPUTED_VALUE"""),"Servicios Sociales")</f>
        <v>Servicios Sociales</v>
      </c>
      <c r="C797" s="11">
        <f>IFERROR(__xludf.DUMMYFUNCTION("""COMPUTED_VALUE"""),17.6665625345741)</f>
        <v>17.66656253</v>
      </c>
    </row>
    <row r="798">
      <c r="A798" s="11">
        <f>IFERROR(__xludf.DUMMYFUNCTION("""COMPUTED_VALUE"""),2004.0)</f>
        <v>2004</v>
      </c>
      <c r="B798" s="11" t="str">
        <f>IFERROR(__xludf.DUMMYFUNCTION("""COMPUTED_VALUE"""),"Transporte")</f>
        <v>Transporte</v>
      </c>
      <c r="C798" s="11">
        <f>IFERROR(__xludf.DUMMYFUNCTION("""COMPUTED_VALUE"""),0.921782906692642)</f>
        <v>0.9217829067</v>
      </c>
    </row>
    <row r="799">
      <c r="A799" s="11">
        <f>IFERROR(__xludf.DUMMYFUNCTION("""COMPUTED_VALUE"""),2004.0)</f>
        <v>2004</v>
      </c>
      <c r="B799" s="11" t="str">
        <f>IFERROR(__xludf.DUMMYFUNCTION("""COMPUTED_VALUE"""),"Vivienda Urbanismo")</f>
        <v>Vivienda Urbanismo</v>
      </c>
      <c r="C799" s="11">
        <f>IFERROR(__xludf.DUMMYFUNCTION("""COMPUTED_VALUE"""),0.647250567943044)</f>
        <v>0.6472505679</v>
      </c>
    </row>
    <row r="800">
      <c r="A800" s="11">
        <f>IFERROR(__xludf.DUMMYFUNCTION("""COMPUTED_VALUE"""),2005.0)</f>
        <v>2005</v>
      </c>
      <c r="B800" s="11" t="str">
        <f>IFERROR(__xludf.DUMMYFUNCTION("""COMPUTED_VALUE"""),"Administracion General")</f>
        <v>Administracion General</v>
      </c>
      <c r="C800" s="11">
        <f>IFERROR(__xludf.DUMMYFUNCTION("""COMPUTED_VALUE"""),2.43718144310059)</f>
        <v>2.437181443</v>
      </c>
    </row>
    <row r="801">
      <c r="A801" s="11">
        <f>IFERROR(__xludf.DUMMYFUNCTION("""COMPUTED_VALUE"""),2005.0)</f>
        <v>2005</v>
      </c>
      <c r="B801" s="11" t="str">
        <f>IFERROR(__xludf.DUMMYFUNCTION("""COMPUTED_VALUE"""),"Agua Alcantarillado")</f>
        <v>Agua Alcantarillado</v>
      </c>
      <c r="C801" s="11">
        <f>IFERROR(__xludf.DUMMYFUNCTION("""COMPUTED_VALUE"""),0.217161260938343)</f>
        <v>0.2171612609</v>
      </c>
    </row>
    <row r="802">
      <c r="A802" s="11">
        <f>IFERROR(__xludf.DUMMYFUNCTION("""COMPUTED_VALUE"""),2005.0)</f>
        <v>2005</v>
      </c>
      <c r="B802" s="11" t="str">
        <f>IFERROR(__xludf.DUMMYFUNCTION("""COMPUTED_VALUE"""),"Asignaciones Familiares")</f>
        <v>Asignaciones Familiares</v>
      </c>
      <c r="C802" s="11">
        <f>IFERROR(__xludf.DUMMYFUNCTION("""COMPUTED_VALUE"""),0.467626106043242)</f>
        <v>0.467626106</v>
      </c>
    </row>
    <row r="803">
      <c r="A803" s="11">
        <f>IFERROR(__xludf.DUMMYFUNCTION("""COMPUTED_VALUE"""),2005.0)</f>
        <v>2005</v>
      </c>
      <c r="B803" s="11" t="str">
        <f>IFERROR(__xludf.DUMMYFUNCTION("""COMPUTED_VALUE"""),"Atencion Salud")</f>
        <v>Atencion Salud</v>
      </c>
      <c r="C803" s="11">
        <f>IFERROR(__xludf.DUMMYFUNCTION("""COMPUTED_VALUE"""),1.79538489513491)</f>
        <v>1.795384895</v>
      </c>
    </row>
    <row r="804">
      <c r="A804" s="11">
        <f>IFERROR(__xludf.DUMMYFUNCTION("""COMPUTED_VALUE"""),2005.0)</f>
        <v>2005</v>
      </c>
      <c r="B804" s="11" t="str">
        <f>IFERROR(__xludf.DUMMYFUNCTION("""COMPUTED_VALUE"""),"Ciencia Tecnica")</f>
        <v>Ciencia Tecnica</v>
      </c>
      <c r="C804" s="11">
        <f>IFERROR(__xludf.DUMMYFUNCTION("""COMPUTED_VALUE"""),0.20397241132323)</f>
        <v>0.2039724113</v>
      </c>
    </row>
    <row r="805">
      <c r="A805" s="11">
        <f>IFERROR(__xludf.DUMMYFUNCTION("""COMPUTED_VALUE"""),2005.0)</f>
        <v>2005</v>
      </c>
      <c r="B805" s="11" t="str">
        <f>IFERROR(__xludf.DUMMYFUNCTION("""COMPUTED_VALUE"""),"Comunicaciones")</f>
        <v>Comunicaciones</v>
      </c>
      <c r="C805" s="11">
        <f>IFERROR(__xludf.DUMMYFUNCTION("""COMPUTED_VALUE"""),0.0615279881414345)</f>
        <v>0.06152798814</v>
      </c>
    </row>
    <row r="806">
      <c r="A806" s="11">
        <f>IFERROR(__xludf.DUMMYFUNCTION("""COMPUTED_VALUE"""),2005.0)</f>
        <v>2005</v>
      </c>
      <c r="B806" s="11" t="str">
        <f>IFERROR(__xludf.DUMMYFUNCTION("""COMPUTED_VALUE"""),"Cultura")</f>
        <v>Cultura</v>
      </c>
      <c r="C806" s="11">
        <f>IFERROR(__xludf.DUMMYFUNCTION("""COMPUTED_VALUE"""),0.156843995618162)</f>
        <v>0.1568439956</v>
      </c>
    </row>
    <row r="807">
      <c r="A807" s="11">
        <f>IFERROR(__xludf.DUMMYFUNCTION("""COMPUTED_VALUE"""),2005.0)</f>
        <v>2005</v>
      </c>
      <c r="B807" s="11" t="str">
        <f>IFERROR(__xludf.DUMMYFUNCTION("""COMPUTED_VALUE"""),"Defensa Seguridad")</f>
        <v>Defensa Seguridad</v>
      </c>
      <c r="C807" s="11">
        <f>IFERROR(__xludf.DUMMYFUNCTION("""COMPUTED_VALUE"""),2.02889715095205)</f>
        <v>2.028897151</v>
      </c>
    </row>
    <row r="808">
      <c r="A808" s="11">
        <f>IFERROR(__xludf.DUMMYFUNCTION("""COMPUTED_VALUE"""),2005.0)</f>
        <v>2005</v>
      </c>
      <c r="B808" s="11" t="str">
        <f>IFERROR(__xludf.DUMMYFUNCTION("""COMPUTED_VALUE"""),"Educacion Basica")</f>
        <v>Educacion Basica</v>
      </c>
      <c r="C808" s="11">
        <f>IFERROR(__xludf.DUMMYFUNCTION("""COMPUTED_VALUE"""),2.85793190710685)</f>
        <v>2.857931907</v>
      </c>
    </row>
    <row r="809">
      <c r="A809" s="11">
        <f>IFERROR(__xludf.DUMMYFUNCTION("""COMPUTED_VALUE"""),2005.0)</f>
        <v>2005</v>
      </c>
      <c r="B809" s="11" t="str">
        <f>IFERROR(__xludf.DUMMYFUNCTION("""COMPUTED_VALUE"""),"Educacion Cultura Sin Discriminar")</f>
        <v>Educacion Cultura Sin Discriminar</v>
      </c>
      <c r="C809" s="11">
        <f>IFERROR(__xludf.DUMMYFUNCTION("""COMPUTED_VALUE"""),0.357103301544042)</f>
        <v>0.3571033015</v>
      </c>
    </row>
    <row r="810">
      <c r="A810" s="11">
        <f>IFERROR(__xludf.DUMMYFUNCTION("""COMPUTED_VALUE"""),2005.0)</f>
        <v>2005</v>
      </c>
      <c r="B810" s="11" t="str">
        <f>IFERROR(__xludf.DUMMYFUNCTION("""COMPUTED_VALUE"""),"Educacion Universitaria")</f>
        <v>Educacion Universitaria</v>
      </c>
      <c r="C810" s="11">
        <f>IFERROR(__xludf.DUMMYFUNCTION("""COMPUTED_VALUE"""),0.776437795176917)</f>
        <v>0.7764377952</v>
      </c>
    </row>
    <row r="811">
      <c r="A811" s="11">
        <f>IFERROR(__xludf.DUMMYFUNCTION("""COMPUTED_VALUE"""),2005.0)</f>
        <v>2005</v>
      </c>
      <c r="B811" s="11" t="str">
        <f>IFERROR(__xludf.DUMMYFUNCTION("""COMPUTED_VALUE"""),"Energia Combustible")</f>
        <v>Energia Combustible</v>
      </c>
      <c r="C811" s="11">
        <f>IFERROR(__xludf.DUMMYFUNCTION("""COMPUTED_VALUE"""),0.667165567712702)</f>
        <v>0.6671655677</v>
      </c>
    </row>
    <row r="812">
      <c r="A812" s="11">
        <f>IFERROR(__xludf.DUMMYFUNCTION("""COMPUTED_VALUE"""),2005.0)</f>
        <v>2005</v>
      </c>
      <c r="B812" s="11" t="str">
        <f>IFERROR(__xludf.DUMMYFUNCTION("""COMPUTED_VALUE"""),"Funcionamiento Estado")</f>
        <v>Funcionamiento Estado</v>
      </c>
      <c r="C812" s="11">
        <f>IFERROR(__xludf.DUMMYFUNCTION("""COMPUTED_VALUE"""),5.16860837881259)</f>
        <v>5.168608379</v>
      </c>
    </row>
    <row r="813">
      <c r="A813" s="11">
        <f>IFERROR(__xludf.DUMMYFUNCTION("""COMPUTED_VALUE"""),2005.0)</f>
        <v>2005</v>
      </c>
      <c r="B813" s="11" t="str">
        <f>IFERROR(__xludf.DUMMYFUNCTION("""COMPUTED_VALUE"""),"Industria")</f>
        <v>Industria</v>
      </c>
      <c r="C813" s="11">
        <f>IFERROR(__xludf.DUMMYFUNCTION("""COMPUTED_VALUE"""),0.0973319665107132)</f>
        <v>0.09733196651</v>
      </c>
    </row>
    <row r="814">
      <c r="A814" s="11">
        <f>IFERROR(__xludf.DUMMYFUNCTION("""COMPUTED_VALUE"""),2005.0)</f>
        <v>2005</v>
      </c>
      <c r="B814" s="11" t="str">
        <f>IFERROR(__xludf.DUMMYFUNCTION("""COMPUTED_VALUE"""),"Inssjyp Prestaciones")</f>
        <v>Inssjyp Prestaciones</v>
      </c>
      <c r="C814" s="11">
        <f>IFERROR(__xludf.DUMMYFUNCTION("""COMPUTED_VALUE"""),0.125137537072081)</f>
        <v>0.1251375371</v>
      </c>
    </row>
    <row r="815">
      <c r="A815" s="11">
        <f>IFERROR(__xludf.DUMMYFUNCTION("""COMPUTED_VALUE"""),2005.0)</f>
        <v>2005</v>
      </c>
      <c r="B815" s="11" t="str">
        <f>IFERROR(__xludf.DUMMYFUNCTION("""COMPUTED_VALUE"""),"Inssjyp Salud")</f>
        <v>Inssjyp Salud</v>
      </c>
      <c r="C815" s="11">
        <f>IFERROR(__xludf.DUMMYFUNCTION("""COMPUTED_VALUE"""),0.491009290829001)</f>
        <v>0.4910092908</v>
      </c>
    </row>
    <row r="816">
      <c r="A816" s="11">
        <f>IFERROR(__xludf.DUMMYFUNCTION("""COMPUTED_VALUE"""),2005.0)</f>
        <v>2005</v>
      </c>
      <c r="B816" s="11" t="str">
        <f>IFERROR(__xludf.DUMMYFUNCTION("""COMPUTED_VALUE"""),"Justicia")</f>
        <v>Justicia</v>
      </c>
      <c r="C816" s="11">
        <f>IFERROR(__xludf.DUMMYFUNCTION("""COMPUTED_VALUE"""),0.702529784759953)</f>
        <v>0.7025297848</v>
      </c>
    </row>
    <row r="817">
      <c r="A817" s="11">
        <f>IFERROR(__xludf.DUMMYFUNCTION("""COMPUTED_VALUE"""),2005.0)</f>
        <v>2005</v>
      </c>
      <c r="B817" s="11" t="str">
        <f>IFERROR(__xludf.DUMMYFUNCTION("""COMPUTED_VALUE"""),"Obras Sociales Prestaciones")</f>
        <v>Obras Sociales Prestaciones</v>
      </c>
      <c r="C817" s="11">
        <f>IFERROR(__xludf.DUMMYFUNCTION("""COMPUTED_VALUE"""),0.0885698479022335)</f>
        <v>0.0885698479</v>
      </c>
    </row>
    <row r="818">
      <c r="A818" s="11">
        <f>IFERROR(__xludf.DUMMYFUNCTION("""COMPUTED_VALUE"""),2005.0)</f>
        <v>2005</v>
      </c>
      <c r="B818" s="11" t="str">
        <f>IFERROR(__xludf.DUMMYFUNCTION("""COMPUTED_VALUE"""),"Obras Sociales Salud")</f>
        <v>Obras Sociales Salud</v>
      </c>
      <c r="C818" s="11">
        <f>IFERROR(__xludf.DUMMYFUNCTION("""COMPUTED_VALUE"""),1.74967596137666)</f>
        <v>1.749675961</v>
      </c>
    </row>
    <row r="819">
      <c r="A819" s="11">
        <f>IFERROR(__xludf.DUMMYFUNCTION("""COMPUTED_VALUE"""),2005.0)</f>
        <v>2005</v>
      </c>
      <c r="B819" s="11" t="str">
        <f>IFERROR(__xludf.DUMMYFUNCTION("""COMPUTED_VALUE"""),"Otros Servicios Economicos")</f>
        <v>Otros Servicios Economicos</v>
      </c>
      <c r="C819" s="11">
        <f>IFERROR(__xludf.DUMMYFUNCTION("""COMPUTED_VALUE"""),0.851327683806159)</f>
        <v>0.8513276838</v>
      </c>
    </row>
    <row r="820">
      <c r="A820" s="11">
        <f>IFERROR(__xludf.DUMMYFUNCTION("""COMPUTED_VALUE"""),2005.0)</f>
        <v>2005</v>
      </c>
      <c r="B820" s="11" t="str">
        <f>IFERROR(__xludf.DUMMYFUNCTION("""COMPUTED_VALUE"""),"Otros Servicios Urbanos")</f>
        <v>Otros Servicios Urbanos</v>
      </c>
      <c r="C820" s="11">
        <f>IFERROR(__xludf.DUMMYFUNCTION("""COMPUTED_VALUE"""),0.687422388874606)</f>
        <v>0.6874223889</v>
      </c>
    </row>
    <row r="821">
      <c r="A821" s="11">
        <f>IFERROR(__xludf.DUMMYFUNCTION("""COMPUTED_VALUE"""),2005.0)</f>
        <v>2005</v>
      </c>
      <c r="B821" s="11" t="str">
        <f>IFERROR(__xludf.DUMMYFUNCTION("""COMPUTED_VALUE"""),"Prevision Social")</f>
        <v>Prevision Social</v>
      </c>
      <c r="C821" s="11">
        <f>IFERROR(__xludf.DUMMYFUNCTION("""COMPUTED_VALUE"""),5.61542962424661)</f>
        <v>5.615429624</v>
      </c>
    </row>
    <row r="822">
      <c r="A822" s="11">
        <f>IFERROR(__xludf.DUMMYFUNCTION("""COMPUTED_VALUE"""),2005.0)</f>
        <v>2005</v>
      </c>
      <c r="B822" s="11" t="str">
        <f>IFERROR(__xludf.DUMMYFUNCTION("""COMPUTED_VALUE"""),"Produccion Primaria")</f>
        <v>Produccion Primaria</v>
      </c>
      <c r="C822" s="11">
        <f>IFERROR(__xludf.DUMMYFUNCTION("""COMPUTED_VALUE"""),0.339026830465738)</f>
        <v>0.3390268305</v>
      </c>
    </row>
    <row r="823">
      <c r="A823" s="11">
        <f>IFERROR(__xludf.DUMMYFUNCTION("""COMPUTED_VALUE"""),2005.0)</f>
        <v>2005</v>
      </c>
      <c r="B823" s="11" t="str">
        <f>IFERROR(__xludf.DUMMYFUNCTION("""COMPUTED_VALUE"""),"Programas Empleo")</f>
        <v>Programas Empleo</v>
      </c>
      <c r="C823" s="11">
        <f>IFERROR(__xludf.DUMMYFUNCTION("""COMPUTED_VALUE"""),0.782044707750431)</f>
        <v>0.7820447078</v>
      </c>
    </row>
    <row r="824">
      <c r="A824" s="11">
        <f>IFERROR(__xludf.DUMMYFUNCTION("""COMPUTED_VALUE"""),2005.0)</f>
        <v>2005</v>
      </c>
      <c r="B824" s="11" t="str">
        <f>IFERROR(__xludf.DUMMYFUNCTION("""COMPUTED_VALUE"""),"Promocion Asistencia Social")</f>
        <v>Promocion Asistencia Social</v>
      </c>
      <c r="C824" s="11">
        <f>IFERROR(__xludf.DUMMYFUNCTION("""COMPUTED_VALUE"""),1.07541591648545)</f>
        <v>1.075415916</v>
      </c>
    </row>
    <row r="825">
      <c r="A825" s="11">
        <f>IFERROR(__xludf.DUMMYFUNCTION("""COMPUTED_VALUE"""),2005.0)</f>
        <v>2005</v>
      </c>
      <c r="B825" s="11" t="str">
        <f>IFERROR(__xludf.DUMMYFUNCTION("""COMPUTED_VALUE"""),"Servicios Deuda Publica")</f>
        <v>Servicios Deuda Publica</v>
      </c>
      <c r="C825" s="11">
        <f>IFERROR(__xludf.DUMMYFUNCTION("""COMPUTED_VALUE"""),2.21083210394581)</f>
        <v>2.210832104</v>
      </c>
    </row>
    <row r="826">
      <c r="A826" s="11">
        <f>IFERROR(__xludf.DUMMYFUNCTION("""COMPUTED_VALUE"""),2005.0)</f>
        <v>2005</v>
      </c>
      <c r="B826" s="11" t="str">
        <f>IFERROR(__xludf.DUMMYFUNCTION("""COMPUTED_VALUE"""),"Servicios Economicos")</f>
        <v>Servicios Economicos</v>
      </c>
      <c r="C826" s="11">
        <f>IFERROR(__xludf.DUMMYFUNCTION("""COMPUTED_VALUE"""),3.26925328332654)</f>
        <v>3.269253283</v>
      </c>
    </row>
    <row r="827">
      <c r="A827" s="11">
        <f>IFERROR(__xludf.DUMMYFUNCTION("""COMPUTED_VALUE"""),2005.0)</f>
        <v>2005</v>
      </c>
      <c r="B827" s="11" t="str">
        <f>IFERROR(__xludf.DUMMYFUNCTION("""COMPUTED_VALUE"""),"Servicios Sociales")</f>
        <v>Servicios Sociales</v>
      </c>
      <c r="C827" s="11">
        <f>IFERROR(__xludf.DUMMYFUNCTION("""COMPUTED_VALUE"""),18.4083610921152)</f>
        <v>18.40836109</v>
      </c>
    </row>
    <row r="828">
      <c r="A828" s="11">
        <f>IFERROR(__xludf.DUMMYFUNCTION("""COMPUTED_VALUE"""),2005.0)</f>
        <v>2005</v>
      </c>
      <c r="B828" s="11" t="str">
        <f>IFERROR(__xludf.DUMMYFUNCTION("""COMPUTED_VALUE"""),"Transporte")</f>
        <v>Transporte</v>
      </c>
      <c r="C828" s="11">
        <f>IFERROR(__xludf.DUMMYFUNCTION("""COMPUTED_VALUE"""),1.25287324668979)</f>
        <v>1.252873247</v>
      </c>
    </row>
    <row r="829">
      <c r="A829" s="11">
        <f>IFERROR(__xludf.DUMMYFUNCTION("""COMPUTED_VALUE"""),2005.0)</f>
        <v>2005</v>
      </c>
      <c r="B829" s="11" t="str">
        <f>IFERROR(__xludf.DUMMYFUNCTION("""COMPUTED_VALUE"""),"Vivienda Urbanismo")</f>
        <v>Vivienda Urbanismo</v>
      </c>
      <c r="C829" s="11">
        <f>IFERROR(__xludf.DUMMYFUNCTION("""COMPUTED_VALUE"""),0.961194144692435)</f>
        <v>0.9611941447</v>
      </c>
    </row>
    <row r="830">
      <c r="A830" s="11">
        <f>IFERROR(__xludf.DUMMYFUNCTION("""COMPUTED_VALUE"""),2006.0)</f>
        <v>2006</v>
      </c>
      <c r="B830" s="11" t="str">
        <f>IFERROR(__xludf.DUMMYFUNCTION("""COMPUTED_VALUE"""),"Administracion General")</f>
        <v>Administracion General</v>
      </c>
      <c r="C830" s="11">
        <f>IFERROR(__xludf.DUMMYFUNCTION("""COMPUTED_VALUE"""),2.50917538913654)</f>
        <v>2.509175389</v>
      </c>
    </row>
    <row r="831">
      <c r="A831" s="11">
        <f>IFERROR(__xludf.DUMMYFUNCTION("""COMPUTED_VALUE"""),2006.0)</f>
        <v>2006</v>
      </c>
      <c r="B831" s="11" t="str">
        <f>IFERROR(__xludf.DUMMYFUNCTION("""COMPUTED_VALUE"""),"Agua Alcantarillado")</f>
        <v>Agua Alcantarillado</v>
      </c>
      <c r="C831" s="11">
        <f>IFERROR(__xludf.DUMMYFUNCTION("""COMPUTED_VALUE"""),0.281996567281716)</f>
        <v>0.2819965673</v>
      </c>
    </row>
    <row r="832">
      <c r="A832" s="11">
        <f>IFERROR(__xludf.DUMMYFUNCTION("""COMPUTED_VALUE"""),2006.0)</f>
        <v>2006</v>
      </c>
      <c r="B832" s="11" t="str">
        <f>IFERROR(__xludf.DUMMYFUNCTION("""COMPUTED_VALUE"""),"Asignaciones Familiares")</f>
        <v>Asignaciones Familiares</v>
      </c>
      <c r="C832" s="11">
        <f>IFERROR(__xludf.DUMMYFUNCTION("""COMPUTED_VALUE"""),0.451879871132849)</f>
        <v>0.4518798711</v>
      </c>
    </row>
    <row r="833">
      <c r="A833" s="11">
        <f>IFERROR(__xludf.DUMMYFUNCTION("""COMPUTED_VALUE"""),2006.0)</f>
        <v>2006</v>
      </c>
      <c r="B833" s="11" t="str">
        <f>IFERROR(__xludf.DUMMYFUNCTION("""COMPUTED_VALUE"""),"Atencion Salud")</f>
        <v>Atencion Salud</v>
      </c>
      <c r="C833" s="11">
        <f>IFERROR(__xludf.DUMMYFUNCTION("""COMPUTED_VALUE"""),1.80950226537395)</f>
        <v>1.809502265</v>
      </c>
    </row>
    <row r="834">
      <c r="A834" s="11">
        <f>IFERROR(__xludf.DUMMYFUNCTION("""COMPUTED_VALUE"""),2006.0)</f>
        <v>2006</v>
      </c>
      <c r="B834" s="11" t="str">
        <f>IFERROR(__xludf.DUMMYFUNCTION("""COMPUTED_VALUE"""),"Ciencia Tecnica")</f>
        <v>Ciencia Tecnica</v>
      </c>
      <c r="C834" s="11">
        <f>IFERROR(__xludf.DUMMYFUNCTION("""COMPUTED_VALUE"""),0.222223108508477)</f>
        <v>0.2222231085</v>
      </c>
    </row>
    <row r="835">
      <c r="A835" s="11">
        <f>IFERROR(__xludf.DUMMYFUNCTION("""COMPUTED_VALUE"""),2006.0)</f>
        <v>2006</v>
      </c>
      <c r="B835" s="11" t="str">
        <f>IFERROR(__xludf.DUMMYFUNCTION("""COMPUTED_VALUE"""),"Comunicaciones")</f>
        <v>Comunicaciones</v>
      </c>
      <c r="C835" s="11">
        <f>IFERROR(__xludf.DUMMYFUNCTION("""COMPUTED_VALUE"""),0.0738940434854716)</f>
        <v>0.07389404349</v>
      </c>
    </row>
    <row r="836">
      <c r="A836" s="11">
        <f>IFERROR(__xludf.DUMMYFUNCTION("""COMPUTED_VALUE"""),2006.0)</f>
        <v>2006</v>
      </c>
      <c r="B836" s="11" t="str">
        <f>IFERROR(__xludf.DUMMYFUNCTION("""COMPUTED_VALUE"""),"Cultura")</f>
        <v>Cultura</v>
      </c>
      <c r="C836" s="11">
        <f>IFERROR(__xludf.DUMMYFUNCTION("""COMPUTED_VALUE"""),0.164029405966996)</f>
        <v>0.164029406</v>
      </c>
    </row>
    <row r="837">
      <c r="A837" s="11">
        <f>IFERROR(__xludf.DUMMYFUNCTION("""COMPUTED_VALUE"""),2006.0)</f>
        <v>2006</v>
      </c>
      <c r="B837" s="11" t="str">
        <f>IFERROR(__xludf.DUMMYFUNCTION("""COMPUTED_VALUE"""),"Defensa Seguridad")</f>
        <v>Defensa Seguridad</v>
      </c>
      <c r="C837" s="11">
        <f>IFERROR(__xludf.DUMMYFUNCTION("""COMPUTED_VALUE"""),1.98661850085726)</f>
        <v>1.986618501</v>
      </c>
    </row>
    <row r="838">
      <c r="A838" s="11">
        <f>IFERROR(__xludf.DUMMYFUNCTION("""COMPUTED_VALUE"""),2006.0)</f>
        <v>2006</v>
      </c>
      <c r="B838" s="11" t="str">
        <f>IFERROR(__xludf.DUMMYFUNCTION("""COMPUTED_VALUE"""),"Educacion Basica")</f>
        <v>Educacion Basica</v>
      </c>
      <c r="C838" s="11">
        <f>IFERROR(__xludf.DUMMYFUNCTION("""COMPUTED_VALUE"""),3.0640000217761)</f>
        <v>3.064000022</v>
      </c>
    </row>
    <row r="839">
      <c r="A839" s="11">
        <f>IFERROR(__xludf.DUMMYFUNCTION("""COMPUTED_VALUE"""),2006.0)</f>
        <v>2006</v>
      </c>
      <c r="B839" s="11" t="str">
        <f>IFERROR(__xludf.DUMMYFUNCTION("""COMPUTED_VALUE"""),"Educacion Cultura Sin Discriminar")</f>
        <v>Educacion Cultura Sin Discriminar</v>
      </c>
      <c r="C839" s="11">
        <f>IFERROR(__xludf.DUMMYFUNCTION("""COMPUTED_VALUE"""),0.39439301690383)</f>
        <v>0.3943930169</v>
      </c>
    </row>
    <row r="840">
      <c r="A840" s="11">
        <f>IFERROR(__xludf.DUMMYFUNCTION("""COMPUTED_VALUE"""),2006.0)</f>
        <v>2006</v>
      </c>
      <c r="B840" s="11" t="str">
        <f>IFERROR(__xludf.DUMMYFUNCTION("""COMPUTED_VALUE"""),"Educacion Universitaria")</f>
        <v>Educacion Universitaria</v>
      </c>
      <c r="C840" s="11">
        <f>IFERROR(__xludf.DUMMYFUNCTION("""COMPUTED_VALUE"""),0.87364521197202)</f>
        <v>0.873645212</v>
      </c>
    </row>
    <row r="841">
      <c r="A841" s="11">
        <f>IFERROR(__xludf.DUMMYFUNCTION("""COMPUTED_VALUE"""),2006.0)</f>
        <v>2006</v>
      </c>
      <c r="B841" s="11" t="str">
        <f>IFERROR(__xludf.DUMMYFUNCTION("""COMPUTED_VALUE"""),"Energia Combustible")</f>
        <v>Energia Combustible</v>
      </c>
      <c r="C841" s="11">
        <f>IFERROR(__xludf.DUMMYFUNCTION("""COMPUTED_VALUE"""),0.852637335985896)</f>
        <v>0.852637336</v>
      </c>
    </row>
    <row r="842">
      <c r="A842" s="11">
        <f>IFERROR(__xludf.DUMMYFUNCTION("""COMPUTED_VALUE"""),2006.0)</f>
        <v>2006</v>
      </c>
      <c r="B842" s="11" t="str">
        <f>IFERROR(__xludf.DUMMYFUNCTION("""COMPUTED_VALUE"""),"Funcionamiento Estado")</f>
        <v>Funcionamiento Estado</v>
      </c>
      <c r="C842" s="11">
        <f>IFERROR(__xludf.DUMMYFUNCTION("""COMPUTED_VALUE"""),5.19707382514332)</f>
        <v>5.197073825</v>
      </c>
    </row>
    <row r="843">
      <c r="A843" s="11">
        <f>IFERROR(__xludf.DUMMYFUNCTION("""COMPUTED_VALUE"""),2006.0)</f>
        <v>2006</v>
      </c>
      <c r="B843" s="11" t="str">
        <f>IFERROR(__xludf.DUMMYFUNCTION("""COMPUTED_VALUE"""),"Industria")</f>
        <v>Industria</v>
      </c>
      <c r="C843" s="11">
        <f>IFERROR(__xludf.DUMMYFUNCTION("""COMPUTED_VALUE"""),0.0905284544184435)</f>
        <v>0.09052845442</v>
      </c>
    </row>
    <row r="844">
      <c r="A844" s="11">
        <f>IFERROR(__xludf.DUMMYFUNCTION("""COMPUTED_VALUE"""),2006.0)</f>
        <v>2006</v>
      </c>
      <c r="B844" s="11" t="str">
        <f>IFERROR(__xludf.DUMMYFUNCTION("""COMPUTED_VALUE"""),"Inssjyp Prestaciones")</f>
        <v>Inssjyp Prestaciones</v>
      </c>
      <c r="C844" s="11">
        <f>IFERROR(__xludf.DUMMYFUNCTION("""COMPUTED_VALUE"""),0.1406322490501)</f>
        <v>0.1406322491</v>
      </c>
    </row>
    <row r="845">
      <c r="A845" s="11">
        <f>IFERROR(__xludf.DUMMYFUNCTION("""COMPUTED_VALUE"""),2006.0)</f>
        <v>2006</v>
      </c>
      <c r="B845" s="11" t="str">
        <f>IFERROR(__xludf.DUMMYFUNCTION("""COMPUTED_VALUE"""),"Inssjyp Salud")</f>
        <v>Inssjyp Salud</v>
      </c>
      <c r="C845" s="11">
        <f>IFERROR(__xludf.DUMMYFUNCTION("""COMPUTED_VALUE"""),0.507514006018629)</f>
        <v>0.507514006</v>
      </c>
    </row>
    <row r="846">
      <c r="A846" s="11">
        <f>IFERROR(__xludf.DUMMYFUNCTION("""COMPUTED_VALUE"""),2006.0)</f>
        <v>2006</v>
      </c>
      <c r="B846" s="11" t="str">
        <f>IFERROR(__xludf.DUMMYFUNCTION("""COMPUTED_VALUE"""),"Justicia")</f>
        <v>Justicia</v>
      </c>
      <c r="C846" s="11">
        <f>IFERROR(__xludf.DUMMYFUNCTION("""COMPUTED_VALUE"""),0.701279935149513)</f>
        <v>0.7012799351</v>
      </c>
    </row>
    <row r="847">
      <c r="A847" s="11">
        <f>IFERROR(__xludf.DUMMYFUNCTION("""COMPUTED_VALUE"""),2006.0)</f>
        <v>2006</v>
      </c>
      <c r="B847" s="11" t="str">
        <f>IFERROR(__xludf.DUMMYFUNCTION("""COMPUTED_VALUE"""),"Obras Sociales Prestaciones")</f>
        <v>Obras Sociales Prestaciones</v>
      </c>
      <c r="C847" s="11">
        <f>IFERROR(__xludf.DUMMYFUNCTION("""COMPUTED_VALUE"""),0.08546642077898)</f>
        <v>0.08546642078</v>
      </c>
    </row>
    <row r="848">
      <c r="A848" s="11">
        <f>IFERROR(__xludf.DUMMYFUNCTION("""COMPUTED_VALUE"""),2006.0)</f>
        <v>2006</v>
      </c>
      <c r="B848" s="11" t="str">
        <f>IFERROR(__xludf.DUMMYFUNCTION("""COMPUTED_VALUE"""),"Obras Sociales Salud")</f>
        <v>Obras Sociales Salud</v>
      </c>
      <c r="C848" s="11">
        <f>IFERROR(__xludf.DUMMYFUNCTION("""COMPUTED_VALUE"""),1.76256169668793)</f>
        <v>1.762561697</v>
      </c>
    </row>
    <row r="849">
      <c r="A849" s="11">
        <f>IFERROR(__xludf.DUMMYFUNCTION("""COMPUTED_VALUE"""),2006.0)</f>
        <v>2006</v>
      </c>
      <c r="B849" s="11" t="str">
        <f>IFERROR(__xludf.DUMMYFUNCTION("""COMPUTED_VALUE"""),"Otros Servicios Economicos")</f>
        <v>Otros Servicios Economicos</v>
      </c>
      <c r="C849" s="11">
        <f>IFERROR(__xludf.DUMMYFUNCTION("""COMPUTED_VALUE"""),0.48054262561641)</f>
        <v>0.4805426256</v>
      </c>
    </row>
    <row r="850">
      <c r="A850" s="11">
        <f>IFERROR(__xludf.DUMMYFUNCTION("""COMPUTED_VALUE"""),2006.0)</f>
        <v>2006</v>
      </c>
      <c r="B850" s="11" t="str">
        <f>IFERROR(__xludf.DUMMYFUNCTION("""COMPUTED_VALUE"""),"Otros Servicios Urbanos")</f>
        <v>Otros Servicios Urbanos</v>
      </c>
      <c r="C850" s="11">
        <f>IFERROR(__xludf.DUMMYFUNCTION("""COMPUTED_VALUE"""),0.718497583195286)</f>
        <v>0.7184975832</v>
      </c>
    </row>
    <row r="851">
      <c r="A851" s="11">
        <f>IFERROR(__xludf.DUMMYFUNCTION("""COMPUTED_VALUE"""),2006.0)</f>
        <v>2006</v>
      </c>
      <c r="B851" s="11" t="str">
        <f>IFERROR(__xludf.DUMMYFUNCTION("""COMPUTED_VALUE"""),"Prevision Social")</f>
        <v>Prevision Social</v>
      </c>
      <c r="C851" s="11">
        <f>IFERROR(__xludf.DUMMYFUNCTION("""COMPUTED_VALUE"""),5.89770146651995)</f>
        <v>5.897701467</v>
      </c>
    </row>
    <row r="852">
      <c r="A852" s="11">
        <f>IFERROR(__xludf.DUMMYFUNCTION("""COMPUTED_VALUE"""),2006.0)</f>
        <v>2006</v>
      </c>
      <c r="B852" s="11" t="str">
        <f>IFERROR(__xludf.DUMMYFUNCTION("""COMPUTED_VALUE"""),"Produccion Primaria")</f>
        <v>Produccion Primaria</v>
      </c>
      <c r="C852" s="11">
        <f>IFERROR(__xludf.DUMMYFUNCTION("""COMPUTED_VALUE"""),0.319799179176612)</f>
        <v>0.3197991792</v>
      </c>
    </row>
    <row r="853">
      <c r="A853" s="11">
        <f>IFERROR(__xludf.DUMMYFUNCTION("""COMPUTED_VALUE"""),2006.0)</f>
        <v>2006</v>
      </c>
      <c r="B853" s="11" t="str">
        <f>IFERROR(__xludf.DUMMYFUNCTION("""COMPUTED_VALUE"""),"Programas Empleo")</f>
        <v>Programas Empleo</v>
      </c>
      <c r="C853" s="11">
        <f>IFERROR(__xludf.DUMMYFUNCTION("""COMPUTED_VALUE"""),0.618477882613653)</f>
        <v>0.6184778826</v>
      </c>
    </row>
    <row r="854">
      <c r="A854" s="11">
        <f>IFERROR(__xludf.DUMMYFUNCTION("""COMPUTED_VALUE"""),2006.0)</f>
        <v>2006</v>
      </c>
      <c r="B854" s="11" t="str">
        <f>IFERROR(__xludf.DUMMYFUNCTION("""COMPUTED_VALUE"""),"Promocion Asistencia Social")</f>
        <v>Promocion Asistencia Social</v>
      </c>
      <c r="C854" s="11">
        <f>IFERROR(__xludf.DUMMYFUNCTION("""COMPUTED_VALUE"""),1.11237482053964)</f>
        <v>1.112374821</v>
      </c>
    </row>
    <row r="855">
      <c r="A855" s="11">
        <f>IFERROR(__xludf.DUMMYFUNCTION("""COMPUTED_VALUE"""),2006.0)</f>
        <v>2006</v>
      </c>
      <c r="B855" s="11" t="str">
        <f>IFERROR(__xludf.DUMMYFUNCTION("""COMPUTED_VALUE"""),"Servicios Deuda Publica")</f>
        <v>Servicios Deuda Publica</v>
      </c>
      <c r="C855" s="11">
        <f>IFERROR(__xludf.DUMMYFUNCTION("""COMPUTED_VALUE"""),1.87305645403455)</f>
        <v>1.873056454</v>
      </c>
    </row>
    <row r="856">
      <c r="A856" s="11">
        <f>IFERROR(__xludf.DUMMYFUNCTION("""COMPUTED_VALUE"""),2006.0)</f>
        <v>2006</v>
      </c>
      <c r="B856" s="11" t="str">
        <f>IFERROR(__xludf.DUMMYFUNCTION("""COMPUTED_VALUE"""),"Servicios Economicos")</f>
        <v>Servicios Economicos</v>
      </c>
      <c r="C856" s="11">
        <f>IFERROR(__xludf.DUMMYFUNCTION("""COMPUTED_VALUE"""),3.40192989595988)</f>
        <v>3.401929896</v>
      </c>
    </row>
    <row r="857">
      <c r="A857" s="11">
        <f>IFERROR(__xludf.DUMMYFUNCTION("""COMPUTED_VALUE"""),2006.0)</f>
        <v>2006</v>
      </c>
      <c r="B857" s="11" t="str">
        <f>IFERROR(__xludf.DUMMYFUNCTION("""COMPUTED_VALUE"""),"Servicios Sociales")</f>
        <v>Servicios Sociales</v>
      </c>
      <c r="C857" s="11">
        <f>IFERROR(__xludf.DUMMYFUNCTION("""COMPUTED_VALUE"""),19.1734182374744)</f>
        <v>19.17341824</v>
      </c>
    </row>
    <row r="858">
      <c r="A858" s="11">
        <f>IFERROR(__xludf.DUMMYFUNCTION("""COMPUTED_VALUE"""),2006.0)</f>
        <v>2006</v>
      </c>
      <c r="B858" s="11" t="str">
        <f>IFERROR(__xludf.DUMMYFUNCTION("""COMPUTED_VALUE"""),"Transporte")</f>
        <v>Transporte</v>
      </c>
      <c r="C858" s="11">
        <f>IFERROR(__xludf.DUMMYFUNCTION("""COMPUTED_VALUE"""),1.58452825727704)</f>
        <v>1.584528257</v>
      </c>
    </row>
    <row r="859">
      <c r="A859" s="11">
        <f>IFERROR(__xludf.DUMMYFUNCTION("""COMPUTED_VALUE"""),2006.0)</f>
        <v>2006</v>
      </c>
      <c r="B859" s="11" t="str">
        <f>IFERROR(__xludf.DUMMYFUNCTION("""COMPUTED_VALUE"""),"Vivienda Urbanismo")</f>
        <v>Vivienda Urbanismo</v>
      </c>
      <c r="C859" s="11">
        <f>IFERROR(__xludf.DUMMYFUNCTION("""COMPUTED_VALUE"""),1.06852264315432)</f>
        <v>1.068522643</v>
      </c>
    </row>
    <row r="860">
      <c r="A860" s="11">
        <f>IFERROR(__xludf.DUMMYFUNCTION("""COMPUTED_VALUE"""),2007.0)</f>
        <v>2007</v>
      </c>
      <c r="B860" s="11" t="str">
        <f>IFERROR(__xludf.DUMMYFUNCTION("""COMPUTED_VALUE"""),"Administracion General")</f>
        <v>Administracion General</v>
      </c>
      <c r="C860" s="11">
        <f>IFERROR(__xludf.DUMMYFUNCTION("""COMPUTED_VALUE"""),2.69692436463669)</f>
        <v>2.696924365</v>
      </c>
    </row>
    <row r="861">
      <c r="A861" s="11">
        <f>IFERROR(__xludf.DUMMYFUNCTION("""COMPUTED_VALUE"""),2007.0)</f>
        <v>2007</v>
      </c>
      <c r="B861" s="11" t="str">
        <f>IFERROR(__xludf.DUMMYFUNCTION("""COMPUTED_VALUE"""),"Agua Alcantarillado")</f>
        <v>Agua Alcantarillado</v>
      </c>
      <c r="C861" s="11">
        <f>IFERROR(__xludf.DUMMYFUNCTION("""COMPUTED_VALUE"""),0.349167889701351)</f>
        <v>0.3491678897</v>
      </c>
    </row>
    <row r="862">
      <c r="A862" s="11">
        <f>IFERROR(__xludf.DUMMYFUNCTION("""COMPUTED_VALUE"""),2007.0)</f>
        <v>2007</v>
      </c>
      <c r="B862" s="11" t="str">
        <f>IFERROR(__xludf.DUMMYFUNCTION("""COMPUTED_VALUE"""),"Asignaciones Familiares")</f>
        <v>Asignaciones Familiares</v>
      </c>
      <c r="C862" s="11">
        <f>IFERROR(__xludf.DUMMYFUNCTION("""COMPUTED_VALUE"""),0.510240486746307)</f>
        <v>0.5102404867</v>
      </c>
    </row>
    <row r="863">
      <c r="A863" s="11">
        <f>IFERROR(__xludf.DUMMYFUNCTION("""COMPUTED_VALUE"""),2007.0)</f>
        <v>2007</v>
      </c>
      <c r="B863" s="11" t="str">
        <f>IFERROR(__xludf.DUMMYFUNCTION("""COMPUTED_VALUE"""),"Atencion Salud")</f>
        <v>Atencion Salud</v>
      </c>
      <c r="C863" s="11">
        <f>IFERROR(__xludf.DUMMYFUNCTION("""COMPUTED_VALUE"""),1.89274467922989)</f>
        <v>1.892744679</v>
      </c>
    </row>
    <row r="864">
      <c r="A864" s="11">
        <f>IFERROR(__xludf.DUMMYFUNCTION("""COMPUTED_VALUE"""),2007.0)</f>
        <v>2007</v>
      </c>
      <c r="B864" s="11" t="str">
        <f>IFERROR(__xludf.DUMMYFUNCTION("""COMPUTED_VALUE"""),"Ciencia Tecnica")</f>
        <v>Ciencia Tecnica</v>
      </c>
      <c r="C864" s="11">
        <f>IFERROR(__xludf.DUMMYFUNCTION("""COMPUTED_VALUE"""),0.236289205498617)</f>
        <v>0.2362892055</v>
      </c>
    </row>
    <row r="865">
      <c r="A865" s="11">
        <f>IFERROR(__xludf.DUMMYFUNCTION("""COMPUTED_VALUE"""),2007.0)</f>
        <v>2007</v>
      </c>
      <c r="B865" s="11" t="str">
        <f>IFERROR(__xludf.DUMMYFUNCTION("""COMPUTED_VALUE"""),"Comunicaciones")</f>
        <v>Comunicaciones</v>
      </c>
      <c r="C865" s="11">
        <f>IFERROR(__xludf.DUMMYFUNCTION("""COMPUTED_VALUE"""),0.0755932893829257)</f>
        <v>0.07559328938</v>
      </c>
    </row>
    <row r="866">
      <c r="A866" s="11">
        <f>IFERROR(__xludf.DUMMYFUNCTION("""COMPUTED_VALUE"""),2007.0)</f>
        <v>2007</v>
      </c>
      <c r="B866" s="11" t="str">
        <f>IFERROR(__xludf.DUMMYFUNCTION("""COMPUTED_VALUE"""),"Cultura")</f>
        <v>Cultura</v>
      </c>
      <c r="C866" s="11">
        <f>IFERROR(__xludf.DUMMYFUNCTION("""COMPUTED_VALUE"""),0.176823329433976)</f>
        <v>0.1768233294</v>
      </c>
    </row>
    <row r="867">
      <c r="A867" s="11">
        <f>IFERROR(__xludf.DUMMYFUNCTION("""COMPUTED_VALUE"""),2007.0)</f>
        <v>2007</v>
      </c>
      <c r="B867" s="11" t="str">
        <f>IFERROR(__xludf.DUMMYFUNCTION("""COMPUTED_VALUE"""),"Defensa Seguridad")</f>
        <v>Defensa Seguridad</v>
      </c>
      <c r="C867" s="11">
        <f>IFERROR(__xludf.DUMMYFUNCTION("""COMPUTED_VALUE"""),2.0021717660892)</f>
        <v>2.002171766</v>
      </c>
    </row>
    <row r="868">
      <c r="A868" s="11">
        <f>IFERROR(__xludf.DUMMYFUNCTION("""COMPUTED_VALUE"""),2007.0)</f>
        <v>2007</v>
      </c>
      <c r="B868" s="11" t="str">
        <f>IFERROR(__xludf.DUMMYFUNCTION("""COMPUTED_VALUE"""),"Educacion Basica")</f>
        <v>Educacion Basica</v>
      </c>
      <c r="C868" s="11">
        <f>IFERROR(__xludf.DUMMYFUNCTION("""COMPUTED_VALUE"""),3.20616057419101)</f>
        <v>3.206160574</v>
      </c>
    </row>
    <row r="869">
      <c r="A869" s="11">
        <f>IFERROR(__xludf.DUMMYFUNCTION("""COMPUTED_VALUE"""),2007.0)</f>
        <v>2007</v>
      </c>
      <c r="B869" s="11" t="str">
        <f>IFERROR(__xludf.DUMMYFUNCTION("""COMPUTED_VALUE"""),"Educacion Cultura Sin Discriminar")</f>
        <v>Educacion Cultura Sin Discriminar</v>
      </c>
      <c r="C869" s="11">
        <f>IFERROR(__xludf.DUMMYFUNCTION("""COMPUTED_VALUE"""),0.442292623196718)</f>
        <v>0.4422926232</v>
      </c>
    </row>
    <row r="870">
      <c r="A870" s="11">
        <f>IFERROR(__xludf.DUMMYFUNCTION("""COMPUTED_VALUE"""),2007.0)</f>
        <v>2007</v>
      </c>
      <c r="B870" s="11" t="str">
        <f>IFERROR(__xludf.DUMMYFUNCTION("""COMPUTED_VALUE"""),"Educacion Universitaria")</f>
        <v>Educacion Universitaria</v>
      </c>
      <c r="C870" s="11">
        <f>IFERROR(__xludf.DUMMYFUNCTION("""COMPUTED_VALUE"""),0.936365273918497)</f>
        <v>0.9363652739</v>
      </c>
    </row>
    <row r="871">
      <c r="A871" s="11">
        <f>IFERROR(__xludf.DUMMYFUNCTION("""COMPUTED_VALUE"""),2007.0)</f>
        <v>2007</v>
      </c>
      <c r="B871" s="11" t="str">
        <f>IFERROR(__xludf.DUMMYFUNCTION("""COMPUTED_VALUE"""),"Energia Combustible")</f>
        <v>Energia Combustible</v>
      </c>
      <c r="C871" s="11">
        <f>IFERROR(__xludf.DUMMYFUNCTION("""COMPUTED_VALUE"""),1.33653292914013)</f>
        <v>1.336532929</v>
      </c>
    </row>
    <row r="872">
      <c r="A872" s="11">
        <f>IFERROR(__xludf.DUMMYFUNCTION("""COMPUTED_VALUE"""),2007.0)</f>
        <v>2007</v>
      </c>
      <c r="B872" s="11" t="str">
        <f>IFERROR(__xludf.DUMMYFUNCTION("""COMPUTED_VALUE"""),"Funcionamiento Estado")</f>
        <v>Funcionamiento Estado</v>
      </c>
      <c r="C872" s="11">
        <f>IFERROR(__xludf.DUMMYFUNCTION("""COMPUTED_VALUE"""),5.42867152021052)</f>
        <v>5.42867152</v>
      </c>
    </row>
    <row r="873">
      <c r="A873" s="11">
        <f>IFERROR(__xludf.DUMMYFUNCTION("""COMPUTED_VALUE"""),2007.0)</f>
        <v>2007</v>
      </c>
      <c r="B873" s="11" t="str">
        <f>IFERROR(__xludf.DUMMYFUNCTION("""COMPUTED_VALUE"""),"Industria")</f>
        <v>Industria</v>
      </c>
      <c r="C873" s="11">
        <f>IFERROR(__xludf.DUMMYFUNCTION("""COMPUTED_VALUE"""),0.138675371683347)</f>
        <v>0.1386753717</v>
      </c>
    </row>
    <row r="874">
      <c r="A874" s="11">
        <f>IFERROR(__xludf.DUMMYFUNCTION("""COMPUTED_VALUE"""),2007.0)</f>
        <v>2007</v>
      </c>
      <c r="B874" s="11" t="str">
        <f>IFERROR(__xludf.DUMMYFUNCTION("""COMPUTED_VALUE"""),"Inssjyp Prestaciones")</f>
        <v>Inssjyp Prestaciones</v>
      </c>
      <c r="C874" s="11">
        <f>IFERROR(__xludf.DUMMYFUNCTION("""COMPUTED_VALUE"""),0.14809389459232)</f>
        <v>0.1480938946</v>
      </c>
    </row>
    <row r="875">
      <c r="A875" s="11">
        <f>IFERROR(__xludf.DUMMYFUNCTION("""COMPUTED_VALUE"""),2007.0)</f>
        <v>2007</v>
      </c>
      <c r="B875" s="11" t="str">
        <f>IFERROR(__xludf.DUMMYFUNCTION("""COMPUTED_VALUE"""),"Inssjyp Salud")</f>
        <v>Inssjyp Salud</v>
      </c>
      <c r="C875" s="11">
        <f>IFERROR(__xludf.DUMMYFUNCTION("""COMPUTED_VALUE"""),0.566481542555101)</f>
        <v>0.5664815426</v>
      </c>
    </row>
    <row r="876">
      <c r="A876" s="11">
        <f>IFERROR(__xludf.DUMMYFUNCTION("""COMPUTED_VALUE"""),2007.0)</f>
        <v>2007</v>
      </c>
      <c r="B876" s="11" t="str">
        <f>IFERROR(__xludf.DUMMYFUNCTION("""COMPUTED_VALUE"""),"Justicia")</f>
        <v>Justicia</v>
      </c>
      <c r="C876" s="11">
        <f>IFERROR(__xludf.DUMMYFUNCTION("""COMPUTED_VALUE"""),0.729575389484626)</f>
        <v>0.7295753895</v>
      </c>
    </row>
    <row r="877">
      <c r="A877" s="11">
        <f>IFERROR(__xludf.DUMMYFUNCTION("""COMPUTED_VALUE"""),2007.0)</f>
        <v>2007</v>
      </c>
      <c r="B877" s="11" t="str">
        <f>IFERROR(__xludf.DUMMYFUNCTION("""COMPUTED_VALUE"""),"Obras Sociales Prestaciones")</f>
        <v>Obras Sociales Prestaciones</v>
      </c>
      <c r="C877" s="11">
        <f>IFERROR(__xludf.DUMMYFUNCTION("""COMPUTED_VALUE"""),0.0856713923704984)</f>
        <v>0.08567139237</v>
      </c>
    </row>
    <row r="878">
      <c r="A878" s="11">
        <f>IFERROR(__xludf.DUMMYFUNCTION("""COMPUTED_VALUE"""),2007.0)</f>
        <v>2007</v>
      </c>
      <c r="B878" s="11" t="str">
        <f>IFERROR(__xludf.DUMMYFUNCTION("""COMPUTED_VALUE"""),"Obras Sociales Salud")</f>
        <v>Obras Sociales Salud</v>
      </c>
      <c r="C878" s="11">
        <f>IFERROR(__xludf.DUMMYFUNCTION("""COMPUTED_VALUE"""),1.82041604381129)</f>
        <v>1.820416044</v>
      </c>
    </row>
    <row r="879">
      <c r="A879" s="11">
        <f>IFERROR(__xludf.DUMMYFUNCTION("""COMPUTED_VALUE"""),2007.0)</f>
        <v>2007</v>
      </c>
      <c r="B879" s="11" t="str">
        <f>IFERROR(__xludf.DUMMYFUNCTION("""COMPUTED_VALUE"""),"Otros Servicios Economicos")</f>
        <v>Otros Servicios Economicos</v>
      </c>
      <c r="C879" s="11">
        <f>IFERROR(__xludf.DUMMYFUNCTION("""COMPUTED_VALUE"""),0.278024245824225)</f>
        <v>0.2780242458</v>
      </c>
    </row>
    <row r="880">
      <c r="A880" s="11">
        <f>IFERROR(__xludf.DUMMYFUNCTION("""COMPUTED_VALUE"""),2007.0)</f>
        <v>2007</v>
      </c>
      <c r="B880" s="11" t="str">
        <f>IFERROR(__xludf.DUMMYFUNCTION("""COMPUTED_VALUE"""),"Otros Servicios Urbanos")</f>
        <v>Otros Servicios Urbanos</v>
      </c>
      <c r="C880" s="11">
        <f>IFERROR(__xludf.DUMMYFUNCTION("""COMPUTED_VALUE"""),0.751516014441846)</f>
        <v>0.7515160144</v>
      </c>
    </row>
    <row r="881">
      <c r="A881" s="11">
        <f>IFERROR(__xludf.DUMMYFUNCTION("""COMPUTED_VALUE"""),2007.0)</f>
        <v>2007</v>
      </c>
      <c r="B881" s="11" t="str">
        <f>IFERROR(__xludf.DUMMYFUNCTION("""COMPUTED_VALUE"""),"Prevision Social")</f>
        <v>Prevision Social</v>
      </c>
      <c r="C881" s="11">
        <f>IFERROR(__xludf.DUMMYFUNCTION("""COMPUTED_VALUE"""),7.18765899189452)</f>
        <v>7.187658992</v>
      </c>
    </row>
    <row r="882">
      <c r="A882" s="11">
        <f>IFERROR(__xludf.DUMMYFUNCTION("""COMPUTED_VALUE"""),2007.0)</f>
        <v>2007</v>
      </c>
      <c r="B882" s="11" t="str">
        <f>IFERROR(__xludf.DUMMYFUNCTION("""COMPUTED_VALUE"""),"Produccion Primaria")</f>
        <v>Produccion Primaria</v>
      </c>
      <c r="C882" s="11">
        <f>IFERROR(__xludf.DUMMYFUNCTION("""COMPUTED_VALUE"""),0.456815782794325)</f>
        <v>0.4568157828</v>
      </c>
    </row>
    <row r="883">
      <c r="A883" s="11">
        <f>IFERROR(__xludf.DUMMYFUNCTION("""COMPUTED_VALUE"""),2007.0)</f>
        <v>2007</v>
      </c>
      <c r="B883" s="11" t="str">
        <f>IFERROR(__xludf.DUMMYFUNCTION("""COMPUTED_VALUE"""),"Programas Empleo")</f>
        <v>Programas Empleo</v>
      </c>
      <c r="C883" s="11">
        <f>IFERROR(__xludf.DUMMYFUNCTION("""COMPUTED_VALUE"""),0.457440350702825)</f>
        <v>0.4574403507</v>
      </c>
    </row>
    <row r="884">
      <c r="A884" s="11">
        <f>IFERROR(__xludf.DUMMYFUNCTION("""COMPUTED_VALUE"""),2007.0)</f>
        <v>2007</v>
      </c>
      <c r="B884" s="11" t="str">
        <f>IFERROR(__xludf.DUMMYFUNCTION("""COMPUTED_VALUE"""),"Promocion Asistencia Social")</f>
        <v>Promocion Asistencia Social</v>
      </c>
      <c r="C884" s="11">
        <f>IFERROR(__xludf.DUMMYFUNCTION("""COMPUTED_VALUE"""),1.13779655181217)</f>
        <v>1.137796552</v>
      </c>
    </row>
    <row r="885">
      <c r="A885" s="11">
        <f>IFERROR(__xludf.DUMMYFUNCTION("""COMPUTED_VALUE"""),2007.0)</f>
        <v>2007</v>
      </c>
      <c r="B885" s="11" t="str">
        <f>IFERROR(__xludf.DUMMYFUNCTION("""COMPUTED_VALUE"""),"Servicios Deuda Publica")</f>
        <v>Servicios Deuda Publica</v>
      </c>
      <c r="C885" s="11">
        <f>IFERROR(__xludf.DUMMYFUNCTION("""COMPUTED_VALUE"""),2.08474010185882)</f>
        <v>2.084740102</v>
      </c>
    </row>
    <row r="886">
      <c r="A886" s="11">
        <f>IFERROR(__xludf.DUMMYFUNCTION("""COMPUTED_VALUE"""),2007.0)</f>
        <v>2007</v>
      </c>
      <c r="B886" s="11" t="str">
        <f>IFERROR(__xludf.DUMMYFUNCTION("""COMPUTED_VALUE"""),"Servicios Economicos")</f>
        <v>Servicios Economicos</v>
      </c>
      <c r="C886" s="11">
        <f>IFERROR(__xludf.DUMMYFUNCTION("""COMPUTED_VALUE"""),4.08975934518485)</f>
        <v>4.089759345</v>
      </c>
    </row>
    <row r="887">
      <c r="A887" s="11">
        <f>IFERROR(__xludf.DUMMYFUNCTION("""COMPUTED_VALUE"""),2007.0)</f>
        <v>2007</v>
      </c>
      <c r="B887" s="11" t="str">
        <f>IFERROR(__xludf.DUMMYFUNCTION("""COMPUTED_VALUE"""),"Servicios Sociales")</f>
        <v>Servicios Sociales</v>
      </c>
      <c r="C887" s="11">
        <f>IFERROR(__xludf.DUMMYFUNCTION("""COMPUTED_VALUE"""),20.8806502283659)</f>
        <v>20.88065023</v>
      </c>
    </row>
    <row r="888">
      <c r="A888" s="11">
        <f>IFERROR(__xludf.DUMMYFUNCTION("""COMPUTED_VALUE"""),2007.0)</f>
        <v>2007</v>
      </c>
      <c r="B888" s="11" t="str">
        <f>IFERROR(__xludf.DUMMYFUNCTION("""COMPUTED_VALUE"""),"Transporte")</f>
        <v>Transporte</v>
      </c>
      <c r="C888" s="11">
        <f>IFERROR(__xludf.DUMMYFUNCTION("""COMPUTED_VALUE"""),1.80411772635989)</f>
        <v>1.804117726</v>
      </c>
    </row>
    <row r="889">
      <c r="A889" s="11">
        <f>IFERROR(__xludf.DUMMYFUNCTION("""COMPUTED_VALUE"""),2007.0)</f>
        <v>2007</v>
      </c>
      <c r="B889" s="11" t="str">
        <f>IFERROR(__xludf.DUMMYFUNCTION("""COMPUTED_VALUE"""),"Vivienda Urbanismo")</f>
        <v>Vivienda Urbanismo</v>
      </c>
      <c r="C889" s="11">
        <f>IFERROR(__xludf.DUMMYFUNCTION("""COMPUTED_VALUE"""),0.975491384268947)</f>
        <v>0.9754913843</v>
      </c>
    </row>
    <row r="890">
      <c r="A890" s="11">
        <f>IFERROR(__xludf.DUMMYFUNCTION("""COMPUTED_VALUE"""),2008.0)</f>
        <v>2008</v>
      </c>
      <c r="B890" s="11" t="str">
        <f>IFERROR(__xludf.DUMMYFUNCTION("""COMPUTED_VALUE"""),"Administracion General")</f>
        <v>Administracion General</v>
      </c>
      <c r="C890" s="11">
        <f>IFERROR(__xludf.DUMMYFUNCTION("""COMPUTED_VALUE"""),2.66439966623086)</f>
        <v>2.664399666</v>
      </c>
    </row>
    <row r="891">
      <c r="A891" s="11">
        <f>IFERROR(__xludf.DUMMYFUNCTION("""COMPUTED_VALUE"""),2008.0)</f>
        <v>2008</v>
      </c>
      <c r="B891" s="11" t="str">
        <f>IFERROR(__xludf.DUMMYFUNCTION("""COMPUTED_VALUE"""),"Agua Alcantarillado")</f>
        <v>Agua Alcantarillado</v>
      </c>
      <c r="C891" s="11">
        <f>IFERROR(__xludf.DUMMYFUNCTION("""COMPUTED_VALUE"""),0.396276633557117)</f>
        <v>0.3962766336</v>
      </c>
    </row>
    <row r="892">
      <c r="A892" s="11">
        <f>IFERROR(__xludf.DUMMYFUNCTION("""COMPUTED_VALUE"""),2008.0)</f>
        <v>2008</v>
      </c>
      <c r="B892" s="11" t="str">
        <f>IFERROR(__xludf.DUMMYFUNCTION("""COMPUTED_VALUE"""),"Asignaciones Familiares")</f>
        <v>Asignaciones Familiares</v>
      </c>
      <c r="C892" s="11">
        <f>IFERROR(__xludf.DUMMYFUNCTION("""COMPUTED_VALUE"""),0.559033148398323)</f>
        <v>0.5590331484</v>
      </c>
    </row>
    <row r="893">
      <c r="A893" s="11">
        <f>IFERROR(__xludf.DUMMYFUNCTION("""COMPUTED_VALUE"""),2008.0)</f>
        <v>2008</v>
      </c>
      <c r="B893" s="11" t="str">
        <f>IFERROR(__xludf.DUMMYFUNCTION("""COMPUTED_VALUE"""),"Atencion Salud")</f>
        <v>Atencion Salud</v>
      </c>
      <c r="C893" s="11">
        <f>IFERROR(__xludf.DUMMYFUNCTION("""COMPUTED_VALUE"""),1.96239499875311)</f>
        <v>1.962394999</v>
      </c>
    </row>
    <row r="894">
      <c r="A894" s="11">
        <f>IFERROR(__xludf.DUMMYFUNCTION("""COMPUTED_VALUE"""),2008.0)</f>
        <v>2008</v>
      </c>
      <c r="B894" s="11" t="str">
        <f>IFERROR(__xludf.DUMMYFUNCTION("""COMPUTED_VALUE"""),"Ciencia Tecnica")</f>
        <v>Ciencia Tecnica</v>
      </c>
      <c r="C894" s="11">
        <f>IFERROR(__xludf.DUMMYFUNCTION("""COMPUTED_VALUE"""),0.237905497884278)</f>
        <v>0.2379054979</v>
      </c>
    </row>
    <row r="895">
      <c r="A895" s="11">
        <f>IFERROR(__xludf.DUMMYFUNCTION("""COMPUTED_VALUE"""),2008.0)</f>
        <v>2008</v>
      </c>
      <c r="B895" s="11" t="str">
        <f>IFERROR(__xludf.DUMMYFUNCTION("""COMPUTED_VALUE"""),"Comunicaciones")</f>
        <v>Comunicaciones</v>
      </c>
      <c r="C895" s="11">
        <f>IFERROR(__xludf.DUMMYFUNCTION("""COMPUTED_VALUE"""),0.0852742170327872)</f>
        <v>0.08527421703</v>
      </c>
    </row>
    <row r="896">
      <c r="A896" s="11">
        <f>IFERROR(__xludf.DUMMYFUNCTION("""COMPUTED_VALUE"""),2008.0)</f>
        <v>2008</v>
      </c>
      <c r="B896" s="11" t="str">
        <f>IFERROR(__xludf.DUMMYFUNCTION("""COMPUTED_VALUE"""),"Cultura")</f>
        <v>Cultura</v>
      </c>
      <c r="C896" s="11">
        <f>IFERROR(__xludf.DUMMYFUNCTION("""COMPUTED_VALUE"""),0.168468312429542)</f>
        <v>0.1684683124</v>
      </c>
    </row>
    <row r="897">
      <c r="A897" s="11">
        <f>IFERROR(__xludf.DUMMYFUNCTION("""COMPUTED_VALUE"""),2008.0)</f>
        <v>2008</v>
      </c>
      <c r="B897" s="11" t="str">
        <f>IFERROR(__xludf.DUMMYFUNCTION("""COMPUTED_VALUE"""),"Defensa Seguridad")</f>
        <v>Defensa Seguridad</v>
      </c>
      <c r="C897" s="11">
        <f>IFERROR(__xludf.DUMMYFUNCTION("""COMPUTED_VALUE"""),2.03545162422917)</f>
        <v>2.035451624</v>
      </c>
    </row>
    <row r="898">
      <c r="A898" s="11">
        <f>IFERROR(__xludf.DUMMYFUNCTION("""COMPUTED_VALUE"""),2008.0)</f>
        <v>2008</v>
      </c>
      <c r="B898" s="11" t="str">
        <f>IFERROR(__xludf.DUMMYFUNCTION("""COMPUTED_VALUE"""),"Educacion Basica")</f>
        <v>Educacion Basica</v>
      </c>
      <c r="C898" s="11">
        <f>IFERROR(__xludf.DUMMYFUNCTION("""COMPUTED_VALUE"""),3.37383135930142)</f>
        <v>3.373831359</v>
      </c>
    </row>
    <row r="899">
      <c r="A899" s="11">
        <f>IFERROR(__xludf.DUMMYFUNCTION("""COMPUTED_VALUE"""),2008.0)</f>
        <v>2008</v>
      </c>
      <c r="B899" s="11" t="str">
        <f>IFERROR(__xludf.DUMMYFUNCTION("""COMPUTED_VALUE"""),"Educacion Cultura Sin Discriminar")</f>
        <v>Educacion Cultura Sin Discriminar</v>
      </c>
      <c r="C899" s="11">
        <f>IFERROR(__xludf.DUMMYFUNCTION("""COMPUTED_VALUE"""),0.539968768176282)</f>
        <v>0.5399687682</v>
      </c>
    </row>
    <row r="900">
      <c r="A900" s="11">
        <f>IFERROR(__xludf.DUMMYFUNCTION("""COMPUTED_VALUE"""),2008.0)</f>
        <v>2008</v>
      </c>
      <c r="B900" s="11" t="str">
        <f>IFERROR(__xludf.DUMMYFUNCTION("""COMPUTED_VALUE"""),"Educacion Universitaria")</f>
        <v>Educacion Universitaria</v>
      </c>
      <c r="C900" s="11">
        <f>IFERROR(__xludf.DUMMYFUNCTION("""COMPUTED_VALUE"""),0.994412973274662)</f>
        <v>0.9944129733</v>
      </c>
    </row>
    <row r="901">
      <c r="A901" s="11">
        <f>IFERROR(__xludf.DUMMYFUNCTION("""COMPUTED_VALUE"""),2008.0)</f>
        <v>2008</v>
      </c>
      <c r="B901" s="11" t="str">
        <f>IFERROR(__xludf.DUMMYFUNCTION("""COMPUTED_VALUE"""),"Energia Combustible")</f>
        <v>Energia Combustible</v>
      </c>
      <c r="C901" s="11">
        <f>IFERROR(__xludf.DUMMYFUNCTION("""COMPUTED_VALUE"""),1.85724238236106)</f>
        <v>1.857242382</v>
      </c>
    </row>
    <row r="902">
      <c r="A902" s="11">
        <f>IFERROR(__xludf.DUMMYFUNCTION("""COMPUTED_VALUE"""),2008.0)</f>
        <v>2008</v>
      </c>
      <c r="B902" s="11" t="str">
        <f>IFERROR(__xludf.DUMMYFUNCTION("""COMPUTED_VALUE"""),"Funcionamiento Estado")</f>
        <v>Funcionamiento Estado</v>
      </c>
      <c r="C902" s="11">
        <f>IFERROR(__xludf.DUMMYFUNCTION("""COMPUTED_VALUE"""),5.48780906339034)</f>
        <v>5.487809063</v>
      </c>
    </row>
    <row r="903">
      <c r="A903" s="11">
        <f>IFERROR(__xludf.DUMMYFUNCTION("""COMPUTED_VALUE"""),2008.0)</f>
        <v>2008</v>
      </c>
      <c r="B903" s="11" t="str">
        <f>IFERROR(__xludf.DUMMYFUNCTION("""COMPUTED_VALUE"""),"Industria")</f>
        <v>Industria</v>
      </c>
      <c r="C903" s="11">
        <f>IFERROR(__xludf.DUMMYFUNCTION("""COMPUTED_VALUE"""),0.0918328410148723)</f>
        <v>0.09183284101</v>
      </c>
    </row>
    <row r="904">
      <c r="A904" s="11">
        <f>IFERROR(__xludf.DUMMYFUNCTION("""COMPUTED_VALUE"""),2008.0)</f>
        <v>2008</v>
      </c>
      <c r="B904" s="11" t="str">
        <f>IFERROR(__xludf.DUMMYFUNCTION("""COMPUTED_VALUE"""),"Inssjyp Prestaciones")</f>
        <v>Inssjyp Prestaciones</v>
      </c>
      <c r="C904" s="11">
        <f>IFERROR(__xludf.DUMMYFUNCTION("""COMPUTED_VALUE"""),0.173788060644438)</f>
        <v>0.1737880606</v>
      </c>
    </row>
    <row r="905">
      <c r="A905" s="11">
        <f>IFERROR(__xludf.DUMMYFUNCTION("""COMPUTED_VALUE"""),2008.0)</f>
        <v>2008</v>
      </c>
      <c r="B905" s="11" t="str">
        <f>IFERROR(__xludf.DUMMYFUNCTION("""COMPUTED_VALUE"""),"Inssjyp Salud")</f>
        <v>Inssjyp Salud</v>
      </c>
      <c r="C905" s="11">
        <f>IFERROR(__xludf.DUMMYFUNCTION("""COMPUTED_VALUE"""),0.634112742574472)</f>
        <v>0.6341127426</v>
      </c>
    </row>
    <row r="906">
      <c r="A906" s="11">
        <f>IFERROR(__xludf.DUMMYFUNCTION("""COMPUTED_VALUE"""),2008.0)</f>
        <v>2008</v>
      </c>
      <c r="B906" s="11" t="str">
        <f>IFERROR(__xludf.DUMMYFUNCTION("""COMPUTED_VALUE"""),"Justicia")</f>
        <v>Justicia</v>
      </c>
      <c r="C906" s="11">
        <f>IFERROR(__xludf.DUMMYFUNCTION("""COMPUTED_VALUE"""),0.787957772930309)</f>
        <v>0.7879577729</v>
      </c>
    </row>
    <row r="907">
      <c r="A907" s="11">
        <f>IFERROR(__xludf.DUMMYFUNCTION("""COMPUTED_VALUE"""),2008.0)</f>
        <v>2008</v>
      </c>
      <c r="B907" s="11" t="str">
        <f>IFERROR(__xludf.DUMMYFUNCTION("""COMPUTED_VALUE"""),"Obras Sociales Prestaciones")</f>
        <v>Obras Sociales Prestaciones</v>
      </c>
      <c r="C907" s="11">
        <f>IFERROR(__xludf.DUMMYFUNCTION("""COMPUTED_VALUE"""),0.090523670202329)</f>
        <v>0.0905236702</v>
      </c>
    </row>
    <row r="908">
      <c r="A908" s="11">
        <f>IFERROR(__xludf.DUMMYFUNCTION("""COMPUTED_VALUE"""),2008.0)</f>
        <v>2008</v>
      </c>
      <c r="B908" s="11" t="str">
        <f>IFERROR(__xludf.DUMMYFUNCTION("""COMPUTED_VALUE"""),"Obras Sociales Salud")</f>
        <v>Obras Sociales Salud</v>
      </c>
      <c r="C908" s="11">
        <f>IFERROR(__xludf.DUMMYFUNCTION("""COMPUTED_VALUE"""),1.9700361078487)</f>
        <v>1.970036108</v>
      </c>
    </row>
    <row r="909">
      <c r="A909" s="11">
        <f>IFERROR(__xludf.DUMMYFUNCTION("""COMPUTED_VALUE"""),2008.0)</f>
        <v>2008</v>
      </c>
      <c r="B909" s="11" t="str">
        <f>IFERROR(__xludf.DUMMYFUNCTION("""COMPUTED_VALUE"""),"Otros Servicios Economicos")</f>
        <v>Otros Servicios Economicos</v>
      </c>
      <c r="C909" s="11">
        <f>IFERROR(__xludf.DUMMYFUNCTION("""COMPUTED_VALUE"""),0.228285902846799)</f>
        <v>0.2282859028</v>
      </c>
    </row>
    <row r="910">
      <c r="A910" s="11">
        <f>IFERROR(__xludf.DUMMYFUNCTION("""COMPUTED_VALUE"""),2008.0)</f>
        <v>2008</v>
      </c>
      <c r="B910" s="11" t="str">
        <f>IFERROR(__xludf.DUMMYFUNCTION("""COMPUTED_VALUE"""),"Otros Servicios Urbanos")</f>
        <v>Otros Servicios Urbanos</v>
      </c>
      <c r="C910" s="11">
        <f>IFERROR(__xludf.DUMMYFUNCTION("""COMPUTED_VALUE"""),0.773339344538261)</f>
        <v>0.7733393445</v>
      </c>
    </row>
    <row r="911">
      <c r="A911" s="11">
        <f>IFERROR(__xludf.DUMMYFUNCTION("""COMPUTED_VALUE"""),2008.0)</f>
        <v>2008</v>
      </c>
      <c r="B911" s="11" t="str">
        <f>IFERROR(__xludf.DUMMYFUNCTION("""COMPUTED_VALUE"""),"Prevision Social")</f>
        <v>Prevision Social</v>
      </c>
      <c r="C911" s="11">
        <f>IFERROR(__xludf.DUMMYFUNCTION("""COMPUTED_VALUE"""),7.45324634302831)</f>
        <v>7.453246343</v>
      </c>
    </row>
    <row r="912">
      <c r="A912" s="11">
        <f>IFERROR(__xludf.DUMMYFUNCTION("""COMPUTED_VALUE"""),2008.0)</f>
        <v>2008</v>
      </c>
      <c r="B912" s="11" t="str">
        <f>IFERROR(__xludf.DUMMYFUNCTION("""COMPUTED_VALUE"""),"Produccion Primaria")</f>
        <v>Produccion Primaria</v>
      </c>
      <c r="C912" s="11">
        <f>IFERROR(__xludf.DUMMYFUNCTION("""COMPUTED_VALUE"""),0.683599065561913)</f>
        <v>0.6835990656</v>
      </c>
    </row>
    <row r="913">
      <c r="A913" s="11">
        <f>IFERROR(__xludf.DUMMYFUNCTION("""COMPUTED_VALUE"""),2008.0)</f>
        <v>2008</v>
      </c>
      <c r="B913" s="11" t="str">
        <f>IFERROR(__xludf.DUMMYFUNCTION("""COMPUTED_VALUE"""),"Programas Empleo")</f>
        <v>Programas Empleo</v>
      </c>
      <c r="C913" s="11">
        <f>IFERROR(__xludf.DUMMYFUNCTION("""COMPUTED_VALUE"""),0.368630218000629)</f>
        <v>0.368630218</v>
      </c>
    </row>
    <row r="914">
      <c r="A914" s="11">
        <f>IFERROR(__xludf.DUMMYFUNCTION("""COMPUTED_VALUE"""),2008.0)</f>
        <v>2008</v>
      </c>
      <c r="B914" s="11" t="str">
        <f>IFERROR(__xludf.DUMMYFUNCTION("""COMPUTED_VALUE"""),"Promocion Asistencia Social")</f>
        <v>Promocion Asistencia Social</v>
      </c>
      <c r="C914" s="11">
        <f>IFERROR(__xludf.DUMMYFUNCTION("""COMPUTED_VALUE"""),1.16500387811405)</f>
        <v>1.165003878</v>
      </c>
    </row>
    <row r="915">
      <c r="A915" s="11">
        <f>IFERROR(__xludf.DUMMYFUNCTION("""COMPUTED_VALUE"""),2008.0)</f>
        <v>2008</v>
      </c>
      <c r="B915" s="11" t="str">
        <f>IFERROR(__xludf.DUMMYFUNCTION("""COMPUTED_VALUE"""),"Servicios Deuda Publica")</f>
        <v>Servicios Deuda Publica</v>
      </c>
      <c r="C915" s="11">
        <f>IFERROR(__xludf.DUMMYFUNCTION("""COMPUTED_VALUE"""),2.01547937471286)</f>
        <v>2.015479375</v>
      </c>
    </row>
    <row r="916">
      <c r="A916" s="11">
        <f>IFERROR(__xludf.DUMMYFUNCTION("""COMPUTED_VALUE"""),2008.0)</f>
        <v>2008</v>
      </c>
      <c r="B916" s="11" t="str">
        <f>IFERROR(__xludf.DUMMYFUNCTION("""COMPUTED_VALUE"""),"Servicios Economicos")</f>
        <v>Servicios Economicos</v>
      </c>
      <c r="C916" s="11">
        <f>IFERROR(__xludf.DUMMYFUNCTION("""COMPUTED_VALUE"""),5.09930597378636)</f>
        <v>5.099305974</v>
      </c>
    </row>
    <row r="917">
      <c r="A917" s="11">
        <f>IFERROR(__xludf.DUMMYFUNCTION("""COMPUTED_VALUE"""),2008.0)</f>
        <v>2008</v>
      </c>
      <c r="B917" s="11" t="str">
        <f>IFERROR(__xludf.DUMMYFUNCTION("""COMPUTED_VALUE"""),"Servicios Sociales")</f>
        <v>Servicios Sociales</v>
      </c>
      <c r="C917" s="11">
        <f>IFERROR(__xludf.DUMMYFUNCTION("""COMPUTED_VALUE"""),21.7096765135007)</f>
        <v>21.70967651</v>
      </c>
    </row>
    <row r="918">
      <c r="A918" s="11">
        <f>IFERROR(__xludf.DUMMYFUNCTION("""COMPUTED_VALUE"""),2008.0)</f>
        <v>2008</v>
      </c>
      <c r="B918" s="11" t="str">
        <f>IFERROR(__xludf.DUMMYFUNCTION("""COMPUTED_VALUE"""),"Transporte")</f>
        <v>Transporte</v>
      </c>
      <c r="C918" s="11">
        <f>IFERROR(__xludf.DUMMYFUNCTION("""COMPUTED_VALUE"""),2.15307156496892)</f>
        <v>2.153071565</v>
      </c>
    </row>
    <row r="919">
      <c r="A919" s="11">
        <f>IFERROR(__xludf.DUMMYFUNCTION("""COMPUTED_VALUE"""),2008.0)</f>
        <v>2008</v>
      </c>
      <c r="B919" s="11" t="str">
        <f>IFERROR(__xludf.DUMMYFUNCTION("""COMPUTED_VALUE"""),"Vivienda Urbanismo")</f>
        <v>Vivienda Urbanismo</v>
      </c>
      <c r="C919" s="11">
        <f>IFERROR(__xludf.DUMMYFUNCTION("""COMPUTED_VALUE"""),0.848704456774765)</f>
        <v>0.8487044568</v>
      </c>
    </row>
    <row r="920">
      <c r="A920" s="11">
        <f>IFERROR(__xludf.DUMMYFUNCTION("""COMPUTED_VALUE"""),2009.0)</f>
        <v>2009</v>
      </c>
      <c r="B920" s="11" t="str">
        <f>IFERROR(__xludf.DUMMYFUNCTION("""COMPUTED_VALUE"""),"Administracion General")</f>
        <v>Administracion General</v>
      </c>
      <c r="C920" s="11">
        <f>IFERROR(__xludf.DUMMYFUNCTION("""COMPUTED_VALUE"""),3.15003210498031)</f>
        <v>3.150032105</v>
      </c>
    </row>
    <row r="921">
      <c r="A921" s="11">
        <f>IFERROR(__xludf.DUMMYFUNCTION("""COMPUTED_VALUE"""),2009.0)</f>
        <v>2009</v>
      </c>
      <c r="B921" s="11" t="str">
        <f>IFERROR(__xludf.DUMMYFUNCTION("""COMPUTED_VALUE"""),"Agua Alcantarillado")</f>
        <v>Agua Alcantarillado</v>
      </c>
      <c r="C921" s="11">
        <f>IFERROR(__xludf.DUMMYFUNCTION("""COMPUTED_VALUE"""),0.510411742013139)</f>
        <v>0.510411742</v>
      </c>
    </row>
    <row r="922">
      <c r="A922" s="11">
        <f>IFERROR(__xludf.DUMMYFUNCTION("""COMPUTED_VALUE"""),2009.0)</f>
        <v>2009</v>
      </c>
      <c r="B922" s="11" t="str">
        <f>IFERROR(__xludf.DUMMYFUNCTION("""COMPUTED_VALUE"""),"Asignaciones Familiares")</f>
        <v>Asignaciones Familiares</v>
      </c>
      <c r="C922" s="11">
        <f>IFERROR(__xludf.DUMMYFUNCTION("""COMPUTED_VALUE"""),0.689048592526543)</f>
        <v>0.6890485925</v>
      </c>
    </row>
    <row r="923">
      <c r="A923" s="11">
        <f>IFERROR(__xludf.DUMMYFUNCTION("""COMPUTED_VALUE"""),2009.0)</f>
        <v>2009</v>
      </c>
      <c r="B923" s="11" t="str">
        <f>IFERROR(__xludf.DUMMYFUNCTION("""COMPUTED_VALUE"""),"Atencion Salud")</f>
        <v>Atencion Salud</v>
      </c>
      <c r="C923" s="11">
        <f>IFERROR(__xludf.DUMMYFUNCTION("""COMPUTED_VALUE"""),2.37174815136425)</f>
        <v>2.371748151</v>
      </c>
    </row>
    <row r="924">
      <c r="A924" s="11">
        <f>IFERROR(__xludf.DUMMYFUNCTION("""COMPUTED_VALUE"""),2009.0)</f>
        <v>2009</v>
      </c>
      <c r="B924" s="11" t="str">
        <f>IFERROR(__xludf.DUMMYFUNCTION("""COMPUTED_VALUE"""),"Ciencia Tecnica")</f>
        <v>Ciencia Tecnica</v>
      </c>
      <c r="C924" s="11">
        <f>IFERROR(__xludf.DUMMYFUNCTION("""COMPUTED_VALUE"""),0.289465386320847)</f>
        <v>0.2894653863</v>
      </c>
    </row>
    <row r="925">
      <c r="A925" s="11">
        <f>IFERROR(__xludf.DUMMYFUNCTION("""COMPUTED_VALUE"""),2009.0)</f>
        <v>2009</v>
      </c>
      <c r="B925" s="11" t="str">
        <f>IFERROR(__xludf.DUMMYFUNCTION("""COMPUTED_VALUE"""),"Comunicaciones")</f>
        <v>Comunicaciones</v>
      </c>
      <c r="C925" s="11">
        <f>IFERROR(__xludf.DUMMYFUNCTION("""COMPUTED_VALUE"""),0.126999575528308)</f>
        <v>0.1269995755</v>
      </c>
    </row>
    <row r="926">
      <c r="A926" s="11">
        <f>IFERROR(__xludf.DUMMYFUNCTION("""COMPUTED_VALUE"""),2009.0)</f>
        <v>2009</v>
      </c>
      <c r="B926" s="11" t="str">
        <f>IFERROR(__xludf.DUMMYFUNCTION("""COMPUTED_VALUE"""),"Cultura")</f>
        <v>Cultura</v>
      </c>
      <c r="C926" s="11">
        <f>IFERROR(__xludf.DUMMYFUNCTION("""COMPUTED_VALUE"""),0.206248151544321)</f>
        <v>0.2062481515</v>
      </c>
    </row>
    <row r="927">
      <c r="A927" s="11">
        <f>IFERROR(__xludf.DUMMYFUNCTION("""COMPUTED_VALUE"""),2009.0)</f>
        <v>2009</v>
      </c>
      <c r="B927" s="11" t="str">
        <f>IFERROR(__xludf.DUMMYFUNCTION("""COMPUTED_VALUE"""),"Defensa Seguridad")</f>
        <v>Defensa Seguridad</v>
      </c>
      <c r="C927" s="11">
        <f>IFERROR(__xludf.DUMMYFUNCTION("""COMPUTED_VALUE"""),2.40546443574886)</f>
        <v>2.405464436</v>
      </c>
    </row>
    <row r="928">
      <c r="A928" s="11">
        <f>IFERROR(__xludf.DUMMYFUNCTION("""COMPUTED_VALUE"""),2009.0)</f>
        <v>2009</v>
      </c>
      <c r="B928" s="11" t="str">
        <f>IFERROR(__xludf.DUMMYFUNCTION("""COMPUTED_VALUE"""),"Educacion Basica")</f>
        <v>Educacion Basica</v>
      </c>
      <c r="C928" s="11">
        <f>IFERROR(__xludf.DUMMYFUNCTION("""COMPUTED_VALUE"""),3.80999962793811)</f>
        <v>3.809999628</v>
      </c>
    </row>
    <row r="929">
      <c r="A929" s="11">
        <f>IFERROR(__xludf.DUMMYFUNCTION("""COMPUTED_VALUE"""),2009.0)</f>
        <v>2009</v>
      </c>
      <c r="B929" s="11" t="str">
        <f>IFERROR(__xludf.DUMMYFUNCTION("""COMPUTED_VALUE"""),"Educacion Cultura Sin Discriminar")</f>
        <v>Educacion Cultura Sin Discriminar</v>
      </c>
      <c r="C929" s="11">
        <f>IFERROR(__xludf.DUMMYFUNCTION("""COMPUTED_VALUE"""),0.603714211983509)</f>
        <v>0.603714212</v>
      </c>
    </row>
    <row r="930">
      <c r="A930" s="11">
        <f>IFERROR(__xludf.DUMMYFUNCTION("""COMPUTED_VALUE"""),2009.0)</f>
        <v>2009</v>
      </c>
      <c r="B930" s="11" t="str">
        <f>IFERROR(__xludf.DUMMYFUNCTION("""COMPUTED_VALUE"""),"Educacion Universitaria")</f>
        <v>Educacion Universitaria</v>
      </c>
      <c r="C930" s="11">
        <f>IFERROR(__xludf.DUMMYFUNCTION("""COMPUTED_VALUE"""),1.20885333733865)</f>
        <v>1.208853337</v>
      </c>
    </row>
    <row r="931">
      <c r="A931" s="11">
        <f>IFERROR(__xludf.DUMMYFUNCTION("""COMPUTED_VALUE"""),2009.0)</f>
        <v>2009</v>
      </c>
      <c r="B931" s="11" t="str">
        <f>IFERROR(__xludf.DUMMYFUNCTION("""COMPUTED_VALUE"""),"Energia Combustible")</f>
        <v>Energia Combustible</v>
      </c>
      <c r="C931" s="11">
        <f>IFERROR(__xludf.DUMMYFUNCTION("""COMPUTED_VALUE"""),1.64282105025245)</f>
        <v>1.64282105</v>
      </c>
    </row>
    <row r="932">
      <c r="A932" s="11">
        <f>IFERROR(__xludf.DUMMYFUNCTION("""COMPUTED_VALUE"""),2009.0)</f>
        <v>2009</v>
      </c>
      <c r="B932" s="11" t="str">
        <f>IFERROR(__xludf.DUMMYFUNCTION("""COMPUTED_VALUE"""),"Funcionamiento Estado")</f>
        <v>Funcionamiento Estado</v>
      </c>
      <c r="C932" s="11">
        <f>IFERROR(__xludf.DUMMYFUNCTION("""COMPUTED_VALUE"""),6.45830778578436)</f>
        <v>6.458307786</v>
      </c>
    </row>
    <row r="933">
      <c r="A933" s="11">
        <f>IFERROR(__xludf.DUMMYFUNCTION("""COMPUTED_VALUE"""),2009.0)</f>
        <v>2009</v>
      </c>
      <c r="B933" s="11" t="str">
        <f>IFERROR(__xludf.DUMMYFUNCTION("""COMPUTED_VALUE"""),"Industria")</f>
        <v>Industria</v>
      </c>
      <c r="C933" s="11">
        <f>IFERROR(__xludf.DUMMYFUNCTION("""COMPUTED_VALUE"""),0.103371486364576)</f>
        <v>0.1033714864</v>
      </c>
    </row>
    <row r="934">
      <c r="A934" s="11">
        <f>IFERROR(__xludf.DUMMYFUNCTION("""COMPUTED_VALUE"""),2009.0)</f>
        <v>2009</v>
      </c>
      <c r="B934" s="11" t="str">
        <f>IFERROR(__xludf.DUMMYFUNCTION("""COMPUTED_VALUE"""),"Inssjyp Prestaciones")</f>
        <v>Inssjyp Prestaciones</v>
      </c>
      <c r="C934" s="11">
        <f>IFERROR(__xludf.DUMMYFUNCTION("""COMPUTED_VALUE"""),0.197058320305484)</f>
        <v>0.1970583203</v>
      </c>
    </row>
    <row r="935">
      <c r="A935" s="11">
        <f>IFERROR(__xludf.DUMMYFUNCTION("""COMPUTED_VALUE"""),2009.0)</f>
        <v>2009</v>
      </c>
      <c r="B935" s="11" t="str">
        <f>IFERROR(__xludf.DUMMYFUNCTION("""COMPUTED_VALUE"""),"Inssjyp Salud")</f>
        <v>Inssjyp Salud</v>
      </c>
      <c r="C935" s="11">
        <f>IFERROR(__xludf.DUMMYFUNCTION("""COMPUTED_VALUE"""),0.847111435503241)</f>
        <v>0.8471114355</v>
      </c>
    </row>
    <row r="936">
      <c r="A936" s="11">
        <f>IFERROR(__xludf.DUMMYFUNCTION("""COMPUTED_VALUE"""),2009.0)</f>
        <v>2009</v>
      </c>
      <c r="B936" s="11" t="str">
        <f>IFERROR(__xludf.DUMMYFUNCTION("""COMPUTED_VALUE"""),"Justicia")</f>
        <v>Justicia</v>
      </c>
      <c r="C936" s="11">
        <f>IFERROR(__xludf.DUMMYFUNCTION("""COMPUTED_VALUE"""),0.902811245055187)</f>
        <v>0.9028112451</v>
      </c>
    </row>
    <row r="937">
      <c r="A937" s="11">
        <f>IFERROR(__xludf.DUMMYFUNCTION("""COMPUTED_VALUE"""),2009.0)</f>
        <v>2009</v>
      </c>
      <c r="B937" s="11" t="str">
        <f>IFERROR(__xludf.DUMMYFUNCTION("""COMPUTED_VALUE"""),"Obras Sociales Prestaciones")</f>
        <v>Obras Sociales Prestaciones</v>
      </c>
      <c r="C937" s="11">
        <f>IFERROR(__xludf.DUMMYFUNCTION("""COMPUTED_VALUE"""),0.127036713476017)</f>
        <v>0.1270367135</v>
      </c>
    </row>
    <row r="938">
      <c r="A938" s="11">
        <f>IFERROR(__xludf.DUMMYFUNCTION("""COMPUTED_VALUE"""),2009.0)</f>
        <v>2009</v>
      </c>
      <c r="B938" s="11" t="str">
        <f>IFERROR(__xludf.DUMMYFUNCTION("""COMPUTED_VALUE"""),"Obras Sociales Salud")</f>
        <v>Obras Sociales Salud</v>
      </c>
      <c r="C938" s="11">
        <f>IFERROR(__xludf.DUMMYFUNCTION("""COMPUTED_VALUE"""),2.58085636276935)</f>
        <v>2.580856363</v>
      </c>
    </row>
    <row r="939">
      <c r="A939" s="11">
        <f>IFERROR(__xludf.DUMMYFUNCTION("""COMPUTED_VALUE"""),2009.0)</f>
        <v>2009</v>
      </c>
      <c r="B939" s="11" t="str">
        <f>IFERROR(__xludf.DUMMYFUNCTION("""COMPUTED_VALUE"""),"Otros Servicios Economicos")</f>
        <v>Otros Servicios Economicos</v>
      </c>
      <c r="C939" s="11">
        <f>IFERROR(__xludf.DUMMYFUNCTION("""COMPUTED_VALUE"""),0.225215859255372)</f>
        <v>0.2252158593</v>
      </c>
    </row>
    <row r="940">
      <c r="A940" s="11">
        <f>IFERROR(__xludf.DUMMYFUNCTION("""COMPUTED_VALUE"""),2009.0)</f>
        <v>2009</v>
      </c>
      <c r="B940" s="11" t="str">
        <f>IFERROR(__xludf.DUMMYFUNCTION("""COMPUTED_VALUE"""),"Otros Servicios Urbanos")</f>
        <v>Otros Servicios Urbanos</v>
      </c>
      <c r="C940" s="11">
        <f>IFERROR(__xludf.DUMMYFUNCTION("""COMPUTED_VALUE"""),0.832600537187116)</f>
        <v>0.8326005372</v>
      </c>
    </row>
    <row r="941">
      <c r="A941" s="11">
        <f>IFERROR(__xludf.DUMMYFUNCTION("""COMPUTED_VALUE"""),2009.0)</f>
        <v>2009</v>
      </c>
      <c r="B941" s="11" t="str">
        <f>IFERROR(__xludf.DUMMYFUNCTION("""COMPUTED_VALUE"""),"Prevision Social")</f>
        <v>Prevision Social</v>
      </c>
      <c r="C941" s="11">
        <f>IFERROR(__xludf.DUMMYFUNCTION("""COMPUTED_VALUE"""),8.83054647749482)</f>
        <v>8.830546477</v>
      </c>
    </row>
    <row r="942">
      <c r="A942" s="11">
        <f>IFERROR(__xludf.DUMMYFUNCTION("""COMPUTED_VALUE"""),2009.0)</f>
        <v>2009</v>
      </c>
      <c r="B942" s="11" t="str">
        <f>IFERROR(__xludf.DUMMYFUNCTION("""COMPUTED_VALUE"""),"Produccion Primaria")</f>
        <v>Produccion Primaria</v>
      </c>
      <c r="C942" s="11">
        <f>IFERROR(__xludf.DUMMYFUNCTION("""COMPUTED_VALUE"""),0.617234208112189)</f>
        <v>0.6172342081</v>
      </c>
    </row>
    <row r="943">
      <c r="A943" s="11">
        <f>IFERROR(__xludf.DUMMYFUNCTION("""COMPUTED_VALUE"""),2009.0)</f>
        <v>2009</v>
      </c>
      <c r="B943" s="11" t="str">
        <f>IFERROR(__xludf.DUMMYFUNCTION("""COMPUTED_VALUE"""),"Programas Empleo")</f>
        <v>Programas Empleo</v>
      </c>
      <c r="C943" s="11">
        <f>IFERROR(__xludf.DUMMYFUNCTION("""COMPUTED_VALUE"""),0.398414546049386)</f>
        <v>0.398414546</v>
      </c>
    </row>
    <row r="944">
      <c r="A944" s="11">
        <f>IFERROR(__xludf.DUMMYFUNCTION("""COMPUTED_VALUE"""),2009.0)</f>
        <v>2009</v>
      </c>
      <c r="B944" s="11" t="str">
        <f>IFERROR(__xludf.DUMMYFUNCTION("""COMPUTED_VALUE"""),"Promocion Asistencia Social")</f>
        <v>Promocion Asistencia Social</v>
      </c>
      <c r="C944" s="11">
        <f>IFERROR(__xludf.DUMMYFUNCTION("""COMPUTED_VALUE"""),1.38537371633097)</f>
        <v>1.385373716</v>
      </c>
    </row>
    <row r="945">
      <c r="A945" s="11">
        <f>IFERROR(__xludf.DUMMYFUNCTION("""COMPUTED_VALUE"""),2009.0)</f>
        <v>2009</v>
      </c>
      <c r="B945" s="11" t="str">
        <f>IFERROR(__xludf.DUMMYFUNCTION("""COMPUTED_VALUE"""),"Servicios Deuda Publica")</f>
        <v>Servicios Deuda Publica</v>
      </c>
      <c r="C945" s="11">
        <f>IFERROR(__xludf.DUMMYFUNCTION("""COMPUTED_VALUE"""),2.25533130787075)</f>
        <v>2.255331308</v>
      </c>
    </row>
    <row r="946">
      <c r="A946" s="11">
        <f>IFERROR(__xludf.DUMMYFUNCTION("""COMPUTED_VALUE"""),2009.0)</f>
        <v>2009</v>
      </c>
      <c r="B946" s="11" t="str">
        <f>IFERROR(__xludf.DUMMYFUNCTION("""COMPUTED_VALUE"""),"Servicios Economicos")</f>
        <v>Servicios Economicos</v>
      </c>
      <c r="C946" s="11">
        <f>IFERROR(__xludf.DUMMYFUNCTION("""COMPUTED_VALUE"""),5.21951456648154)</f>
        <v>5.219514566</v>
      </c>
    </row>
    <row r="947">
      <c r="A947" s="11">
        <f>IFERROR(__xludf.DUMMYFUNCTION("""COMPUTED_VALUE"""),2009.0)</f>
        <v>2009</v>
      </c>
      <c r="B947" s="11" t="str">
        <f>IFERROR(__xludf.DUMMYFUNCTION("""COMPUTED_VALUE"""),"Servicios Sociales")</f>
        <v>Servicios Sociales</v>
      </c>
      <c r="C947" s="11">
        <f>IFERROR(__xludf.DUMMYFUNCTION("""COMPUTED_VALUE"""),25.9314126004414)</f>
        <v>25.9314126</v>
      </c>
    </row>
    <row r="948">
      <c r="A948" s="11">
        <f>IFERROR(__xludf.DUMMYFUNCTION("""COMPUTED_VALUE"""),2009.0)</f>
        <v>2009</v>
      </c>
      <c r="B948" s="11" t="str">
        <f>IFERROR(__xludf.DUMMYFUNCTION("""COMPUTED_VALUE"""),"Transporte")</f>
        <v>Transporte</v>
      </c>
      <c r="C948" s="11">
        <f>IFERROR(__xludf.DUMMYFUNCTION("""COMPUTED_VALUE"""),2.50387238696864)</f>
        <v>2.503872387</v>
      </c>
    </row>
    <row r="949">
      <c r="A949" s="11">
        <f>IFERROR(__xludf.DUMMYFUNCTION("""COMPUTED_VALUE"""),2009.0)</f>
        <v>2009</v>
      </c>
      <c r="B949" s="11" t="str">
        <f>IFERROR(__xludf.DUMMYFUNCTION("""COMPUTED_VALUE"""),"Vivienda Urbanismo")</f>
        <v>Vivienda Urbanismo</v>
      </c>
      <c r="C949" s="11">
        <f>IFERROR(__xludf.DUMMYFUNCTION("""COMPUTED_VALUE"""),1.04292529029561)</f>
        <v>1.04292529</v>
      </c>
    </row>
    <row r="950">
      <c r="A950" s="11">
        <f>IFERROR(__xludf.DUMMYFUNCTION("""COMPUTED_VALUE"""),2010.0)</f>
        <v>2010</v>
      </c>
      <c r="B950" s="11" t="str">
        <f>IFERROR(__xludf.DUMMYFUNCTION("""COMPUTED_VALUE"""),"Administracion General")</f>
        <v>Administracion General</v>
      </c>
      <c r="C950" s="11">
        <f>IFERROR(__xludf.DUMMYFUNCTION("""COMPUTED_VALUE"""),2.94750955018514)</f>
        <v>2.94750955</v>
      </c>
    </row>
    <row r="951">
      <c r="A951" s="11">
        <f>IFERROR(__xludf.DUMMYFUNCTION("""COMPUTED_VALUE"""),2010.0)</f>
        <v>2010</v>
      </c>
      <c r="B951" s="11" t="str">
        <f>IFERROR(__xludf.DUMMYFUNCTION("""COMPUTED_VALUE"""),"Agua Alcantarillado")</f>
        <v>Agua Alcantarillado</v>
      </c>
      <c r="C951" s="11">
        <f>IFERROR(__xludf.DUMMYFUNCTION("""COMPUTED_VALUE"""),0.520247516453483)</f>
        <v>0.5202475165</v>
      </c>
    </row>
    <row r="952">
      <c r="A952" s="11">
        <f>IFERROR(__xludf.DUMMYFUNCTION("""COMPUTED_VALUE"""),2010.0)</f>
        <v>2010</v>
      </c>
      <c r="B952" s="11" t="str">
        <f>IFERROR(__xludf.DUMMYFUNCTION("""COMPUTED_VALUE"""),"Asignaciones Familiares")</f>
        <v>Asignaciones Familiares</v>
      </c>
      <c r="C952" s="11">
        <f>IFERROR(__xludf.DUMMYFUNCTION("""COMPUTED_VALUE"""),0.909066790849425)</f>
        <v>0.9090667908</v>
      </c>
    </row>
    <row r="953">
      <c r="A953" s="11">
        <f>IFERROR(__xludf.DUMMYFUNCTION("""COMPUTED_VALUE"""),2010.0)</f>
        <v>2010</v>
      </c>
      <c r="B953" s="11" t="str">
        <f>IFERROR(__xludf.DUMMYFUNCTION("""COMPUTED_VALUE"""),"Atencion Salud")</f>
        <v>Atencion Salud</v>
      </c>
      <c r="C953" s="11">
        <f>IFERROR(__xludf.DUMMYFUNCTION("""COMPUTED_VALUE"""),2.24890858472346)</f>
        <v>2.248908585</v>
      </c>
    </row>
    <row r="954">
      <c r="A954" s="11">
        <f>IFERROR(__xludf.DUMMYFUNCTION("""COMPUTED_VALUE"""),2010.0)</f>
        <v>2010</v>
      </c>
      <c r="B954" s="11" t="str">
        <f>IFERROR(__xludf.DUMMYFUNCTION("""COMPUTED_VALUE"""),"Ciencia Tecnica")</f>
        <v>Ciencia Tecnica</v>
      </c>
      <c r="C954" s="11">
        <f>IFERROR(__xludf.DUMMYFUNCTION("""COMPUTED_VALUE"""),0.269822609921411)</f>
        <v>0.2698226099</v>
      </c>
    </row>
    <row r="955">
      <c r="A955" s="11">
        <f>IFERROR(__xludf.DUMMYFUNCTION("""COMPUTED_VALUE"""),2010.0)</f>
        <v>2010</v>
      </c>
      <c r="B955" s="11" t="str">
        <f>IFERROR(__xludf.DUMMYFUNCTION("""COMPUTED_VALUE"""),"Comunicaciones")</f>
        <v>Comunicaciones</v>
      </c>
      <c r="C955" s="11">
        <f>IFERROR(__xludf.DUMMYFUNCTION("""COMPUTED_VALUE"""),0.227039106002937)</f>
        <v>0.227039106</v>
      </c>
    </row>
    <row r="956">
      <c r="A956" s="11">
        <f>IFERROR(__xludf.DUMMYFUNCTION("""COMPUTED_VALUE"""),2010.0)</f>
        <v>2010</v>
      </c>
      <c r="B956" s="11" t="str">
        <f>IFERROR(__xludf.DUMMYFUNCTION("""COMPUTED_VALUE"""),"Cultura")</f>
        <v>Cultura</v>
      </c>
      <c r="C956" s="11">
        <f>IFERROR(__xludf.DUMMYFUNCTION("""COMPUTED_VALUE"""),0.206793401316504)</f>
        <v>0.2067934013</v>
      </c>
    </row>
    <row r="957">
      <c r="A957" s="11">
        <f>IFERROR(__xludf.DUMMYFUNCTION("""COMPUTED_VALUE"""),2010.0)</f>
        <v>2010</v>
      </c>
      <c r="B957" s="11" t="str">
        <f>IFERROR(__xludf.DUMMYFUNCTION("""COMPUTED_VALUE"""),"Defensa Seguridad")</f>
        <v>Defensa Seguridad</v>
      </c>
      <c r="C957" s="11">
        <f>IFERROR(__xludf.DUMMYFUNCTION("""COMPUTED_VALUE"""),2.37834107467209)</f>
        <v>2.378341075</v>
      </c>
    </row>
    <row r="958">
      <c r="A958" s="11">
        <f>IFERROR(__xludf.DUMMYFUNCTION("""COMPUTED_VALUE"""),2010.0)</f>
        <v>2010</v>
      </c>
      <c r="B958" s="11" t="str">
        <f>IFERROR(__xludf.DUMMYFUNCTION("""COMPUTED_VALUE"""),"Educacion Basica")</f>
        <v>Educacion Basica</v>
      </c>
      <c r="C958" s="11">
        <f>IFERROR(__xludf.DUMMYFUNCTION("""COMPUTED_VALUE"""),3.48812956054585)</f>
        <v>3.488129561</v>
      </c>
    </row>
    <row r="959">
      <c r="A959" s="11">
        <f>IFERROR(__xludf.DUMMYFUNCTION("""COMPUTED_VALUE"""),2010.0)</f>
        <v>2010</v>
      </c>
      <c r="B959" s="11" t="str">
        <f>IFERROR(__xludf.DUMMYFUNCTION("""COMPUTED_VALUE"""),"Educacion Cultura Sin Discriminar")</f>
        <v>Educacion Cultura Sin Discriminar</v>
      </c>
      <c r="C959" s="11">
        <f>IFERROR(__xludf.DUMMYFUNCTION("""COMPUTED_VALUE"""),0.495620910207351)</f>
        <v>0.4956209102</v>
      </c>
    </row>
    <row r="960">
      <c r="A960" s="11">
        <f>IFERROR(__xludf.DUMMYFUNCTION("""COMPUTED_VALUE"""),2010.0)</f>
        <v>2010</v>
      </c>
      <c r="B960" s="11" t="str">
        <f>IFERROR(__xludf.DUMMYFUNCTION("""COMPUTED_VALUE"""),"Educacion Universitaria")</f>
        <v>Educacion Universitaria</v>
      </c>
      <c r="C960" s="11">
        <f>IFERROR(__xludf.DUMMYFUNCTION("""COMPUTED_VALUE"""),1.15325165046777)</f>
        <v>1.15325165</v>
      </c>
    </row>
    <row r="961">
      <c r="A961" s="11">
        <f>IFERROR(__xludf.DUMMYFUNCTION("""COMPUTED_VALUE"""),2010.0)</f>
        <v>2010</v>
      </c>
      <c r="B961" s="11" t="str">
        <f>IFERROR(__xludf.DUMMYFUNCTION("""COMPUTED_VALUE"""),"Energia Combustible")</f>
        <v>Energia Combustible</v>
      </c>
      <c r="C961" s="11">
        <f>IFERROR(__xludf.DUMMYFUNCTION("""COMPUTED_VALUE"""),1.92577879957479)</f>
        <v>1.9257788</v>
      </c>
    </row>
    <row r="962">
      <c r="A962" s="11">
        <f>IFERROR(__xludf.DUMMYFUNCTION("""COMPUTED_VALUE"""),2010.0)</f>
        <v>2010</v>
      </c>
      <c r="B962" s="11" t="str">
        <f>IFERROR(__xludf.DUMMYFUNCTION("""COMPUTED_VALUE"""),"Funcionamiento Estado")</f>
        <v>Funcionamiento Estado</v>
      </c>
      <c r="C962" s="11">
        <f>IFERROR(__xludf.DUMMYFUNCTION("""COMPUTED_VALUE"""),6.19765678837581)</f>
        <v>6.197656788</v>
      </c>
    </row>
    <row r="963">
      <c r="A963" s="11">
        <f>IFERROR(__xludf.DUMMYFUNCTION("""COMPUTED_VALUE"""),2010.0)</f>
        <v>2010</v>
      </c>
      <c r="B963" s="11" t="str">
        <f>IFERROR(__xludf.DUMMYFUNCTION("""COMPUTED_VALUE"""),"Industria")</f>
        <v>Industria</v>
      </c>
      <c r="C963" s="11">
        <f>IFERROR(__xludf.DUMMYFUNCTION("""COMPUTED_VALUE"""),0.113019911356371)</f>
        <v>0.1130199114</v>
      </c>
    </row>
    <row r="964">
      <c r="A964" s="11">
        <f>IFERROR(__xludf.DUMMYFUNCTION("""COMPUTED_VALUE"""),2010.0)</f>
        <v>2010</v>
      </c>
      <c r="B964" s="11" t="str">
        <f>IFERROR(__xludf.DUMMYFUNCTION("""COMPUTED_VALUE"""),"Inssjyp Prestaciones")</f>
        <v>Inssjyp Prestaciones</v>
      </c>
      <c r="C964" s="11">
        <f>IFERROR(__xludf.DUMMYFUNCTION("""COMPUTED_VALUE"""),0.184114431992099)</f>
        <v>0.184114432</v>
      </c>
    </row>
    <row r="965">
      <c r="A965" s="11">
        <f>IFERROR(__xludf.DUMMYFUNCTION("""COMPUTED_VALUE"""),2010.0)</f>
        <v>2010</v>
      </c>
      <c r="B965" s="11" t="str">
        <f>IFERROR(__xludf.DUMMYFUNCTION("""COMPUTED_VALUE"""),"Inssjyp Salud")</f>
        <v>Inssjyp Salud</v>
      </c>
      <c r="C965" s="11">
        <f>IFERROR(__xludf.DUMMYFUNCTION("""COMPUTED_VALUE"""),0.839372709227616)</f>
        <v>0.8393727092</v>
      </c>
    </row>
    <row r="966">
      <c r="A966" s="11">
        <f>IFERROR(__xludf.DUMMYFUNCTION("""COMPUTED_VALUE"""),2010.0)</f>
        <v>2010</v>
      </c>
      <c r="B966" s="11" t="str">
        <f>IFERROR(__xludf.DUMMYFUNCTION("""COMPUTED_VALUE"""),"Justicia")</f>
        <v>Justicia</v>
      </c>
      <c r="C966" s="11">
        <f>IFERROR(__xludf.DUMMYFUNCTION("""COMPUTED_VALUE"""),0.871806163518575)</f>
        <v>0.8718061635</v>
      </c>
    </row>
    <row r="967">
      <c r="A967" s="11">
        <f>IFERROR(__xludf.DUMMYFUNCTION("""COMPUTED_VALUE"""),2010.0)</f>
        <v>2010</v>
      </c>
      <c r="B967" s="11" t="str">
        <f>IFERROR(__xludf.DUMMYFUNCTION("""COMPUTED_VALUE"""),"Obras Sociales Prestaciones")</f>
        <v>Obras Sociales Prestaciones</v>
      </c>
      <c r="C967" s="11">
        <f>IFERROR(__xludf.DUMMYFUNCTION("""COMPUTED_VALUE"""),0.124834069276533)</f>
        <v>0.1248340693</v>
      </c>
    </row>
    <row r="968">
      <c r="A968" s="11">
        <f>IFERROR(__xludf.DUMMYFUNCTION("""COMPUTED_VALUE"""),2010.0)</f>
        <v>2010</v>
      </c>
      <c r="B968" s="11" t="str">
        <f>IFERROR(__xludf.DUMMYFUNCTION("""COMPUTED_VALUE"""),"Obras Sociales Salud")</f>
        <v>Obras Sociales Salud</v>
      </c>
      <c r="C968" s="11">
        <f>IFERROR(__xludf.DUMMYFUNCTION("""COMPUTED_VALUE"""),2.52593312225193)</f>
        <v>2.525933122</v>
      </c>
    </row>
    <row r="969">
      <c r="A969" s="11">
        <f>IFERROR(__xludf.DUMMYFUNCTION("""COMPUTED_VALUE"""),2010.0)</f>
        <v>2010</v>
      </c>
      <c r="B969" s="11" t="str">
        <f>IFERROR(__xludf.DUMMYFUNCTION("""COMPUTED_VALUE"""),"Otros Servicios Economicos")</f>
        <v>Otros Servicios Economicos</v>
      </c>
      <c r="C969" s="11">
        <f>IFERROR(__xludf.DUMMYFUNCTION("""COMPUTED_VALUE"""),0.279087549829586)</f>
        <v>0.2790875498</v>
      </c>
    </row>
    <row r="970">
      <c r="A970" s="11">
        <f>IFERROR(__xludf.DUMMYFUNCTION("""COMPUTED_VALUE"""),2010.0)</f>
        <v>2010</v>
      </c>
      <c r="B970" s="11" t="str">
        <f>IFERROR(__xludf.DUMMYFUNCTION("""COMPUTED_VALUE"""),"Otros Servicios Urbanos")</f>
        <v>Otros Servicios Urbanos</v>
      </c>
      <c r="C970" s="11">
        <f>IFERROR(__xludf.DUMMYFUNCTION("""COMPUTED_VALUE"""),0.826336889373487)</f>
        <v>0.8263368894</v>
      </c>
    </row>
    <row r="971">
      <c r="A971" s="11">
        <f>IFERROR(__xludf.DUMMYFUNCTION("""COMPUTED_VALUE"""),2010.0)</f>
        <v>2010</v>
      </c>
      <c r="B971" s="11" t="str">
        <f>IFERROR(__xludf.DUMMYFUNCTION("""COMPUTED_VALUE"""),"Prevision Social")</f>
        <v>Prevision Social</v>
      </c>
      <c r="C971" s="11">
        <f>IFERROR(__xludf.DUMMYFUNCTION("""COMPUTED_VALUE"""),8.41209150218817)</f>
        <v>8.412091502</v>
      </c>
    </row>
    <row r="972">
      <c r="A972" s="11">
        <f>IFERROR(__xludf.DUMMYFUNCTION("""COMPUTED_VALUE"""),2010.0)</f>
        <v>2010</v>
      </c>
      <c r="B972" s="11" t="str">
        <f>IFERROR(__xludf.DUMMYFUNCTION("""COMPUTED_VALUE"""),"Produccion Primaria")</f>
        <v>Produccion Primaria</v>
      </c>
      <c r="C972" s="11">
        <f>IFERROR(__xludf.DUMMYFUNCTION("""COMPUTED_VALUE"""),0.622283472004678)</f>
        <v>0.622283472</v>
      </c>
    </row>
    <row r="973">
      <c r="A973" s="11">
        <f>IFERROR(__xludf.DUMMYFUNCTION("""COMPUTED_VALUE"""),2010.0)</f>
        <v>2010</v>
      </c>
      <c r="B973" s="11" t="str">
        <f>IFERROR(__xludf.DUMMYFUNCTION("""COMPUTED_VALUE"""),"Programas Empleo")</f>
        <v>Programas Empleo</v>
      </c>
      <c r="C973" s="11">
        <f>IFERROR(__xludf.DUMMYFUNCTION("""COMPUTED_VALUE"""),0.285002296584542)</f>
        <v>0.2850022966</v>
      </c>
    </row>
    <row r="974">
      <c r="A974" s="11">
        <f>IFERROR(__xludf.DUMMYFUNCTION("""COMPUTED_VALUE"""),2010.0)</f>
        <v>2010</v>
      </c>
      <c r="B974" s="11" t="str">
        <f>IFERROR(__xludf.DUMMYFUNCTION("""COMPUTED_VALUE"""),"Promocion Asistencia Social")</f>
        <v>Promocion Asistencia Social</v>
      </c>
      <c r="C974" s="11">
        <f>IFERROR(__xludf.DUMMYFUNCTION("""COMPUTED_VALUE"""),1.33854600554749)</f>
        <v>1.338546006</v>
      </c>
    </row>
    <row r="975">
      <c r="A975" s="11">
        <f>IFERROR(__xludf.DUMMYFUNCTION("""COMPUTED_VALUE"""),2010.0)</f>
        <v>2010</v>
      </c>
      <c r="B975" s="11" t="str">
        <f>IFERROR(__xludf.DUMMYFUNCTION("""COMPUTED_VALUE"""),"Servicios Deuda Publica")</f>
        <v>Servicios Deuda Publica</v>
      </c>
      <c r="C975" s="11">
        <f>IFERROR(__xludf.DUMMYFUNCTION("""COMPUTED_VALUE"""),1.59069773167205)</f>
        <v>1.590697732</v>
      </c>
    </row>
    <row r="976">
      <c r="A976" s="11">
        <f>IFERROR(__xludf.DUMMYFUNCTION("""COMPUTED_VALUE"""),2010.0)</f>
        <v>2010</v>
      </c>
      <c r="B976" s="11" t="str">
        <f>IFERROR(__xludf.DUMMYFUNCTION("""COMPUTED_VALUE"""),"Servicios Economicos")</f>
        <v>Servicios Economicos</v>
      </c>
      <c r="C976" s="11">
        <f>IFERROR(__xludf.DUMMYFUNCTION("""COMPUTED_VALUE"""),5.7177131812187)</f>
        <v>5.717713181</v>
      </c>
    </row>
    <row r="977">
      <c r="A977" s="11">
        <f>IFERROR(__xludf.DUMMYFUNCTION("""COMPUTED_VALUE"""),2010.0)</f>
        <v>2010</v>
      </c>
      <c r="B977" s="11" t="str">
        <f>IFERROR(__xludf.DUMMYFUNCTION("""COMPUTED_VALUE"""),"Servicios Sociales")</f>
        <v>Servicios Sociales</v>
      </c>
      <c r="C977" s="11">
        <f>IFERROR(__xludf.DUMMYFUNCTION("""COMPUTED_VALUE"""),24.7640475901848)</f>
        <v>24.76404759</v>
      </c>
    </row>
    <row r="978">
      <c r="A978" s="11">
        <f>IFERROR(__xludf.DUMMYFUNCTION("""COMPUTED_VALUE"""),2010.0)</f>
        <v>2010</v>
      </c>
      <c r="B978" s="11" t="str">
        <f>IFERROR(__xludf.DUMMYFUNCTION("""COMPUTED_VALUE"""),"Transporte")</f>
        <v>Transporte</v>
      </c>
      <c r="C978" s="11">
        <f>IFERROR(__xludf.DUMMYFUNCTION("""COMPUTED_VALUE"""),2.55050434245033)</f>
        <v>2.550504342</v>
      </c>
    </row>
    <row r="979">
      <c r="A979" s="11">
        <f>IFERROR(__xludf.DUMMYFUNCTION("""COMPUTED_VALUE"""),2010.0)</f>
        <v>2010</v>
      </c>
      <c r="B979" s="11" t="str">
        <f>IFERROR(__xludf.DUMMYFUNCTION("""COMPUTED_VALUE"""),"Vivienda Urbanismo")</f>
        <v>Vivienda Urbanismo</v>
      </c>
      <c r="C979" s="11">
        <f>IFERROR(__xludf.DUMMYFUNCTION("""COMPUTED_VALUE"""),0.935975539257669)</f>
        <v>0.9359755393</v>
      </c>
    </row>
    <row r="980">
      <c r="A980" s="11">
        <f>IFERROR(__xludf.DUMMYFUNCTION("""COMPUTED_VALUE"""),2011.0)</f>
        <v>2011</v>
      </c>
      <c r="B980" s="11" t="str">
        <f>IFERROR(__xludf.DUMMYFUNCTION("""COMPUTED_VALUE"""),"Administracion General")</f>
        <v>Administracion General</v>
      </c>
      <c r="C980" s="11">
        <f>IFERROR(__xludf.DUMMYFUNCTION("""COMPUTED_VALUE"""),2.90777863598195)</f>
        <v>2.907778636</v>
      </c>
    </row>
    <row r="981">
      <c r="A981" s="11">
        <f>IFERROR(__xludf.DUMMYFUNCTION("""COMPUTED_VALUE"""),2011.0)</f>
        <v>2011</v>
      </c>
      <c r="B981" s="11" t="str">
        <f>IFERROR(__xludf.DUMMYFUNCTION("""COMPUTED_VALUE"""),"Agua Alcantarillado")</f>
        <v>Agua Alcantarillado</v>
      </c>
      <c r="C981" s="11">
        <f>IFERROR(__xludf.DUMMYFUNCTION("""COMPUTED_VALUE"""),0.592376592148648)</f>
        <v>0.5923765921</v>
      </c>
    </row>
    <row r="982">
      <c r="A982" s="11">
        <f>IFERROR(__xludf.DUMMYFUNCTION("""COMPUTED_VALUE"""),2011.0)</f>
        <v>2011</v>
      </c>
      <c r="B982" s="11" t="str">
        <f>IFERROR(__xludf.DUMMYFUNCTION("""COMPUTED_VALUE"""),"Asignaciones Familiares")</f>
        <v>Asignaciones Familiares</v>
      </c>
      <c r="C982" s="11">
        <f>IFERROR(__xludf.DUMMYFUNCTION("""COMPUTED_VALUE"""),0.920404212129387)</f>
        <v>0.9204042121</v>
      </c>
    </row>
    <row r="983">
      <c r="A983" s="11">
        <f>IFERROR(__xludf.DUMMYFUNCTION("""COMPUTED_VALUE"""),2011.0)</f>
        <v>2011</v>
      </c>
      <c r="B983" s="11" t="str">
        <f>IFERROR(__xludf.DUMMYFUNCTION("""COMPUTED_VALUE"""),"Atencion Salud")</f>
        <v>Atencion Salud</v>
      </c>
      <c r="C983" s="11">
        <f>IFERROR(__xludf.DUMMYFUNCTION("""COMPUTED_VALUE"""),2.33914973035098)</f>
        <v>2.33914973</v>
      </c>
    </row>
    <row r="984">
      <c r="A984" s="11">
        <f>IFERROR(__xludf.DUMMYFUNCTION("""COMPUTED_VALUE"""),2011.0)</f>
        <v>2011</v>
      </c>
      <c r="B984" s="11" t="str">
        <f>IFERROR(__xludf.DUMMYFUNCTION("""COMPUTED_VALUE"""),"Ciencia Tecnica")</f>
        <v>Ciencia Tecnica</v>
      </c>
      <c r="C984" s="11">
        <f>IFERROR(__xludf.DUMMYFUNCTION("""COMPUTED_VALUE"""),0.267019808386573)</f>
        <v>0.2670198084</v>
      </c>
    </row>
    <row r="985">
      <c r="A985" s="11">
        <f>IFERROR(__xludf.DUMMYFUNCTION("""COMPUTED_VALUE"""),2011.0)</f>
        <v>2011</v>
      </c>
      <c r="B985" s="11" t="str">
        <f>IFERROR(__xludf.DUMMYFUNCTION("""COMPUTED_VALUE"""),"Comunicaciones")</f>
        <v>Comunicaciones</v>
      </c>
      <c r="C985" s="11">
        <f>IFERROR(__xludf.DUMMYFUNCTION("""COMPUTED_VALUE"""),0.239648743347799)</f>
        <v>0.2396487433</v>
      </c>
    </row>
    <row r="986">
      <c r="A986" s="11">
        <f>IFERROR(__xludf.DUMMYFUNCTION("""COMPUTED_VALUE"""),2011.0)</f>
        <v>2011</v>
      </c>
      <c r="B986" s="11" t="str">
        <f>IFERROR(__xludf.DUMMYFUNCTION("""COMPUTED_VALUE"""),"Cultura")</f>
        <v>Cultura</v>
      </c>
      <c r="C986" s="11">
        <f>IFERROR(__xludf.DUMMYFUNCTION("""COMPUTED_VALUE"""),0.21060460856473)</f>
        <v>0.2106046086</v>
      </c>
    </row>
    <row r="987">
      <c r="A987" s="11">
        <f>IFERROR(__xludf.DUMMYFUNCTION("""COMPUTED_VALUE"""),2011.0)</f>
        <v>2011</v>
      </c>
      <c r="B987" s="11" t="str">
        <f>IFERROR(__xludf.DUMMYFUNCTION("""COMPUTED_VALUE"""),"Defensa Seguridad")</f>
        <v>Defensa Seguridad</v>
      </c>
      <c r="C987" s="11">
        <f>IFERROR(__xludf.DUMMYFUNCTION("""COMPUTED_VALUE"""),2.39659922600497)</f>
        <v>2.396599226</v>
      </c>
    </row>
    <row r="988">
      <c r="A988" s="11">
        <f>IFERROR(__xludf.DUMMYFUNCTION("""COMPUTED_VALUE"""),2011.0)</f>
        <v>2011</v>
      </c>
      <c r="B988" s="11" t="str">
        <f>IFERROR(__xludf.DUMMYFUNCTION("""COMPUTED_VALUE"""),"Educacion Basica")</f>
        <v>Educacion Basica</v>
      </c>
      <c r="C988" s="11">
        <f>IFERROR(__xludf.DUMMYFUNCTION("""COMPUTED_VALUE"""),3.79508143173662)</f>
        <v>3.795081432</v>
      </c>
    </row>
    <row r="989">
      <c r="A989" s="11">
        <f>IFERROR(__xludf.DUMMYFUNCTION("""COMPUTED_VALUE"""),2011.0)</f>
        <v>2011</v>
      </c>
      <c r="B989" s="11" t="str">
        <f>IFERROR(__xludf.DUMMYFUNCTION("""COMPUTED_VALUE"""),"Educacion Cultura Sin Discriminar")</f>
        <v>Educacion Cultura Sin Discriminar</v>
      </c>
      <c r="C989" s="11">
        <f>IFERROR(__xludf.DUMMYFUNCTION("""COMPUTED_VALUE"""),0.533993238017419)</f>
        <v>0.533993238</v>
      </c>
    </row>
    <row r="990">
      <c r="A990" s="11">
        <f>IFERROR(__xludf.DUMMYFUNCTION("""COMPUTED_VALUE"""),2011.0)</f>
        <v>2011</v>
      </c>
      <c r="B990" s="11" t="str">
        <f>IFERROR(__xludf.DUMMYFUNCTION("""COMPUTED_VALUE"""),"Educacion Universitaria")</f>
        <v>Educacion Universitaria</v>
      </c>
      <c r="C990" s="11">
        <f>IFERROR(__xludf.DUMMYFUNCTION("""COMPUTED_VALUE"""),1.17579132661573)</f>
        <v>1.175791327</v>
      </c>
    </row>
    <row r="991">
      <c r="A991" s="11">
        <f>IFERROR(__xludf.DUMMYFUNCTION("""COMPUTED_VALUE"""),2011.0)</f>
        <v>2011</v>
      </c>
      <c r="B991" s="11" t="str">
        <f>IFERROR(__xludf.DUMMYFUNCTION("""COMPUTED_VALUE"""),"Energia Combustible")</f>
        <v>Energia Combustible</v>
      </c>
      <c r="C991" s="11">
        <f>IFERROR(__xludf.DUMMYFUNCTION("""COMPUTED_VALUE"""),2.14082342650323)</f>
        <v>2.140823427</v>
      </c>
    </row>
    <row r="992">
      <c r="A992" s="11">
        <f>IFERROR(__xludf.DUMMYFUNCTION("""COMPUTED_VALUE"""),2011.0)</f>
        <v>2011</v>
      </c>
      <c r="B992" s="11" t="str">
        <f>IFERROR(__xludf.DUMMYFUNCTION("""COMPUTED_VALUE"""),"Funcionamiento Estado")</f>
        <v>Funcionamiento Estado</v>
      </c>
      <c r="C992" s="11">
        <f>IFERROR(__xludf.DUMMYFUNCTION("""COMPUTED_VALUE"""),6.2306996134201)</f>
        <v>6.230699613</v>
      </c>
    </row>
    <row r="993">
      <c r="A993" s="11">
        <f>IFERROR(__xludf.DUMMYFUNCTION("""COMPUTED_VALUE"""),2011.0)</f>
        <v>2011</v>
      </c>
      <c r="B993" s="11" t="str">
        <f>IFERROR(__xludf.DUMMYFUNCTION("""COMPUTED_VALUE"""),"Industria")</f>
        <v>Industria</v>
      </c>
      <c r="C993" s="11">
        <f>IFERROR(__xludf.DUMMYFUNCTION("""COMPUTED_VALUE"""),0.106799671204601)</f>
        <v>0.1067996712</v>
      </c>
    </row>
    <row r="994">
      <c r="A994" s="11">
        <f>IFERROR(__xludf.DUMMYFUNCTION("""COMPUTED_VALUE"""),2011.0)</f>
        <v>2011</v>
      </c>
      <c r="B994" s="11" t="str">
        <f>IFERROR(__xludf.DUMMYFUNCTION("""COMPUTED_VALUE"""),"Inssjyp Prestaciones")</f>
        <v>Inssjyp Prestaciones</v>
      </c>
      <c r="C994" s="11">
        <f>IFERROR(__xludf.DUMMYFUNCTION("""COMPUTED_VALUE"""),0.267985633941978)</f>
        <v>0.2679856339</v>
      </c>
    </row>
    <row r="995">
      <c r="A995" s="11">
        <f>IFERROR(__xludf.DUMMYFUNCTION("""COMPUTED_VALUE"""),2011.0)</f>
        <v>2011</v>
      </c>
      <c r="B995" s="11" t="str">
        <f>IFERROR(__xludf.DUMMYFUNCTION("""COMPUTED_VALUE"""),"Inssjyp Salud")</f>
        <v>Inssjyp Salud</v>
      </c>
      <c r="C995" s="11">
        <f>IFERROR(__xludf.DUMMYFUNCTION("""COMPUTED_VALUE"""),0.808764763067436)</f>
        <v>0.8087647631</v>
      </c>
    </row>
    <row r="996">
      <c r="A996" s="11">
        <f>IFERROR(__xludf.DUMMYFUNCTION("""COMPUTED_VALUE"""),2011.0)</f>
        <v>2011</v>
      </c>
      <c r="B996" s="11" t="str">
        <f>IFERROR(__xludf.DUMMYFUNCTION("""COMPUTED_VALUE"""),"Justicia")</f>
        <v>Justicia</v>
      </c>
      <c r="C996" s="11">
        <f>IFERROR(__xludf.DUMMYFUNCTION("""COMPUTED_VALUE"""),0.926321751433171)</f>
        <v>0.9263217514</v>
      </c>
    </row>
    <row r="997">
      <c r="A997" s="11">
        <f>IFERROR(__xludf.DUMMYFUNCTION("""COMPUTED_VALUE"""),2011.0)</f>
        <v>2011</v>
      </c>
      <c r="B997" s="11" t="str">
        <f>IFERROR(__xludf.DUMMYFUNCTION("""COMPUTED_VALUE"""),"Obras Sociales Prestaciones")</f>
        <v>Obras Sociales Prestaciones</v>
      </c>
      <c r="C997" s="11">
        <f>IFERROR(__xludf.DUMMYFUNCTION("""COMPUTED_VALUE"""),0.13278916375936)</f>
        <v>0.1327891638</v>
      </c>
    </row>
    <row r="998">
      <c r="A998" s="11">
        <f>IFERROR(__xludf.DUMMYFUNCTION("""COMPUTED_VALUE"""),2011.0)</f>
        <v>2011</v>
      </c>
      <c r="B998" s="11" t="str">
        <f>IFERROR(__xludf.DUMMYFUNCTION("""COMPUTED_VALUE"""),"Obras Sociales Salud")</f>
        <v>Obras Sociales Salud</v>
      </c>
      <c r="C998" s="11">
        <f>IFERROR(__xludf.DUMMYFUNCTION("""COMPUTED_VALUE"""),2.63952082092299)</f>
        <v>2.639520821</v>
      </c>
    </row>
    <row r="999">
      <c r="A999" s="11">
        <f>IFERROR(__xludf.DUMMYFUNCTION("""COMPUTED_VALUE"""),2011.0)</f>
        <v>2011</v>
      </c>
      <c r="B999" s="11" t="str">
        <f>IFERROR(__xludf.DUMMYFUNCTION("""COMPUTED_VALUE"""),"Otros Servicios Economicos")</f>
        <v>Otros Servicios Economicos</v>
      </c>
      <c r="C999" s="11">
        <f>IFERROR(__xludf.DUMMYFUNCTION("""COMPUTED_VALUE"""),0.296290603884198)</f>
        <v>0.2962906039</v>
      </c>
    </row>
    <row r="1000">
      <c r="A1000" s="11">
        <f>IFERROR(__xludf.DUMMYFUNCTION("""COMPUTED_VALUE"""),2011.0)</f>
        <v>2011</v>
      </c>
      <c r="B1000" s="11" t="str">
        <f>IFERROR(__xludf.DUMMYFUNCTION("""COMPUTED_VALUE"""),"Otros Servicios Urbanos")</f>
        <v>Otros Servicios Urbanos</v>
      </c>
      <c r="C1000" s="11">
        <f>IFERROR(__xludf.DUMMYFUNCTION("""COMPUTED_VALUE"""),0.809814222834028)</f>
        <v>0.8098142228</v>
      </c>
    </row>
    <row r="1001">
      <c r="A1001" s="11">
        <f>IFERROR(__xludf.DUMMYFUNCTION("""COMPUTED_VALUE"""),2011.0)</f>
        <v>2011</v>
      </c>
      <c r="B1001" s="11" t="str">
        <f>IFERROR(__xludf.DUMMYFUNCTION("""COMPUTED_VALUE"""),"Prevision Social")</f>
        <v>Prevision Social</v>
      </c>
      <c r="C1001" s="11">
        <f>IFERROR(__xludf.DUMMYFUNCTION("""COMPUTED_VALUE"""),8.69429912387795)</f>
        <v>8.694299124</v>
      </c>
    </row>
    <row r="1002">
      <c r="A1002" s="11">
        <f>IFERROR(__xludf.DUMMYFUNCTION("""COMPUTED_VALUE"""),2011.0)</f>
        <v>2011</v>
      </c>
      <c r="B1002" s="11" t="str">
        <f>IFERROR(__xludf.DUMMYFUNCTION("""COMPUTED_VALUE"""),"Produccion Primaria")</f>
        <v>Produccion Primaria</v>
      </c>
      <c r="C1002" s="11">
        <f>IFERROR(__xludf.DUMMYFUNCTION("""COMPUTED_VALUE"""),0.527024819315639)</f>
        <v>0.5270248193</v>
      </c>
    </row>
    <row r="1003">
      <c r="A1003" s="11">
        <f>IFERROR(__xludf.DUMMYFUNCTION("""COMPUTED_VALUE"""),2011.0)</f>
        <v>2011</v>
      </c>
      <c r="B1003" s="11" t="str">
        <f>IFERROR(__xludf.DUMMYFUNCTION("""COMPUTED_VALUE"""),"Programas Empleo")</f>
        <v>Programas Empleo</v>
      </c>
      <c r="C1003" s="11">
        <f>IFERROR(__xludf.DUMMYFUNCTION("""COMPUTED_VALUE"""),0.268481186689189)</f>
        <v>0.2684811867</v>
      </c>
    </row>
    <row r="1004">
      <c r="A1004" s="11">
        <f>IFERROR(__xludf.DUMMYFUNCTION("""COMPUTED_VALUE"""),2011.0)</f>
        <v>2011</v>
      </c>
      <c r="B1004" s="11" t="str">
        <f>IFERROR(__xludf.DUMMYFUNCTION("""COMPUTED_VALUE"""),"Promocion Asistencia Social")</f>
        <v>Promocion Asistencia Social</v>
      </c>
      <c r="C1004" s="11">
        <f>IFERROR(__xludf.DUMMYFUNCTION("""COMPUTED_VALUE"""),1.2981177965911)</f>
        <v>1.298117797</v>
      </c>
    </row>
    <row r="1005">
      <c r="A1005" s="11">
        <f>IFERROR(__xludf.DUMMYFUNCTION("""COMPUTED_VALUE"""),2011.0)</f>
        <v>2011</v>
      </c>
      <c r="B1005" s="11" t="str">
        <f>IFERROR(__xludf.DUMMYFUNCTION("""COMPUTED_VALUE"""),"Servicios Deuda Publica")</f>
        <v>Servicios Deuda Publica</v>
      </c>
      <c r="C1005" s="11">
        <f>IFERROR(__xludf.DUMMYFUNCTION("""COMPUTED_VALUE"""),2.08939040094036)</f>
        <v>2.089390401</v>
      </c>
    </row>
    <row r="1006">
      <c r="A1006" s="11">
        <f>IFERROR(__xludf.DUMMYFUNCTION("""COMPUTED_VALUE"""),2011.0)</f>
        <v>2011</v>
      </c>
      <c r="B1006" s="11" t="str">
        <f>IFERROR(__xludf.DUMMYFUNCTION("""COMPUTED_VALUE"""),"Servicios Economicos")</f>
        <v>Servicios Economicos</v>
      </c>
      <c r="C1006" s="11">
        <f>IFERROR(__xludf.DUMMYFUNCTION("""COMPUTED_VALUE"""),6.07026267691545)</f>
        <v>6.070262677</v>
      </c>
    </row>
    <row r="1007">
      <c r="A1007" s="11">
        <f>IFERROR(__xludf.DUMMYFUNCTION("""COMPUTED_VALUE"""),2011.0)</f>
        <v>2011</v>
      </c>
      <c r="B1007" s="11" t="str">
        <f>IFERROR(__xludf.DUMMYFUNCTION("""COMPUTED_VALUE"""),"Servicios Sociales")</f>
        <v>Servicios Sociales</v>
      </c>
      <c r="C1007" s="11">
        <f>IFERROR(__xludf.DUMMYFUNCTION("""COMPUTED_VALUE"""),25.6163463695942)</f>
        <v>25.61634637</v>
      </c>
    </row>
    <row r="1008">
      <c r="A1008" s="11">
        <f>IFERROR(__xludf.DUMMYFUNCTION("""COMPUTED_VALUE"""),2011.0)</f>
        <v>2011</v>
      </c>
      <c r="B1008" s="11" t="str">
        <f>IFERROR(__xludf.DUMMYFUNCTION("""COMPUTED_VALUE"""),"Transporte")</f>
        <v>Transporte</v>
      </c>
      <c r="C1008" s="11">
        <f>IFERROR(__xludf.DUMMYFUNCTION("""COMPUTED_VALUE"""),2.75967541265998)</f>
        <v>2.759675413</v>
      </c>
    </row>
    <row r="1009">
      <c r="A1009" s="11">
        <f>IFERROR(__xludf.DUMMYFUNCTION("""COMPUTED_VALUE"""),2011.0)</f>
        <v>2011</v>
      </c>
      <c r="B1009" s="11" t="str">
        <f>IFERROR(__xludf.DUMMYFUNCTION("""COMPUTED_VALUE"""),"Vivienda Urbanismo")</f>
        <v>Vivienda Urbanismo</v>
      </c>
      <c r="C1009" s="11">
        <f>IFERROR(__xludf.DUMMYFUNCTION("""COMPUTED_VALUE"""),0.862152709960091)</f>
        <v>0.86215271</v>
      </c>
    </row>
    <row r="1010">
      <c r="A1010" s="11">
        <f>IFERROR(__xludf.DUMMYFUNCTION("""COMPUTED_VALUE"""),2012.0)</f>
        <v>2012</v>
      </c>
      <c r="B1010" s="11" t="str">
        <f>IFERROR(__xludf.DUMMYFUNCTION("""COMPUTED_VALUE"""),"Administracion General")</f>
        <v>Administracion General</v>
      </c>
      <c r="C1010" s="11">
        <f>IFERROR(__xludf.DUMMYFUNCTION("""COMPUTED_VALUE"""),2.87155145028602)</f>
        <v>2.87155145</v>
      </c>
    </row>
    <row r="1011">
      <c r="A1011" s="11">
        <f>IFERROR(__xludf.DUMMYFUNCTION("""COMPUTED_VALUE"""),2012.0)</f>
        <v>2012</v>
      </c>
      <c r="B1011" s="11" t="str">
        <f>IFERROR(__xludf.DUMMYFUNCTION("""COMPUTED_VALUE"""),"Agua Alcantarillado")</f>
        <v>Agua Alcantarillado</v>
      </c>
      <c r="C1011" s="11">
        <f>IFERROR(__xludf.DUMMYFUNCTION("""COMPUTED_VALUE"""),0.549946802605142)</f>
        <v>0.5499468026</v>
      </c>
    </row>
    <row r="1012">
      <c r="A1012" s="11">
        <f>IFERROR(__xludf.DUMMYFUNCTION("""COMPUTED_VALUE"""),2012.0)</f>
        <v>2012</v>
      </c>
      <c r="B1012" s="11" t="str">
        <f>IFERROR(__xludf.DUMMYFUNCTION("""COMPUTED_VALUE"""),"Asignaciones Familiares")</f>
        <v>Asignaciones Familiares</v>
      </c>
      <c r="C1012" s="11">
        <f>IFERROR(__xludf.DUMMYFUNCTION("""COMPUTED_VALUE"""),0.864368635182414)</f>
        <v>0.8643686352</v>
      </c>
    </row>
    <row r="1013">
      <c r="A1013" s="11">
        <f>IFERROR(__xludf.DUMMYFUNCTION("""COMPUTED_VALUE"""),2012.0)</f>
        <v>2012</v>
      </c>
      <c r="B1013" s="11" t="str">
        <f>IFERROR(__xludf.DUMMYFUNCTION("""COMPUTED_VALUE"""),"Atencion Salud")</f>
        <v>Atencion Salud</v>
      </c>
      <c r="C1013" s="11">
        <f>IFERROR(__xludf.DUMMYFUNCTION("""COMPUTED_VALUE"""),2.47746457595547)</f>
        <v>2.477464576</v>
      </c>
    </row>
    <row r="1014">
      <c r="A1014" s="11">
        <f>IFERROR(__xludf.DUMMYFUNCTION("""COMPUTED_VALUE"""),2012.0)</f>
        <v>2012</v>
      </c>
      <c r="B1014" s="11" t="str">
        <f>IFERROR(__xludf.DUMMYFUNCTION("""COMPUTED_VALUE"""),"Ciencia Tecnica")</f>
        <v>Ciencia Tecnica</v>
      </c>
      <c r="C1014" s="11">
        <f>IFERROR(__xludf.DUMMYFUNCTION("""COMPUTED_VALUE"""),0.290250621373112)</f>
        <v>0.2902506214</v>
      </c>
    </row>
    <row r="1015">
      <c r="A1015" s="11">
        <f>IFERROR(__xludf.DUMMYFUNCTION("""COMPUTED_VALUE"""),2012.0)</f>
        <v>2012</v>
      </c>
      <c r="B1015" s="11" t="str">
        <f>IFERROR(__xludf.DUMMYFUNCTION("""COMPUTED_VALUE"""),"Comunicaciones")</f>
        <v>Comunicaciones</v>
      </c>
      <c r="C1015" s="11">
        <f>IFERROR(__xludf.DUMMYFUNCTION("""COMPUTED_VALUE"""),0.243859872864445)</f>
        <v>0.2438598729</v>
      </c>
    </row>
    <row r="1016">
      <c r="A1016" s="11">
        <f>IFERROR(__xludf.DUMMYFUNCTION("""COMPUTED_VALUE"""),2012.0)</f>
        <v>2012</v>
      </c>
      <c r="B1016" s="11" t="str">
        <f>IFERROR(__xludf.DUMMYFUNCTION("""COMPUTED_VALUE"""),"Cultura")</f>
        <v>Cultura</v>
      </c>
      <c r="C1016" s="11">
        <f>IFERROR(__xludf.DUMMYFUNCTION("""COMPUTED_VALUE"""),0.219391165294935)</f>
        <v>0.2193911653</v>
      </c>
    </row>
    <row r="1017">
      <c r="A1017" s="11">
        <f>IFERROR(__xludf.DUMMYFUNCTION("""COMPUTED_VALUE"""),2012.0)</f>
        <v>2012</v>
      </c>
      <c r="B1017" s="11" t="str">
        <f>IFERROR(__xludf.DUMMYFUNCTION("""COMPUTED_VALUE"""),"Defensa Seguridad")</f>
        <v>Defensa Seguridad</v>
      </c>
      <c r="C1017" s="11">
        <f>IFERROR(__xludf.DUMMYFUNCTION("""COMPUTED_VALUE"""),2.50234453879113)</f>
        <v>2.502344539</v>
      </c>
    </row>
    <row r="1018">
      <c r="A1018" s="11">
        <f>IFERROR(__xludf.DUMMYFUNCTION("""COMPUTED_VALUE"""),2012.0)</f>
        <v>2012</v>
      </c>
      <c r="B1018" s="11" t="str">
        <f>IFERROR(__xludf.DUMMYFUNCTION("""COMPUTED_VALUE"""),"Educacion Basica")</f>
        <v>Educacion Basica</v>
      </c>
      <c r="C1018" s="11">
        <f>IFERROR(__xludf.DUMMYFUNCTION("""COMPUTED_VALUE"""),3.7857832290915)</f>
        <v>3.785783229</v>
      </c>
    </row>
    <row r="1019">
      <c r="A1019" s="11">
        <f>IFERROR(__xludf.DUMMYFUNCTION("""COMPUTED_VALUE"""),2012.0)</f>
        <v>2012</v>
      </c>
      <c r="B1019" s="11" t="str">
        <f>IFERROR(__xludf.DUMMYFUNCTION("""COMPUTED_VALUE"""),"Educacion Cultura Sin Discriminar")</f>
        <v>Educacion Cultura Sin Discriminar</v>
      </c>
      <c r="C1019" s="11">
        <f>IFERROR(__xludf.DUMMYFUNCTION("""COMPUTED_VALUE"""),0.552274899587658)</f>
        <v>0.5522748996</v>
      </c>
    </row>
    <row r="1020">
      <c r="A1020" s="11">
        <f>IFERROR(__xludf.DUMMYFUNCTION("""COMPUTED_VALUE"""),2012.0)</f>
        <v>2012</v>
      </c>
      <c r="B1020" s="11" t="str">
        <f>IFERROR(__xludf.DUMMYFUNCTION("""COMPUTED_VALUE"""),"Educacion Universitaria")</f>
        <v>Educacion Universitaria</v>
      </c>
      <c r="C1020" s="11">
        <f>IFERROR(__xludf.DUMMYFUNCTION("""COMPUTED_VALUE"""),1.22036220820971)</f>
        <v>1.220362208</v>
      </c>
    </row>
    <row r="1021">
      <c r="A1021" s="11">
        <f>IFERROR(__xludf.DUMMYFUNCTION("""COMPUTED_VALUE"""),2012.0)</f>
        <v>2012</v>
      </c>
      <c r="B1021" s="11" t="str">
        <f>IFERROR(__xludf.DUMMYFUNCTION("""COMPUTED_VALUE"""),"Energia Combustible")</f>
        <v>Energia Combustible</v>
      </c>
      <c r="C1021" s="11">
        <f>IFERROR(__xludf.DUMMYFUNCTION("""COMPUTED_VALUE"""),2.27528737263334)</f>
        <v>2.275287373</v>
      </c>
    </row>
    <row r="1022">
      <c r="A1022" s="11">
        <f>IFERROR(__xludf.DUMMYFUNCTION("""COMPUTED_VALUE"""),2012.0)</f>
        <v>2012</v>
      </c>
      <c r="B1022" s="11" t="str">
        <f>IFERROR(__xludf.DUMMYFUNCTION("""COMPUTED_VALUE"""),"Funcionamiento Estado")</f>
        <v>Funcionamiento Estado</v>
      </c>
      <c r="C1022" s="11">
        <f>IFERROR(__xludf.DUMMYFUNCTION("""COMPUTED_VALUE"""),6.37354153401644)</f>
        <v>6.373541534</v>
      </c>
    </row>
    <row r="1023">
      <c r="A1023" s="11">
        <f>IFERROR(__xludf.DUMMYFUNCTION("""COMPUTED_VALUE"""),2012.0)</f>
        <v>2012</v>
      </c>
      <c r="B1023" s="11" t="str">
        <f>IFERROR(__xludf.DUMMYFUNCTION("""COMPUTED_VALUE"""),"Industria")</f>
        <v>Industria</v>
      </c>
      <c r="C1023" s="11">
        <f>IFERROR(__xludf.DUMMYFUNCTION("""COMPUTED_VALUE"""),0.114741987019433)</f>
        <v>0.114741987</v>
      </c>
    </row>
    <row r="1024">
      <c r="A1024" s="11">
        <f>IFERROR(__xludf.DUMMYFUNCTION("""COMPUTED_VALUE"""),2012.0)</f>
        <v>2012</v>
      </c>
      <c r="B1024" s="11" t="str">
        <f>IFERROR(__xludf.DUMMYFUNCTION("""COMPUTED_VALUE"""),"Inssjyp Prestaciones")</f>
        <v>Inssjyp Prestaciones</v>
      </c>
      <c r="C1024" s="11">
        <f>IFERROR(__xludf.DUMMYFUNCTION("""COMPUTED_VALUE"""),0.283833890458772)</f>
        <v>0.2838338905</v>
      </c>
    </row>
    <row r="1025">
      <c r="A1025" s="11">
        <f>IFERROR(__xludf.DUMMYFUNCTION("""COMPUTED_VALUE"""),2012.0)</f>
        <v>2012</v>
      </c>
      <c r="B1025" s="11" t="str">
        <f>IFERROR(__xludf.DUMMYFUNCTION("""COMPUTED_VALUE"""),"Inssjyp Salud")</f>
        <v>Inssjyp Salud</v>
      </c>
      <c r="C1025" s="11">
        <f>IFERROR(__xludf.DUMMYFUNCTION("""COMPUTED_VALUE"""),0.865388817959243)</f>
        <v>0.865388818</v>
      </c>
    </row>
    <row r="1026">
      <c r="A1026" s="11">
        <f>IFERROR(__xludf.DUMMYFUNCTION("""COMPUTED_VALUE"""),2012.0)</f>
        <v>2012</v>
      </c>
      <c r="B1026" s="11" t="str">
        <f>IFERROR(__xludf.DUMMYFUNCTION("""COMPUTED_VALUE"""),"Justicia")</f>
        <v>Justicia</v>
      </c>
      <c r="C1026" s="11">
        <f>IFERROR(__xludf.DUMMYFUNCTION("""COMPUTED_VALUE"""),0.999645544939294)</f>
        <v>0.9996455449</v>
      </c>
    </row>
    <row r="1027">
      <c r="A1027" s="11">
        <f>IFERROR(__xludf.DUMMYFUNCTION("""COMPUTED_VALUE"""),2012.0)</f>
        <v>2012</v>
      </c>
      <c r="B1027" s="11" t="str">
        <f>IFERROR(__xludf.DUMMYFUNCTION("""COMPUTED_VALUE"""),"Obras Sociales Prestaciones")</f>
        <v>Obras Sociales Prestaciones</v>
      </c>
      <c r="C1027" s="11">
        <f>IFERROR(__xludf.DUMMYFUNCTION("""COMPUTED_VALUE"""),0.14684640913013)</f>
        <v>0.1468464091</v>
      </c>
    </row>
    <row r="1028">
      <c r="A1028" s="11">
        <f>IFERROR(__xludf.DUMMYFUNCTION("""COMPUTED_VALUE"""),2012.0)</f>
        <v>2012</v>
      </c>
      <c r="B1028" s="11" t="str">
        <f>IFERROR(__xludf.DUMMYFUNCTION("""COMPUTED_VALUE"""),"Obras Sociales Salud")</f>
        <v>Obras Sociales Salud</v>
      </c>
      <c r="C1028" s="11">
        <f>IFERROR(__xludf.DUMMYFUNCTION("""COMPUTED_VALUE"""),2.86079783039664)</f>
        <v>2.86079783</v>
      </c>
    </row>
    <row r="1029">
      <c r="A1029" s="11">
        <f>IFERROR(__xludf.DUMMYFUNCTION("""COMPUTED_VALUE"""),2012.0)</f>
        <v>2012</v>
      </c>
      <c r="B1029" s="11" t="str">
        <f>IFERROR(__xludf.DUMMYFUNCTION("""COMPUTED_VALUE"""),"Otros Servicios Economicos")</f>
        <v>Otros Servicios Economicos</v>
      </c>
      <c r="C1029" s="11">
        <f>IFERROR(__xludf.DUMMYFUNCTION("""COMPUTED_VALUE"""),0.243325926071235)</f>
        <v>0.2433259261</v>
      </c>
    </row>
    <row r="1030">
      <c r="A1030" s="11">
        <f>IFERROR(__xludf.DUMMYFUNCTION("""COMPUTED_VALUE"""),2012.0)</f>
        <v>2012</v>
      </c>
      <c r="B1030" s="11" t="str">
        <f>IFERROR(__xludf.DUMMYFUNCTION("""COMPUTED_VALUE"""),"Otros Servicios Urbanos")</f>
        <v>Otros Servicios Urbanos</v>
      </c>
      <c r="C1030" s="11">
        <f>IFERROR(__xludf.DUMMYFUNCTION("""COMPUTED_VALUE"""),0.843077373443594)</f>
        <v>0.8430773734</v>
      </c>
    </row>
    <row r="1031">
      <c r="A1031" s="11">
        <f>IFERROR(__xludf.DUMMYFUNCTION("""COMPUTED_VALUE"""),2012.0)</f>
        <v>2012</v>
      </c>
      <c r="B1031" s="11" t="str">
        <f>IFERROR(__xludf.DUMMYFUNCTION("""COMPUTED_VALUE"""),"Prevision Social")</f>
        <v>Prevision Social</v>
      </c>
      <c r="C1031" s="11">
        <f>IFERROR(__xludf.DUMMYFUNCTION("""COMPUTED_VALUE"""),9.85252065200945)</f>
        <v>9.852520652</v>
      </c>
    </row>
    <row r="1032">
      <c r="A1032" s="11">
        <f>IFERROR(__xludf.DUMMYFUNCTION("""COMPUTED_VALUE"""),2012.0)</f>
        <v>2012</v>
      </c>
      <c r="B1032" s="11" t="str">
        <f>IFERROR(__xludf.DUMMYFUNCTION("""COMPUTED_VALUE"""),"Produccion Primaria")</f>
        <v>Produccion Primaria</v>
      </c>
      <c r="C1032" s="11">
        <f>IFERROR(__xludf.DUMMYFUNCTION("""COMPUTED_VALUE"""),0.466310013118507)</f>
        <v>0.4663100131</v>
      </c>
    </row>
    <row r="1033">
      <c r="A1033" s="11">
        <f>IFERROR(__xludf.DUMMYFUNCTION("""COMPUTED_VALUE"""),2012.0)</f>
        <v>2012</v>
      </c>
      <c r="B1033" s="11" t="str">
        <f>IFERROR(__xludf.DUMMYFUNCTION("""COMPUTED_VALUE"""),"Programas Empleo")</f>
        <v>Programas Empleo</v>
      </c>
      <c r="C1033" s="11">
        <f>IFERROR(__xludf.DUMMYFUNCTION("""COMPUTED_VALUE"""),0.254669584923563)</f>
        <v>0.2546695849</v>
      </c>
    </row>
    <row r="1034">
      <c r="A1034" s="11">
        <f>IFERROR(__xludf.DUMMYFUNCTION("""COMPUTED_VALUE"""),2012.0)</f>
        <v>2012</v>
      </c>
      <c r="B1034" s="11" t="str">
        <f>IFERROR(__xludf.DUMMYFUNCTION("""COMPUTED_VALUE"""),"Promocion Asistencia Social")</f>
        <v>Promocion Asistencia Social</v>
      </c>
      <c r="C1034" s="11">
        <f>IFERROR(__xludf.DUMMYFUNCTION("""COMPUTED_VALUE"""),1.20952500230108)</f>
        <v>1.209525002</v>
      </c>
    </row>
    <row r="1035">
      <c r="A1035" s="11">
        <f>IFERROR(__xludf.DUMMYFUNCTION("""COMPUTED_VALUE"""),2012.0)</f>
        <v>2012</v>
      </c>
      <c r="B1035" s="11" t="str">
        <f>IFERROR(__xludf.DUMMYFUNCTION("""COMPUTED_VALUE"""),"Servicios Deuda Publica")</f>
        <v>Servicios Deuda Publica</v>
      </c>
      <c r="C1035" s="11">
        <f>IFERROR(__xludf.DUMMYFUNCTION("""COMPUTED_VALUE"""),2.03367343623061)</f>
        <v>2.033673436</v>
      </c>
    </row>
    <row r="1036">
      <c r="A1036" s="11">
        <f>IFERROR(__xludf.DUMMYFUNCTION("""COMPUTED_VALUE"""),2012.0)</f>
        <v>2012</v>
      </c>
      <c r="B1036" s="11" t="str">
        <f>IFERROR(__xludf.DUMMYFUNCTION("""COMPUTED_VALUE"""),"Servicios Economicos")</f>
        <v>Servicios Economicos</v>
      </c>
      <c r="C1036" s="11">
        <f>IFERROR(__xludf.DUMMYFUNCTION("""COMPUTED_VALUE"""),5.8035798910798)</f>
        <v>5.803579891</v>
      </c>
    </row>
    <row r="1037">
      <c r="A1037" s="11">
        <f>IFERROR(__xludf.DUMMYFUNCTION("""COMPUTED_VALUE"""),2012.0)</f>
        <v>2012</v>
      </c>
      <c r="B1037" s="11" t="str">
        <f>IFERROR(__xludf.DUMMYFUNCTION("""COMPUTED_VALUE"""),"Servicios Sociales")</f>
        <v>Servicios Sociales</v>
      </c>
      <c r="C1037" s="11">
        <f>IFERROR(__xludf.DUMMYFUNCTION("""COMPUTED_VALUE"""),27.0684219147899)</f>
        <v>27.06842191</v>
      </c>
    </row>
    <row r="1038">
      <c r="A1038" s="11">
        <f>IFERROR(__xludf.DUMMYFUNCTION("""COMPUTED_VALUE"""),2012.0)</f>
        <v>2012</v>
      </c>
      <c r="B1038" s="11" t="str">
        <f>IFERROR(__xludf.DUMMYFUNCTION("""COMPUTED_VALUE"""),"Transporte")</f>
        <v>Transporte</v>
      </c>
      <c r="C1038" s="11">
        <f>IFERROR(__xludf.DUMMYFUNCTION("""COMPUTED_VALUE"""),2.46005471937284)</f>
        <v>2.460054719</v>
      </c>
    </row>
    <row r="1039">
      <c r="A1039" s="11">
        <f>IFERROR(__xludf.DUMMYFUNCTION("""COMPUTED_VALUE"""),2012.0)</f>
        <v>2012</v>
      </c>
      <c r="B1039" s="11" t="str">
        <f>IFERROR(__xludf.DUMMYFUNCTION("""COMPUTED_VALUE"""),"Vivienda Urbanismo")</f>
        <v>Vivienda Urbanismo</v>
      </c>
      <c r="C1039" s="11">
        <f>IFERROR(__xludf.DUMMYFUNCTION("""COMPUTED_VALUE"""),0.791920216867545)</f>
        <v>0.7919202169</v>
      </c>
    </row>
    <row r="1040">
      <c r="A1040" s="11">
        <f>IFERROR(__xludf.DUMMYFUNCTION("""COMPUTED_VALUE"""),2013.0)</f>
        <v>2013</v>
      </c>
      <c r="B1040" s="11" t="str">
        <f>IFERROR(__xludf.DUMMYFUNCTION("""COMPUTED_VALUE"""),"Administracion General")</f>
        <v>Administracion General</v>
      </c>
      <c r="C1040" s="11">
        <f>IFERROR(__xludf.DUMMYFUNCTION("""COMPUTED_VALUE"""),3.07813169764686)</f>
        <v>3.078131698</v>
      </c>
    </row>
    <row r="1041">
      <c r="A1041" s="11">
        <f>IFERROR(__xludf.DUMMYFUNCTION("""COMPUTED_VALUE"""),2013.0)</f>
        <v>2013</v>
      </c>
      <c r="B1041" s="11" t="str">
        <f>IFERROR(__xludf.DUMMYFUNCTION("""COMPUTED_VALUE"""),"Agua Alcantarillado")</f>
        <v>Agua Alcantarillado</v>
      </c>
      <c r="C1041" s="11">
        <f>IFERROR(__xludf.DUMMYFUNCTION("""COMPUTED_VALUE"""),0.534331517041921)</f>
        <v>0.534331517</v>
      </c>
    </row>
    <row r="1042">
      <c r="A1042" s="11">
        <f>IFERROR(__xludf.DUMMYFUNCTION("""COMPUTED_VALUE"""),2013.0)</f>
        <v>2013</v>
      </c>
      <c r="B1042" s="11" t="str">
        <f>IFERROR(__xludf.DUMMYFUNCTION("""COMPUTED_VALUE"""),"Asignaciones Familiares")</f>
        <v>Asignaciones Familiares</v>
      </c>
      <c r="C1042" s="11">
        <f>IFERROR(__xludf.DUMMYFUNCTION("""COMPUTED_VALUE"""),0.939759551225438)</f>
        <v>0.9397595512</v>
      </c>
    </row>
    <row r="1043">
      <c r="A1043" s="11">
        <f>IFERROR(__xludf.DUMMYFUNCTION("""COMPUTED_VALUE"""),2013.0)</f>
        <v>2013</v>
      </c>
      <c r="B1043" s="11" t="str">
        <f>IFERROR(__xludf.DUMMYFUNCTION("""COMPUTED_VALUE"""),"Atencion Salud")</f>
        <v>Atencion Salud</v>
      </c>
      <c r="C1043" s="11">
        <f>IFERROR(__xludf.DUMMYFUNCTION("""COMPUTED_VALUE"""),2.58122407520883)</f>
        <v>2.581224075</v>
      </c>
    </row>
    <row r="1044">
      <c r="A1044" s="11">
        <f>IFERROR(__xludf.DUMMYFUNCTION("""COMPUTED_VALUE"""),2013.0)</f>
        <v>2013</v>
      </c>
      <c r="B1044" s="11" t="str">
        <f>IFERROR(__xludf.DUMMYFUNCTION("""COMPUTED_VALUE"""),"Ciencia Tecnica")</f>
        <v>Ciencia Tecnica</v>
      </c>
      <c r="C1044" s="11">
        <f>IFERROR(__xludf.DUMMYFUNCTION("""COMPUTED_VALUE"""),0.310621814330149)</f>
        <v>0.3106218143</v>
      </c>
    </row>
    <row r="1045">
      <c r="A1045" s="11">
        <f>IFERROR(__xludf.DUMMYFUNCTION("""COMPUTED_VALUE"""),2013.0)</f>
        <v>2013</v>
      </c>
      <c r="B1045" s="11" t="str">
        <f>IFERROR(__xludf.DUMMYFUNCTION("""COMPUTED_VALUE"""),"Comunicaciones")</f>
        <v>Comunicaciones</v>
      </c>
      <c r="C1045" s="11">
        <f>IFERROR(__xludf.DUMMYFUNCTION("""COMPUTED_VALUE"""),0.264007221989727)</f>
        <v>0.264007222</v>
      </c>
    </row>
    <row r="1046">
      <c r="A1046" s="11">
        <f>IFERROR(__xludf.DUMMYFUNCTION("""COMPUTED_VALUE"""),2013.0)</f>
        <v>2013</v>
      </c>
      <c r="B1046" s="11" t="str">
        <f>IFERROR(__xludf.DUMMYFUNCTION("""COMPUTED_VALUE"""),"Cultura")</f>
        <v>Cultura</v>
      </c>
      <c r="C1046" s="11">
        <f>IFERROR(__xludf.DUMMYFUNCTION("""COMPUTED_VALUE"""),0.246371197230376)</f>
        <v>0.2463711972</v>
      </c>
    </row>
    <row r="1047">
      <c r="A1047" s="11">
        <f>IFERROR(__xludf.DUMMYFUNCTION("""COMPUTED_VALUE"""),2013.0)</f>
        <v>2013</v>
      </c>
      <c r="B1047" s="11" t="str">
        <f>IFERROR(__xludf.DUMMYFUNCTION("""COMPUTED_VALUE"""),"Defensa Seguridad")</f>
        <v>Defensa Seguridad</v>
      </c>
      <c r="C1047" s="11">
        <f>IFERROR(__xludf.DUMMYFUNCTION("""COMPUTED_VALUE"""),2.58282350527393)</f>
        <v>2.582823505</v>
      </c>
    </row>
    <row r="1048">
      <c r="A1048" s="11">
        <f>IFERROR(__xludf.DUMMYFUNCTION("""COMPUTED_VALUE"""),2013.0)</f>
        <v>2013</v>
      </c>
      <c r="B1048" s="11" t="str">
        <f>IFERROR(__xludf.DUMMYFUNCTION("""COMPUTED_VALUE"""),"Educacion Basica")</f>
        <v>Educacion Basica</v>
      </c>
      <c r="C1048" s="11">
        <f>IFERROR(__xludf.DUMMYFUNCTION("""COMPUTED_VALUE"""),3.92883555795354)</f>
        <v>3.928835558</v>
      </c>
    </row>
    <row r="1049">
      <c r="A1049" s="11">
        <f>IFERROR(__xludf.DUMMYFUNCTION("""COMPUTED_VALUE"""),2013.0)</f>
        <v>2013</v>
      </c>
      <c r="B1049" s="11" t="str">
        <f>IFERROR(__xludf.DUMMYFUNCTION("""COMPUTED_VALUE"""),"Educacion Cultura Sin Discriminar")</f>
        <v>Educacion Cultura Sin Discriminar</v>
      </c>
      <c r="C1049" s="11">
        <f>IFERROR(__xludf.DUMMYFUNCTION("""COMPUTED_VALUE"""),0.530207299774902)</f>
        <v>0.5302072998</v>
      </c>
    </row>
    <row r="1050">
      <c r="A1050" s="11">
        <f>IFERROR(__xludf.DUMMYFUNCTION("""COMPUTED_VALUE"""),2013.0)</f>
        <v>2013</v>
      </c>
      <c r="B1050" s="11" t="str">
        <f>IFERROR(__xludf.DUMMYFUNCTION("""COMPUTED_VALUE"""),"Educacion Universitaria")</f>
        <v>Educacion Universitaria</v>
      </c>
      <c r="C1050" s="11">
        <f>IFERROR(__xludf.DUMMYFUNCTION("""COMPUTED_VALUE"""),1.23515274795896)</f>
        <v>1.235152748</v>
      </c>
    </row>
    <row r="1051">
      <c r="A1051" s="11">
        <f>IFERROR(__xludf.DUMMYFUNCTION("""COMPUTED_VALUE"""),2013.0)</f>
        <v>2013</v>
      </c>
      <c r="B1051" s="11" t="str">
        <f>IFERROR(__xludf.DUMMYFUNCTION("""COMPUTED_VALUE"""),"Energia Combustible")</f>
        <v>Energia Combustible</v>
      </c>
      <c r="C1051" s="11">
        <f>IFERROR(__xludf.DUMMYFUNCTION("""COMPUTED_VALUE"""),2.8321603202579)</f>
        <v>2.83216032</v>
      </c>
    </row>
    <row r="1052">
      <c r="A1052" s="11">
        <f>IFERROR(__xludf.DUMMYFUNCTION("""COMPUTED_VALUE"""),2013.0)</f>
        <v>2013</v>
      </c>
      <c r="B1052" s="11" t="str">
        <f>IFERROR(__xludf.DUMMYFUNCTION("""COMPUTED_VALUE"""),"Funcionamiento Estado")</f>
        <v>Funcionamiento Estado</v>
      </c>
      <c r="C1052" s="11">
        <f>IFERROR(__xludf.DUMMYFUNCTION("""COMPUTED_VALUE"""),6.71435502866873)</f>
        <v>6.714355029</v>
      </c>
    </row>
    <row r="1053">
      <c r="A1053" s="11">
        <f>IFERROR(__xludf.DUMMYFUNCTION("""COMPUTED_VALUE"""),2013.0)</f>
        <v>2013</v>
      </c>
      <c r="B1053" s="11" t="str">
        <f>IFERROR(__xludf.DUMMYFUNCTION("""COMPUTED_VALUE"""),"Industria")</f>
        <v>Industria</v>
      </c>
      <c r="C1053" s="11">
        <f>IFERROR(__xludf.DUMMYFUNCTION("""COMPUTED_VALUE"""),0.119452344367908)</f>
        <v>0.1194523444</v>
      </c>
    </row>
    <row r="1054">
      <c r="A1054" s="11">
        <f>IFERROR(__xludf.DUMMYFUNCTION("""COMPUTED_VALUE"""),2013.0)</f>
        <v>2013</v>
      </c>
      <c r="B1054" s="11" t="str">
        <f>IFERROR(__xludf.DUMMYFUNCTION("""COMPUTED_VALUE"""),"Inssjyp Prestaciones")</f>
        <v>Inssjyp Prestaciones</v>
      </c>
      <c r="C1054" s="11">
        <f>IFERROR(__xludf.DUMMYFUNCTION("""COMPUTED_VALUE"""),0.258637678502808)</f>
        <v>0.2586376785</v>
      </c>
    </row>
    <row r="1055">
      <c r="A1055" s="11">
        <f>IFERROR(__xludf.DUMMYFUNCTION("""COMPUTED_VALUE"""),2013.0)</f>
        <v>2013</v>
      </c>
      <c r="B1055" s="11" t="str">
        <f>IFERROR(__xludf.DUMMYFUNCTION("""COMPUTED_VALUE"""),"Inssjyp Salud")</f>
        <v>Inssjyp Salud</v>
      </c>
      <c r="C1055" s="11">
        <f>IFERROR(__xludf.DUMMYFUNCTION("""COMPUTED_VALUE"""),0.874741788392174)</f>
        <v>0.8747417884</v>
      </c>
    </row>
    <row r="1056">
      <c r="A1056" s="11">
        <f>IFERROR(__xludf.DUMMYFUNCTION("""COMPUTED_VALUE"""),2013.0)</f>
        <v>2013</v>
      </c>
      <c r="B1056" s="11" t="str">
        <f>IFERROR(__xludf.DUMMYFUNCTION("""COMPUTED_VALUE"""),"Justicia")</f>
        <v>Justicia</v>
      </c>
      <c r="C1056" s="11">
        <f>IFERROR(__xludf.DUMMYFUNCTION("""COMPUTED_VALUE"""),1.05339982574793)</f>
        <v>1.053399826</v>
      </c>
    </row>
    <row r="1057">
      <c r="A1057" s="11">
        <f>IFERROR(__xludf.DUMMYFUNCTION("""COMPUTED_VALUE"""),2013.0)</f>
        <v>2013</v>
      </c>
      <c r="B1057" s="11" t="str">
        <f>IFERROR(__xludf.DUMMYFUNCTION("""COMPUTED_VALUE"""),"Obras Sociales Prestaciones")</f>
        <v>Obras Sociales Prestaciones</v>
      </c>
      <c r="C1057" s="11">
        <f>IFERROR(__xludf.DUMMYFUNCTION("""COMPUTED_VALUE"""),0.14876356597332)</f>
        <v>0.148763566</v>
      </c>
    </row>
    <row r="1058">
      <c r="A1058" s="11">
        <f>IFERROR(__xludf.DUMMYFUNCTION("""COMPUTED_VALUE"""),2013.0)</f>
        <v>2013</v>
      </c>
      <c r="B1058" s="11" t="str">
        <f>IFERROR(__xludf.DUMMYFUNCTION("""COMPUTED_VALUE"""),"Obras Sociales Salud")</f>
        <v>Obras Sociales Salud</v>
      </c>
      <c r="C1058" s="11">
        <f>IFERROR(__xludf.DUMMYFUNCTION("""COMPUTED_VALUE"""),2.92108408786786)</f>
        <v>2.921084088</v>
      </c>
    </row>
    <row r="1059">
      <c r="A1059" s="11">
        <f>IFERROR(__xludf.DUMMYFUNCTION("""COMPUTED_VALUE"""),2013.0)</f>
        <v>2013</v>
      </c>
      <c r="B1059" s="11" t="str">
        <f>IFERROR(__xludf.DUMMYFUNCTION("""COMPUTED_VALUE"""),"Otros Servicios Economicos")</f>
        <v>Otros Servicios Economicos</v>
      </c>
      <c r="C1059" s="11">
        <f>IFERROR(__xludf.DUMMYFUNCTION("""COMPUTED_VALUE"""),0.24484826511846)</f>
        <v>0.2448482651</v>
      </c>
    </row>
    <row r="1060">
      <c r="A1060" s="11">
        <f>IFERROR(__xludf.DUMMYFUNCTION("""COMPUTED_VALUE"""),2013.0)</f>
        <v>2013</v>
      </c>
      <c r="B1060" s="11" t="str">
        <f>IFERROR(__xludf.DUMMYFUNCTION("""COMPUTED_VALUE"""),"Otros Servicios Urbanos")</f>
        <v>Otros Servicios Urbanos</v>
      </c>
      <c r="C1060" s="11">
        <f>IFERROR(__xludf.DUMMYFUNCTION("""COMPUTED_VALUE"""),0.931631041197384)</f>
        <v>0.9316310412</v>
      </c>
    </row>
    <row r="1061">
      <c r="A1061" s="11">
        <f>IFERROR(__xludf.DUMMYFUNCTION("""COMPUTED_VALUE"""),2013.0)</f>
        <v>2013</v>
      </c>
      <c r="B1061" s="11" t="str">
        <f>IFERROR(__xludf.DUMMYFUNCTION("""COMPUTED_VALUE"""),"Prevision Social")</f>
        <v>Prevision Social</v>
      </c>
      <c r="C1061" s="11">
        <f>IFERROR(__xludf.DUMMYFUNCTION("""COMPUTED_VALUE"""),10.2788332596298)</f>
        <v>10.27883326</v>
      </c>
    </row>
    <row r="1062">
      <c r="A1062" s="11">
        <f>IFERROR(__xludf.DUMMYFUNCTION("""COMPUTED_VALUE"""),2013.0)</f>
        <v>2013</v>
      </c>
      <c r="B1062" s="11" t="str">
        <f>IFERROR(__xludf.DUMMYFUNCTION("""COMPUTED_VALUE"""),"Produccion Primaria")</f>
        <v>Produccion Primaria</v>
      </c>
      <c r="C1062" s="11">
        <f>IFERROR(__xludf.DUMMYFUNCTION("""COMPUTED_VALUE"""),0.47414623459641)</f>
        <v>0.4741462346</v>
      </c>
    </row>
    <row r="1063">
      <c r="A1063" s="11">
        <f>IFERROR(__xludf.DUMMYFUNCTION("""COMPUTED_VALUE"""),2013.0)</f>
        <v>2013</v>
      </c>
      <c r="B1063" s="11" t="str">
        <f>IFERROR(__xludf.DUMMYFUNCTION("""COMPUTED_VALUE"""),"Programas Empleo")</f>
        <v>Programas Empleo</v>
      </c>
      <c r="C1063" s="11">
        <f>IFERROR(__xludf.DUMMYFUNCTION("""COMPUTED_VALUE"""),0.247447444746234)</f>
        <v>0.2474474447</v>
      </c>
    </row>
    <row r="1064">
      <c r="A1064" s="11">
        <f>IFERROR(__xludf.DUMMYFUNCTION("""COMPUTED_VALUE"""),2013.0)</f>
        <v>2013</v>
      </c>
      <c r="B1064" s="11" t="str">
        <f>IFERROR(__xludf.DUMMYFUNCTION("""COMPUTED_VALUE"""),"Promocion Asistencia Social")</f>
        <v>Promocion Asistencia Social</v>
      </c>
      <c r="C1064" s="11">
        <f>IFERROR(__xludf.DUMMYFUNCTION("""COMPUTED_VALUE"""),1.20231694136732)</f>
        <v>1.202316941</v>
      </c>
    </row>
    <row r="1065">
      <c r="A1065" s="11">
        <f>IFERROR(__xludf.DUMMYFUNCTION("""COMPUTED_VALUE"""),2013.0)</f>
        <v>2013</v>
      </c>
      <c r="B1065" s="11" t="str">
        <f>IFERROR(__xludf.DUMMYFUNCTION("""COMPUTED_VALUE"""),"Servicios Deuda Publica")</f>
        <v>Servicios Deuda Publica</v>
      </c>
      <c r="C1065" s="11">
        <f>IFERROR(__xludf.DUMMYFUNCTION("""COMPUTED_VALUE"""),1.55664906474987)</f>
        <v>1.556649065</v>
      </c>
    </row>
    <row r="1066">
      <c r="A1066" s="11">
        <f>IFERROR(__xludf.DUMMYFUNCTION("""COMPUTED_VALUE"""),2013.0)</f>
        <v>2013</v>
      </c>
      <c r="B1066" s="11" t="str">
        <f>IFERROR(__xludf.DUMMYFUNCTION("""COMPUTED_VALUE"""),"Servicios Economicos")</f>
        <v>Servicios Economicos</v>
      </c>
      <c r="C1066" s="11">
        <f>IFERROR(__xludf.DUMMYFUNCTION("""COMPUTED_VALUE"""),6.36574238972535)</f>
        <v>6.36574239</v>
      </c>
    </row>
    <row r="1067">
      <c r="A1067" s="11">
        <f>IFERROR(__xludf.DUMMYFUNCTION("""COMPUTED_VALUE"""),2013.0)</f>
        <v>2013</v>
      </c>
      <c r="B1067" s="11" t="str">
        <f>IFERROR(__xludf.DUMMYFUNCTION("""COMPUTED_VALUE"""),"Servicios Sociales")</f>
        <v>Servicios Sociales</v>
      </c>
      <c r="C1067" s="11">
        <f>IFERROR(__xludf.DUMMYFUNCTION("""COMPUTED_VALUE"""),28.2194821071402)</f>
        <v>28.21948211</v>
      </c>
    </row>
    <row r="1068">
      <c r="A1068" s="11">
        <f>IFERROR(__xludf.DUMMYFUNCTION("""COMPUTED_VALUE"""),2013.0)</f>
        <v>2013</v>
      </c>
      <c r="B1068" s="11" t="str">
        <f>IFERROR(__xludf.DUMMYFUNCTION("""COMPUTED_VALUE"""),"Transporte")</f>
        <v>Transporte</v>
      </c>
      <c r="C1068" s="11">
        <f>IFERROR(__xludf.DUMMYFUNCTION("""COMPUTED_VALUE"""),2.43112800339494)</f>
        <v>2.431128003</v>
      </c>
    </row>
    <row r="1069">
      <c r="A1069" s="11">
        <f>IFERROR(__xludf.DUMMYFUNCTION("""COMPUTED_VALUE"""),2013.0)</f>
        <v>2013</v>
      </c>
      <c r="B1069" s="11" t="str">
        <f>IFERROR(__xludf.DUMMYFUNCTION("""COMPUTED_VALUE"""),"Vivienda Urbanismo")</f>
        <v>Vivienda Urbanismo</v>
      </c>
      <c r="C1069" s="11">
        <f>IFERROR(__xludf.DUMMYFUNCTION("""COMPUTED_VALUE"""),1.0495225387391)</f>
        <v>1.049522539</v>
      </c>
    </row>
    <row r="1070">
      <c r="A1070" s="11">
        <f>IFERROR(__xludf.DUMMYFUNCTION("""COMPUTED_VALUE"""),2014.0)</f>
        <v>2014</v>
      </c>
      <c r="B1070" s="11" t="str">
        <f>IFERROR(__xludf.DUMMYFUNCTION("""COMPUTED_VALUE"""),"Administracion General")</f>
        <v>Administracion General</v>
      </c>
      <c r="C1070" s="11">
        <f>IFERROR(__xludf.DUMMYFUNCTION("""COMPUTED_VALUE"""),2.96520895206414)</f>
        <v>2.965208952</v>
      </c>
    </row>
    <row r="1071">
      <c r="A1071" s="11">
        <f>IFERROR(__xludf.DUMMYFUNCTION("""COMPUTED_VALUE"""),2014.0)</f>
        <v>2014</v>
      </c>
      <c r="B1071" s="11" t="str">
        <f>IFERROR(__xludf.DUMMYFUNCTION("""COMPUTED_VALUE"""),"Agua Alcantarillado")</f>
        <v>Agua Alcantarillado</v>
      </c>
      <c r="C1071" s="11">
        <f>IFERROR(__xludf.DUMMYFUNCTION("""COMPUTED_VALUE"""),0.587270415234709)</f>
        <v>0.5872704152</v>
      </c>
    </row>
    <row r="1072">
      <c r="A1072" s="11">
        <f>IFERROR(__xludf.DUMMYFUNCTION("""COMPUTED_VALUE"""),2014.0)</f>
        <v>2014</v>
      </c>
      <c r="B1072" s="11" t="str">
        <f>IFERROR(__xludf.DUMMYFUNCTION("""COMPUTED_VALUE"""),"Asignaciones Familiares")</f>
        <v>Asignaciones Familiares</v>
      </c>
      <c r="C1072" s="11">
        <f>IFERROR(__xludf.DUMMYFUNCTION("""COMPUTED_VALUE"""),0.96582858869896)</f>
        <v>0.9658285887</v>
      </c>
    </row>
    <row r="1073">
      <c r="A1073" s="11">
        <f>IFERROR(__xludf.DUMMYFUNCTION("""COMPUTED_VALUE"""),2014.0)</f>
        <v>2014</v>
      </c>
      <c r="B1073" s="11" t="str">
        <f>IFERROR(__xludf.DUMMYFUNCTION("""COMPUTED_VALUE"""),"Atencion Salud")</f>
        <v>Atencion Salud</v>
      </c>
      <c r="C1073" s="11">
        <f>IFERROR(__xludf.DUMMYFUNCTION("""COMPUTED_VALUE"""),2.59061192726714)</f>
        <v>2.590611927</v>
      </c>
    </row>
    <row r="1074">
      <c r="A1074" s="11">
        <f>IFERROR(__xludf.DUMMYFUNCTION("""COMPUTED_VALUE"""),2014.0)</f>
        <v>2014</v>
      </c>
      <c r="B1074" s="11" t="str">
        <f>IFERROR(__xludf.DUMMYFUNCTION("""COMPUTED_VALUE"""),"Ciencia Tecnica")</f>
        <v>Ciencia Tecnica</v>
      </c>
      <c r="C1074" s="11">
        <f>IFERROR(__xludf.DUMMYFUNCTION("""COMPUTED_VALUE"""),0.320104671098529)</f>
        <v>0.3201046711</v>
      </c>
    </row>
    <row r="1075">
      <c r="A1075" s="11">
        <f>IFERROR(__xludf.DUMMYFUNCTION("""COMPUTED_VALUE"""),2014.0)</f>
        <v>2014</v>
      </c>
      <c r="B1075" s="11" t="str">
        <f>IFERROR(__xludf.DUMMYFUNCTION("""COMPUTED_VALUE"""),"Comunicaciones")</f>
        <v>Comunicaciones</v>
      </c>
      <c r="C1075" s="11">
        <f>IFERROR(__xludf.DUMMYFUNCTION("""COMPUTED_VALUE"""),0.257348282003854)</f>
        <v>0.257348282</v>
      </c>
    </row>
    <row r="1076">
      <c r="A1076" s="11">
        <f>IFERROR(__xludf.DUMMYFUNCTION("""COMPUTED_VALUE"""),2014.0)</f>
        <v>2014</v>
      </c>
      <c r="B1076" s="11" t="str">
        <f>IFERROR(__xludf.DUMMYFUNCTION("""COMPUTED_VALUE"""),"Cultura")</f>
        <v>Cultura</v>
      </c>
      <c r="C1076" s="11">
        <f>IFERROR(__xludf.DUMMYFUNCTION("""COMPUTED_VALUE"""),0.242176620882502)</f>
        <v>0.2421766209</v>
      </c>
    </row>
    <row r="1077">
      <c r="A1077" s="11">
        <f>IFERROR(__xludf.DUMMYFUNCTION("""COMPUTED_VALUE"""),2014.0)</f>
        <v>2014</v>
      </c>
      <c r="B1077" s="11" t="str">
        <f>IFERROR(__xludf.DUMMYFUNCTION("""COMPUTED_VALUE"""),"Defensa Seguridad")</f>
        <v>Defensa Seguridad</v>
      </c>
      <c r="C1077" s="11">
        <f>IFERROR(__xludf.DUMMYFUNCTION("""COMPUTED_VALUE"""),2.86300459392159)</f>
        <v>2.863004594</v>
      </c>
    </row>
    <row r="1078">
      <c r="A1078" s="11">
        <f>IFERROR(__xludf.DUMMYFUNCTION("""COMPUTED_VALUE"""),2014.0)</f>
        <v>2014</v>
      </c>
      <c r="B1078" s="11" t="str">
        <f>IFERROR(__xludf.DUMMYFUNCTION("""COMPUTED_VALUE"""),"Educacion Basica")</f>
        <v>Educacion Basica</v>
      </c>
      <c r="C1078" s="11">
        <f>IFERROR(__xludf.DUMMYFUNCTION("""COMPUTED_VALUE"""),3.84417236953944)</f>
        <v>3.84417237</v>
      </c>
    </row>
    <row r="1079">
      <c r="A1079" s="11">
        <f>IFERROR(__xludf.DUMMYFUNCTION("""COMPUTED_VALUE"""),2014.0)</f>
        <v>2014</v>
      </c>
      <c r="B1079" s="11" t="str">
        <f>IFERROR(__xludf.DUMMYFUNCTION("""COMPUTED_VALUE"""),"Educacion Cultura Sin Discriminar")</f>
        <v>Educacion Cultura Sin Discriminar</v>
      </c>
      <c r="C1079" s="11">
        <f>IFERROR(__xludf.DUMMYFUNCTION("""COMPUTED_VALUE"""),0.582097075405689)</f>
        <v>0.5820970754</v>
      </c>
    </row>
    <row r="1080">
      <c r="A1080" s="11">
        <f>IFERROR(__xludf.DUMMYFUNCTION("""COMPUTED_VALUE"""),2014.0)</f>
        <v>2014</v>
      </c>
      <c r="B1080" s="11" t="str">
        <f>IFERROR(__xludf.DUMMYFUNCTION("""COMPUTED_VALUE"""),"Educacion Universitaria")</f>
        <v>Educacion Universitaria</v>
      </c>
      <c r="C1080" s="11">
        <f>IFERROR(__xludf.DUMMYFUNCTION("""COMPUTED_VALUE"""),1.24012165317015)</f>
        <v>1.240121653</v>
      </c>
    </row>
    <row r="1081">
      <c r="A1081" s="11">
        <f>IFERROR(__xludf.DUMMYFUNCTION("""COMPUTED_VALUE"""),2014.0)</f>
        <v>2014</v>
      </c>
      <c r="B1081" s="11" t="str">
        <f>IFERROR(__xludf.DUMMYFUNCTION("""COMPUTED_VALUE"""),"Energia Combustible")</f>
        <v>Energia Combustible</v>
      </c>
      <c r="C1081" s="11">
        <f>IFERROR(__xludf.DUMMYFUNCTION("""COMPUTED_VALUE"""),4.38183638943482)</f>
        <v>4.381836389</v>
      </c>
    </row>
    <row r="1082">
      <c r="A1082" s="11">
        <f>IFERROR(__xludf.DUMMYFUNCTION("""COMPUTED_VALUE"""),2014.0)</f>
        <v>2014</v>
      </c>
      <c r="B1082" s="11" t="str">
        <f>IFERROR(__xludf.DUMMYFUNCTION("""COMPUTED_VALUE"""),"Funcionamiento Estado")</f>
        <v>Funcionamiento Estado</v>
      </c>
      <c r="C1082" s="11">
        <f>IFERROR(__xludf.DUMMYFUNCTION("""COMPUTED_VALUE"""),6.89700996444676)</f>
        <v>6.897009964</v>
      </c>
    </row>
    <row r="1083">
      <c r="A1083" s="11">
        <f>IFERROR(__xludf.DUMMYFUNCTION("""COMPUTED_VALUE"""),2014.0)</f>
        <v>2014</v>
      </c>
      <c r="B1083" s="11" t="str">
        <f>IFERROR(__xludf.DUMMYFUNCTION("""COMPUTED_VALUE"""),"Industria")</f>
        <v>Industria</v>
      </c>
      <c r="C1083" s="11">
        <f>IFERROR(__xludf.DUMMYFUNCTION("""COMPUTED_VALUE"""),0.130930925447883)</f>
        <v>0.1309309254</v>
      </c>
    </row>
    <row r="1084">
      <c r="A1084" s="11">
        <f>IFERROR(__xludf.DUMMYFUNCTION("""COMPUTED_VALUE"""),2014.0)</f>
        <v>2014</v>
      </c>
      <c r="B1084" s="11" t="str">
        <f>IFERROR(__xludf.DUMMYFUNCTION("""COMPUTED_VALUE"""),"Inssjyp Prestaciones")</f>
        <v>Inssjyp Prestaciones</v>
      </c>
      <c r="C1084" s="11">
        <f>IFERROR(__xludf.DUMMYFUNCTION("""COMPUTED_VALUE"""),0.118256398430384)</f>
        <v>0.1182563984</v>
      </c>
    </row>
    <row r="1085">
      <c r="A1085" s="11">
        <f>IFERROR(__xludf.DUMMYFUNCTION("""COMPUTED_VALUE"""),2014.0)</f>
        <v>2014</v>
      </c>
      <c r="B1085" s="11" t="str">
        <f>IFERROR(__xludf.DUMMYFUNCTION("""COMPUTED_VALUE"""),"Inssjyp Salud")</f>
        <v>Inssjyp Salud</v>
      </c>
      <c r="C1085" s="11">
        <f>IFERROR(__xludf.DUMMYFUNCTION("""COMPUTED_VALUE"""),1.05082482272118)</f>
        <v>1.050824823</v>
      </c>
    </row>
    <row r="1086">
      <c r="A1086" s="11">
        <f>IFERROR(__xludf.DUMMYFUNCTION("""COMPUTED_VALUE"""),2014.0)</f>
        <v>2014</v>
      </c>
      <c r="B1086" s="11" t="str">
        <f>IFERROR(__xludf.DUMMYFUNCTION("""COMPUTED_VALUE"""),"Justicia")</f>
        <v>Justicia</v>
      </c>
      <c r="C1086" s="11">
        <f>IFERROR(__xludf.DUMMYFUNCTION("""COMPUTED_VALUE"""),1.06879641846102)</f>
        <v>1.068796418</v>
      </c>
    </row>
    <row r="1087">
      <c r="A1087" s="11">
        <f>IFERROR(__xludf.DUMMYFUNCTION("""COMPUTED_VALUE"""),2014.0)</f>
        <v>2014</v>
      </c>
      <c r="B1087" s="11" t="str">
        <f>IFERROR(__xludf.DUMMYFUNCTION("""COMPUTED_VALUE"""),"Obras Sociales Prestaciones")</f>
        <v>Obras Sociales Prestaciones</v>
      </c>
      <c r="C1087" s="11">
        <f>IFERROR(__xludf.DUMMYFUNCTION("""COMPUTED_VALUE"""),0.143194370412969)</f>
        <v>0.1431943704</v>
      </c>
    </row>
    <row r="1088">
      <c r="A1088" s="11">
        <f>IFERROR(__xludf.DUMMYFUNCTION("""COMPUTED_VALUE"""),2014.0)</f>
        <v>2014</v>
      </c>
      <c r="B1088" s="11" t="str">
        <f>IFERROR(__xludf.DUMMYFUNCTION("""COMPUTED_VALUE"""),"Obras Sociales Salud")</f>
        <v>Obras Sociales Salud</v>
      </c>
      <c r="C1088" s="11">
        <f>IFERROR(__xludf.DUMMYFUNCTION("""COMPUTED_VALUE"""),2.8301507867398)</f>
        <v>2.830150787</v>
      </c>
    </row>
    <row r="1089">
      <c r="A1089" s="11">
        <f>IFERROR(__xludf.DUMMYFUNCTION("""COMPUTED_VALUE"""),2014.0)</f>
        <v>2014</v>
      </c>
      <c r="B1089" s="11" t="str">
        <f>IFERROR(__xludf.DUMMYFUNCTION("""COMPUTED_VALUE"""),"Otros Servicios Economicos")</f>
        <v>Otros Servicios Economicos</v>
      </c>
      <c r="C1089" s="11">
        <f>IFERROR(__xludf.DUMMYFUNCTION("""COMPUTED_VALUE"""),0.273745492382007)</f>
        <v>0.2737454924</v>
      </c>
    </row>
    <row r="1090">
      <c r="A1090" s="11">
        <f>IFERROR(__xludf.DUMMYFUNCTION("""COMPUTED_VALUE"""),2014.0)</f>
        <v>2014</v>
      </c>
      <c r="B1090" s="11" t="str">
        <f>IFERROR(__xludf.DUMMYFUNCTION("""COMPUTED_VALUE"""),"Otros Servicios Urbanos")</f>
        <v>Otros Servicios Urbanos</v>
      </c>
      <c r="C1090" s="11">
        <f>IFERROR(__xludf.DUMMYFUNCTION("""COMPUTED_VALUE"""),0.955647726056811)</f>
        <v>0.9556477261</v>
      </c>
    </row>
    <row r="1091">
      <c r="A1091" s="11">
        <f>IFERROR(__xludf.DUMMYFUNCTION("""COMPUTED_VALUE"""),2014.0)</f>
        <v>2014</v>
      </c>
      <c r="B1091" s="11" t="str">
        <f>IFERROR(__xludf.DUMMYFUNCTION("""COMPUTED_VALUE"""),"Prevision Social")</f>
        <v>Prevision Social</v>
      </c>
      <c r="C1091" s="11">
        <f>IFERROR(__xludf.DUMMYFUNCTION("""COMPUTED_VALUE"""),10.114980867808)</f>
        <v>10.11498087</v>
      </c>
    </row>
    <row r="1092">
      <c r="A1092" s="11">
        <f>IFERROR(__xludf.DUMMYFUNCTION("""COMPUTED_VALUE"""),2014.0)</f>
        <v>2014</v>
      </c>
      <c r="B1092" s="11" t="str">
        <f>IFERROR(__xludf.DUMMYFUNCTION("""COMPUTED_VALUE"""),"Produccion Primaria")</f>
        <v>Produccion Primaria</v>
      </c>
      <c r="C1092" s="11">
        <f>IFERROR(__xludf.DUMMYFUNCTION("""COMPUTED_VALUE"""),0.407052737399189)</f>
        <v>0.4070527374</v>
      </c>
    </row>
    <row r="1093">
      <c r="A1093" s="11">
        <f>IFERROR(__xludf.DUMMYFUNCTION("""COMPUTED_VALUE"""),2014.0)</f>
        <v>2014</v>
      </c>
      <c r="B1093" s="11" t="str">
        <f>IFERROR(__xludf.DUMMYFUNCTION("""COMPUTED_VALUE"""),"Programas Empleo")</f>
        <v>Programas Empleo</v>
      </c>
      <c r="C1093" s="11">
        <f>IFERROR(__xludf.DUMMYFUNCTION("""COMPUTED_VALUE"""),0.222169319310221)</f>
        <v>0.2221693193</v>
      </c>
    </row>
    <row r="1094">
      <c r="A1094" s="11">
        <f>IFERROR(__xludf.DUMMYFUNCTION("""COMPUTED_VALUE"""),2014.0)</f>
        <v>2014</v>
      </c>
      <c r="B1094" s="11" t="str">
        <f>IFERROR(__xludf.DUMMYFUNCTION("""COMPUTED_VALUE"""),"Promocion Asistencia Social")</f>
        <v>Promocion Asistencia Social</v>
      </c>
      <c r="C1094" s="11">
        <f>IFERROR(__xludf.DUMMYFUNCTION("""COMPUTED_VALUE"""),1.24330871595293)</f>
        <v>1.243308716</v>
      </c>
    </row>
    <row r="1095">
      <c r="A1095" s="11">
        <f>IFERROR(__xludf.DUMMYFUNCTION("""COMPUTED_VALUE"""),2014.0)</f>
        <v>2014</v>
      </c>
      <c r="B1095" s="11" t="str">
        <f>IFERROR(__xludf.DUMMYFUNCTION("""COMPUTED_VALUE"""),"Servicios Deuda Publica")</f>
        <v>Servicios Deuda Publica</v>
      </c>
      <c r="C1095" s="11">
        <f>IFERROR(__xludf.DUMMYFUNCTION("""COMPUTED_VALUE"""),2.14997596268465)</f>
        <v>2.149975963</v>
      </c>
    </row>
    <row r="1096">
      <c r="A1096" s="11">
        <f>IFERROR(__xludf.DUMMYFUNCTION("""COMPUTED_VALUE"""),2014.0)</f>
        <v>2014</v>
      </c>
      <c r="B1096" s="11" t="str">
        <f>IFERROR(__xludf.DUMMYFUNCTION("""COMPUTED_VALUE"""),"Servicios Economicos")</f>
        <v>Servicios Economicos</v>
      </c>
      <c r="C1096" s="11">
        <f>IFERROR(__xludf.DUMMYFUNCTION("""COMPUTED_VALUE"""),7.78734782852031)</f>
        <v>7.787347829</v>
      </c>
    </row>
    <row r="1097">
      <c r="A1097" s="11">
        <f>IFERROR(__xludf.DUMMYFUNCTION("""COMPUTED_VALUE"""),2014.0)</f>
        <v>2014</v>
      </c>
      <c r="B1097" s="11" t="str">
        <f>IFERROR(__xludf.DUMMYFUNCTION("""COMPUTED_VALUE"""),"Servicios Sociales")</f>
        <v>Servicios Sociales</v>
      </c>
      <c r="C1097" s="11">
        <f>IFERROR(__xludf.DUMMYFUNCTION("""COMPUTED_VALUE"""),28.1591030924479)</f>
        <v>28.15910309</v>
      </c>
    </row>
    <row r="1098">
      <c r="A1098" s="11">
        <f>IFERROR(__xludf.DUMMYFUNCTION("""COMPUTED_VALUE"""),2014.0)</f>
        <v>2014</v>
      </c>
      <c r="B1098" s="11" t="str">
        <f>IFERROR(__xludf.DUMMYFUNCTION("""COMPUTED_VALUE"""),"Transporte")</f>
        <v>Transporte</v>
      </c>
      <c r="C1098" s="11">
        <f>IFERROR(__xludf.DUMMYFUNCTION("""COMPUTED_VALUE"""),2.33643400185255)</f>
        <v>2.336434002</v>
      </c>
    </row>
    <row r="1099">
      <c r="A1099" s="11">
        <f>IFERROR(__xludf.DUMMYFUNCTION("""COMPUTED_VALUE"""),2014.0)</f>
        <v>2014</v>
      </c>
      <c r="B1099" s="11" t="str">
        <f>IFERROR(__xludf.DUMMYFUNCTION("""COMPUTED_VALUE"""),"Vivienda Urbanismo")</f>
        <v>Vivienda Urbanismo</v>
      </c>
      <c r="C1099" s="11">
        <f>IFERROR(__xludf.DUMMYFUNCTION("""COMPUTED_VALUE"""),1.10818676371841)</f>
        <v>1.108186764</v>
      </c>
    </row>
    <row r="1100">
      <c r="A1100" s="11">
        <f>IFERROR(__xludf.DUMMYFUNCTION("""COMPUTED_VALUE"""),2015.0)</f>
        <v>2015</v>
      </c>
      <c r="B1100" s="11" t="str">
        <f>IFERROR(__xludf.DUMMYFUNCTION("""COMPUTED_VALUE"""),"Administracion General")</f>
        <v>Administracion General</v>
      </c>
      <c r="C1100" s="11">
        <f>IFERROR(__xludf.DUMMYFUNCTION("""COMPUTED_VALUE"""),3.12401984721486)</f>
        <v>3.124019847</v>
      </c>
    </row>
    <row r="1101">
      <c r="A1101" s="11">
        <f>IFERROR(__xludf.DUMMYFUNCTION("""COMPUTED_VALUE"""),2015.0)</f>
        <v>2015</v>
      </c>
      <c r="B1101" s="11" t="str">
        <f>IFERROR(__xludf.DUMMYFUNCTION("""COMPUTED_VALUE"""),"Agua Alcantarillado")</f>
        <v>Agua Alcantarillado</v>
      </c>
      <c r="C1101" s="11">
        <f>IFERROR(__xludf.DUMMYFUNCTION("""COMPUTED_VALUE"""),0.60696002432824)</f>
        <v>0.6069600243</v>
      </c>
    </row>
    <row r="1102">
      <c r="A1102" s="11">
        <f>IFERROR(__xludf.DUMMYFUNCTION("""COMPUTED_VALUE"""),2015.0)</f>
        <v>2015</v>
      </c>
      <c r="B1102" s="11" t="str">
        <f>IFERROR(__xludf.DUMMYFUNCTION("""COMPUTED_VALUE"""),"Asignaciones Familiares")</f>
        <v>Asignaciones Familiares</v>
      </c>
      <c r="C1102" s="11">
        <f>IFERROR(__xludf.DUMMYFUNCTION("""COMPUTED_VALUE"""),1.03646004801647)</f>
        <v>1.036460048</v>
      </c>
    </row>
    <row r="1103">
      <c r="A1103" s="11">
        <f>IFERROR(__xludf.DUMMYFUNCTION("""COMPUTED_VALUE"""),2015.0)</f>
        <v>2015</v>
      </c>
      <c r="B1103" s="11" t="str">
        <f>IFERROR(__xludf.DUMMYFUNCTION("""COMPUTED_VALUE"""),"Atencion Salud")</f>
        <v>Atencion Salud</v>
      </c>
      <c r="C1103" s="11">
        <f>IFERROR(__xludf.DUMMYFUNCTION("""COMPUTED_VALUE"""),2.81177801652627)</f>
        <v>2.811778017</v>
      </c>
    </row>
    <row r="1104">
      <c r="A1104" s="11">
        <f>IFERROR(__xludf.DUMMYFUNCTION("""COMPUTED_VALUE"""),2015.0)</f>
        <v>2015</v>
      </c>
      <c r="B1104" s="11" t="str">
        <f>IFERROR(__xludf.DUMMYFUNCTION("""COMPUTED_VALUE"""),"Ciencia Tecnica")</f>
        <v>Ciencia Tecnica</v>
      </c>
      <c r="C1104" s="11">
        <f>IFERROR(__xludf.DUMMYFUNCTION("""COMPUTED_VALUE"""),0.315815979583976)</f>
        <v>0.3158159796</v>
      </c>
    </row>
    <row r="1105">
      <c r="A1105" s="11">
        <f>IFERROR(__xludf.DUMMYFUNCTION("""COMPUTED_VALUE"""),2015.0)</f>
        <v>2015</v>
      </c>
      <c r="B1105" s="11" t="str">
        <f>IFERROR(__xludf.DUMMYFUNCTION("""COMPUTED_VALUE"""),"Comunicaciones")</f>
        <v>Comunicaciones</v>
      </c>
      <c r="C1105" s="11">
        <f>IFERROR(__xludf.DUMMYFUNCTION("""COMPUTED_VALUE"""),0.252276919639441)</f>
        <v>0.2522769196</v>
      </c>
    </row>
    <row r="1106">
      <c r="A1106" s="11">
        <f>IFERROR(__xludf.DUMMYFUNCTION("""COMPUTED_VALUE"""),2015.0)</f>
        <v>2015</v>
      </c>
      <c r="B1106" s="11" t="str">
        <f>IFERROR(__xludf.DUMMYFUNCTION("""COMPUTED_VALUE"""),"Cultura")</f>
        <v>Cultura</v>
      </c>
      <c r="C1106" s="11">
        <f>IFERROR(__xludf.DUMMYFUNCTION("""COMPUTED_VALUE"""),0.248241975211193)</f>
        <v>0.2482419752</v>
      </c>
    </row>
    <row r="1107">
      <c r="A1107" s="11">
        <f>IFERROR(__xludf.DUMMYFUNCTION("""COMPUTED_VALUE"""),2015.0)</f>
        <v>2015</v>
      </c>
      <c r="B1107" s="11" t="str">
        <f>IFERROR(__xludf.DUMMYFUNCTION("""COMPUTED_VALUE"""),"Defensa Seguridad")</f>
        <v>Defensa Seguridad</v>
      </c>
      <c r="C1107" s="11">
        <f>IFERROR(__xludf.DUMMYFUNCTION("""COMPUTED_VALUE"""),3.04745725550101)</f>
        <v>3.047457256</v>
      </c>
    </row>
    <row r="1108">
      <c r="A1108" s="11">
        <f>IFERROR(__xludf.DUMMYFUNCTION("""COMPUTED_VALUE"""),2015.0)</f>
        <v>2015</v>
      </c>
      <c r="B1108" s="11" t="str">
        <f>IFERROR(__xludf.DUMMYFUNCTION("""COMPUTED_VALUE"""),"Educacion Basica")</f>
        <v>Educacion Basica</v>
      </c>
      <c r="C1108" s="11">
        <f>IFERROR(__xludf.DUMMYFUNCTION("""COMPUTED_VALUE"""),4.14883274236227)</f>
        <v>4.148832742</v>
      </c>
    </row>
    <row r="1109">
      <c r="A1109" s="11">
        <f>IFERROR(__xludf.DUMMYFUNCTION("""COMPUTED_VALUE"""),2015.0)</f>
        <v>2015</v>
      </c>
      <c r="B1109" s="11" t="str">
        <f>IFERROR(__xludf.DUMMYFUNCTION("""COMPUTED_VALUE"""),"Educacion Cultura Sin Discriminar")</f>
        <v>Educacion Cultura Sin Discriminar</v>
      </c>
      <c r="C1109" s="11">
        <f>IFERROR(__xludf.DUMMYFUNCTION("""COMPUTED_VALUE"""),0.699247965998027)</f>
        <v>0.699247966</v>
      </c>
    </row>
    <row r="1110">
      <c r="A1110" s="11">
        <f>IFERROR(__xludf.DUMMYFUNCTION("""COMPUTED_VALUE"""),2015.0)</f>
        <v>2015</v>
      </c>
      <c r="B1110" s="11" t="str">
        <f>IFERROR(__xludf.DUMMYFUNCTION("""COMPUTED_VALUE"""),"Educacion Universitaria")</f>
        <v>Educacion Universitaria</v>
      </c>
      <c r="C1110" s="11">
        <f>IFERROR(__xludf.DUMMYFUNCTION("""COMPUTED_VALUE"""),1.2958420233838)</f>
        <v>1.295842023</v>
      </c>
    </row>
    <row r="1111">
      <c r="A1111" s="11">
        <f>IFERROR(__xludf.DUMMYFUNCTION("""COMPUTED_VALUE"""),2015.0)</f>
        <v>2015</v>
      </c>
      <c r="B1111" s="11" t="str">
        <f>IFERROR(__xludf.DUMMYFUNCTION("""COMPUTED_VALUE"""),"Energia Combustible")</f>
        <v>Energia Combustible</v>
      </c>
      <c r="C1111" s="11">
        <f>IFERROR(__xludf.DUMMYFUNCTION("""COMPUTED_VALUE"""),3.17954966347367)</f>
        <v>3.179549663</v>
      </c>
    </row>
    <row r="1112">
      <c r="A1112" s="11">
        <f>IFERROR(__xludf.DUMMYFUNCTION("""COMPUTED_VALUE"""),2015.0)</f>
        <v>2015</v>
      </c>
      <c r="B1112" s="11" t="str">
        <f>IFERROR(__xludf.DUMMYFUNCTION("""COMPUTED_VALUE"""),"Funcionamiento Estado")</f>
        <v>Funcionamiento Estado</v>
      </c>
      <c r="C1112" s="11">
        <f>IFERROR(__xludf.DUMMYFUNCTION("""COMPUTED_VALUE"""),7.35298935358501)</f>
        <v>7.352989354</v>
      </c>
    </row>
    <row r="1113">
      <c r="A1113" s="11">
        <f>IFERROR(__xludf.DUMMYFUNCTION("""COMPUTED_VALUE"""),2015.0)</f>
        <v>2015</v>
      </c>
      <c r="B1113" s="11" t="str">
        <f>IFERROR(__xludf.DUMMYFUNCTION("""COMPUTED_VALUE"""),"Industria")</f>
        <v>Industria</v>
      </c>
      <c r="C1113" s="11">
        <f>IFERROR(__xludf.DUMMYFUNCTION("""COMPUTED_VALUE"""),0.167459006308137)</f>
        <v>0.1674590063</v>
      </c>
    </row>
    <row r="1114">
      <c r="A1114" s="11">
        <f>IFERROR(__xludf.DUMMYFUNCTION("""COMPUTED_VALUE"""),2015.0)</f>
        <v>2015</v>
      </c>
      <c r="B1114" s="11" t="str">
        <f>IFERROR(__xludf.DUMMYFUNCTION("""COMPUTED_VALUE"""),"Inssjyp Prestaciones")</f>
        <v>Inssjyp Prestaciones</v>
      </c>
      <c r="C1114" s="11">
        <f>IFERROR(__xludf.DUMMYFUNCTION("""COMPUTED_VALUE"""),0.116786882266581)</f>
        <v>0.1167868823</v>
      </c>
    </row>
    <row r="1115">
      <c r="A1115" s="11">
        <f>IFERROR(__xludf.DUMMYFUNCTION("""COMPUTED_VALUE"""),2015.0)</f>
        <v>2015</v>
      </c>
      <c r="B1115" s="11" t="str">
        <f>IFERROR(__xludf.DUMMYFUNCTION("""COMPUTED_VALUE"""),"Inssjyp Salud")</f>
        <v>Inssjyp Salud</v>
      </c>
      <c r="C1115" s="11">
        <f>IFERROR(__xludf.DUMMYFUNCTION("""COMPUTED_VALUE"""),1.03199458067129)</f>
        <v>1.031994581</v>
      </c>
    </row>
    <row r="1116">
      <c r="A1116" s="11">
        <f>IFERROR(__xludf.DUMMYFUNCTION("""COMPUTED_VALUE"""),2015.0)</f>
        <v>2015</v>
      </c>
      <c r="B1116" s="11" t="str">
        <f>IFERROR(__xludf.DUMMYFUNCTION("""COMPUTED_VALUE"""),"Justicia")</f>
        <v>Justicia</v>
      </c>
      <c r="C1116" s="11">
        <f>IFERROR(__xludf.DUMMYFUNCTION("""COMPUTED_VALUE"""),1.18151225086912)</f>
        <v>1.181512251</v>
      </c>
    </row>
    <row r="1117">
      <c r="A1117" s="11">
        <f>IFERROR(__xludf.DUMMYFUNCTION("""COMPUTED_VALUE"""),2015.0)</f>
        <v>2015</v>
      </c>
      <c r="B1117" s="11" t="str">
        <f>IFERROR(__xludf.DUMMYFUNCTION("""COMPUTED_VALUE"""),"Obras Sociales Prestaciones")</f>
        <v>Obras Sociales Prestaciones</v>
      </c>
      <c r="C1117" s="11">
        <f>IFERROR(__xludf.DUMMYFUNCTION("""COMPUTED_VALUE"""),0.155443719344218)</f>
        <v>0.1554437193</v>
      </c>
    </row>
    <row r="1118">
      <c r="A1118" s="11">
        <f>IFERROR(__xludf.DUMMYFUNCTION("""COMPUTED_VALUE"""),2015.0)</f>
        <v>2015</v>
      </c>
      <c r="B1118" s="11" t="str">
        <f>IFERROR(__xludf.DUMMYFUNCTION("""COMPUTED_VALUE"""),"Obras Sociales Salud")</f>
        <v>Obras Sociales Salud</v>
      </c>
      <c r="C1118" s="11">
        <f>IFERROR(__xludf.DUMMYFUNCTION("""COMPUTED_VALUE"""),3.01126995320716)</f>
        <v>3.011269953</v>
      </c>
    </row>
    <row r="1119">
      <c r="A1119" s="11">
        <f>IFERROR(__xludf.DUMMYFUNCTION("""COMPUTED_VALUE"""),2015.0)</f>
        <v>2015</v>
      </c>
      <c r="B1119" s="11" t="str">
        <f>IFERROR(__xludf.DUMMYFUNCTION("""COMPUTED_VALUE"""),"Otros Servicios Economicos")</f>
        <v>Otros Servicios Economicos</v>
      </c>
      <c r="C1119" s="11">
        <f>IFERROR(__xludf.DUMMYFUNCTION("""COMPUTED_VALUE"""),0.27768841326011)</f>
        <v>0.2776884133</v>
      </c>
    </row>
    <row r="1120">
      <c r="A1120" s="11">
        <f>IFERROR(__xludf.DUMMYFUNCTION("""COMPUTED_VALUE"""),2015.0)</f>
        <v>2015</v>
      </c>
      <c r="B1120" s="11" t="str">
        <f>IFERROR(__xludf.DUMMYFUNCTION("""COMPUTED_VALUE"""),"Otros Servicios Urbanos")</f>
        <v>Otros Servicios Urbanos</v>
      </c>
      <c r="C1120" s="11">
        <f>IFERROR(__xludf.DUMMYFUNCTION("""COMPUTED_VALUE"""),0.968787059279514)</f>
        <v>0.9687870593</v>
      </c>
    </row>
    <row r="1121">
      <c r="A1121" s="11">
        <f>IFERROR(__xludf.DUMMYFUNCTION("""COMPUTED_VALUE"""),2015.0)</f>
        <v>2015</v>
      </c>
      <c r="B1121" s="11" t="str">
        <f>IFERROR(__xludf.DUMMYFUNCTION("""COMPUTED_VALUE"""),"Prevision Social")</f>
        <v>Prevision Social</v>
      </c>
      <c r="C1121" s="11">
        <f>IFERROR(__xludf.DUMMYFUNCTION("""COMPUTED_VALUE"""),11.1386578428514)</f>
        <v>11.13865784</v>
      </c>
    </row>
    <row r="1122">
      <c r="A1122" s="11">
        <f>IFERROR(__xludf.DUMMYFUNCTION("""COMPUTED_VALUE"""),2015.0)</f>
        <v>2015</v>
      </c>
      <c r="B1122" s="11" t="str">
        <f>IFERROR(__xludf.DUMMYFUNCTION("""COMPUTED_VALUE"""),"Produccion Primaria")</f>
        <v>Produccion Primaria</v>
      </c>
      <c r="C1122" s="11">
        <f>IFERROR(__xludf.DUMMYFUNCTION("""COMPUTED_VALUE"""),0.42997486132832)</f>
        <v>0.4299748613</v>
      </c>
    </row>
    <row r="1123">
      <c r="A1123" s="11">
        <f>IFERROR(__xludf.DUMMYFUNCTION("""COMPUTED_VALUE"""),2015.0)</f>
        <v>2015</v>
      </c>
      <c r="B1123" s="11" t="str">
        <f>IFERROR(__xludf.DUMMYFUNCTION("""COMPUTED_VALUE"""),"Programas Empleo")</f>
        <v>Programas Empleo</v>
      </c>
      <c r="C1123" s="11">
        <f>IFERROR(__xludf.DUMMYFUNCTION("""COMPUTED_VALUE"""),0.224033407129116)</f>
        <v>0.2240334071</v>
      </c>
    </row>
    <row r="1124">
      <c r="A1124" s="11">
        <f>IFERROR(__xludf.DUMMYFUNCTION("""COMPUTED_VALUE"""),2015.0)</f>
        <v>2015</v>
      </c>
      <c r="B1124" s="11" t="str">
        <f>IFERROR(__xludf.DUMMYFUNCTION("""COMPUTED_VALUE"""),"Promocion Asistencia Social")</f>
        <v>Promocion Asistencia Social</v>
      </c>
      <c r="C1124" s="11">
        <f>IFERROR(__xludf.DUMMYFUNCTION("""COMPUTED_VALUE"""),1.26861980129899)</f>
        <v>1.268619801</v>
      </c>
    </row>
    <row r="1125">
      <c r="A1125" s="11">
        <f>IFERROR(__xludf.DUMMYFUNCTION("""COMPUTED_VALUE"""),2015.0)</f>
        <v>2015</v>
      </c>
      <c r="B1125" s="11" t="str">
        <f>IFERROR(__xludf.DUMMYFUNCTION("""COMPUTED_VALUE"""),"Servicios Deuda Publica")</f>
        <v>Servicios Deuda Publica</v>
      </c>
      <c r="C1125" s="11">
        <f>IFERROR(__xludf.DUMMYFUNCTION("""COMPUTED_VALUE"""),2.10374838061928)</f>
        <v>2.103748381</v>
      </c>
    </row>
    <row r="1126">
      <c r="A1126" s="11">
        <f>IFERROR(__xludf.DUMMYFUNCTION("""COMPUTED_VALUE"""),2015.0)</f>
        <v>2015</v>
      </c>
      <c r="B1126" s="11" t="str">
        <f>IFERROR(__xludf.DUMMYFUNCTION("""COMPUTED_VALUE"""),"Servicios Economicos")</f>
        <v>Servicios Economicos</v>
      </c>
      <c r="C1126" s="11">
        <f>IFERROR(__xludf.DUMMYFUNCTION("""COMPUTED_VALUE"""),6.57567820936392)</f>
        <v>6.575678209</v>
      </c>
    </row>
    <row r="1127">
      <c r="A1127" s="11">
        <f>IFERROR(__xludf.DUMMYFUNCTION("""COMPUTED_VALUE"""),2015.0)</f>
        <v>2015</v>
      </c>
      <c r="B1127" s="11" t="str">
        <f>IFERROR(__xludf.DUMMYFUNCTION("""COMPUTED_VALUE"""),"Servicios Sociales")</f>
        <v>Servicios Sociales</v>
      </c>
      <c r="C1127" s="11">
        <f>IFERROR(__xludf.DUMMYFUNCTION("""COMPUTED_VALUE"""),30.2670437736309)</f>
        <v>30.26704377</v>
      </c>
    </row>
    <row r="1128">
      <c r="A1128" s="11">
        <f>IFERROR(__xludf.DUMMYFUNCTION("""COMPUTED_VALUE"""),2015.0)</f>
        <v>2015</v>
      </c>
      <c r="B1128" s="11" t="str">
        <f>IFERROR(__xludf.DUMMYFUNCTION("""COMPUTED_VALUE"""),"Transporte")</f>
        <v>Transporte</v>
      </c>
      <c r="C1128" s="11">
        <f>IFERROR(__xludf.DUMMYFUNCTION("""COMPUTED_VALUE"""),2.26872934535424)</f>
        <v>2.268729345</v>
      </c>
    </row>
    <row r="1129">
      <c r="A1129" s="11">
        <f>IFERROR(__xludf.DUMMYFUNCTION("""COMPUTED_VALUE"""),2015.0)</f>
        <v>2015</v>
      </c>
      <c r="B1129" s="11" t="str">
        <f>IFERROR(__xludf.DUMMYFUNCTION("""COMPUTED_VALUE"""),"Vivienda Urbanismo")</f>
        <v>Vivienda Urbanismo</v>
      </c>
      <c r="C1129" s="11">
        <f>IFERROR(__xludf.DUMMYFUNCTION("""COMPUTED_VALUE"""),1.18827175217237)</f>
        <v>1.188271752</v>
      </c>
    </row>
    <row r="1130">
      <c r="A1130" s="11">
        <f>IFERROR(__xludf.DUMMYFUNCTION("""COMPUTED_VALUE"""),2016.0)</f>
        <v>2016</v>
      </c>
      <c r="B1130" s="11" t="str">
        <f>IFERROR(__xludf.DUMMYFUNCTION("""COMPUTED_VALUE"""),"Administracion General")</f>
        <v>Administracion General</v>
      </c>
      <c r="C1130" s="11">
        <f>IFERROR(__xludf.DUMMYFUNCTION("""COMPUTED_VALUE"""),2.99181024476541)</f>
        <v>2.991810245</v>
      </c>
    </row>
    <row r="1131">
      <c r="A1131" s="11">
        <f>IFERROR(__xludf.DUMMYFUNCTION("""COMPUTED_VALUE"""),2016.0)</f>
        <v>2016</v>
      </c>
      <c r="B1131" s="11" t="str">
        <f>IFERROR(__xludf.DUMMYFUNCTION("""COMPUTED_VALUE"""),"Agua Alcantarillado")</f>
        <v>Agua Alcantarillado</v>
      </c>
      <c r="C1131" s="11">
        <f>IFERROR(__xludf.DUMMYFUNCTION("""COMPUTED_VALUE"""),0.519061450410838)</f>
        <v>0.5190614504</v>
      </c>
    </row>
    <row r="1132">
      <c r="A1132" s="11">
        <f>IFERROR(__xludf.DUMMYFUNCTION("""COMPUTED_VALUE"""),2016.0)</f>
        <v>2016</v>
      </c>
      <c r="B1132" s="11" t="str">
        <f>IFERROR(__xludf.DUMMYFUNCTION("""COMPUTED_VALUE"""),"Asignaciones Familiares")</f>
        <v>Asignaciones Familiares</v>
      </c>
      <c r="C1132" s="11">
        <f>IFERROR(__xludf.DUMMYFUNCTION("""COMPUTED_VALUE"""),1.23490641412986)</f>
        <v>1.234906414</v>
      </c>
    </row>
    <row r="1133">
      <c r="A1133" s="11">
        <f>IFERROR(__xludf.DUMMYFUNCTION("""COMPUTED_VALUE"""),2016.0)</f>
        <v>2016</v>
      </c>
      <c r="B1133" s="11" t="str">
        <f>IFERROR(__xludf.DUMMYFUNCTION("""COMPUTED_VALUE"""),"Atencion Salud")</f>
        <v>Atencion Salud</v>
      </c>
      <c r="C1133" s="11">
        <f>IFERROR(__xludf.DUMMYFUNCTION("""COMPUTED_VALUE"""),2.68856816762699)</f>
        <v>2.688568168</v>
      </c>
    </row>
    <row r="1134">
      <c r="A1134" s="11">
        <f>IFERROR(__xludf.DUMMYFUNCTION("""COMPUTED_VALUE"""),2016.0)</f>
        <v>2016</v>
      </c>
      <c r="B1134" s="11" t="str">
        <f>IFERROR(__xludf.DUMMYFUNCTION("""COMPUTED_VALUE"""),"Ciencia Tecnica")</f>
        <v>Ciencia Tecnica</v>
      </c>
      <c r="C1134" s="11">
        <f>IFERROR(__xludf.DUMMYFUNCTION("""COMPUTED_VALUE"""),0.296098868320141)</f>
        <v>0.2960988683</v>
      </c>
    </row>
    <row r="1135">
      <c r="A1135" s="11">
        <f>IFERROR(__xludf.DUMMYFUNCTION("""COMPUTED_VALUE"""),2016.0)</f>
        <v>2016</v>
      </c>
      <c r="B1135" s="11" t="str">
        <f>IFERROR(__xludf.DUMMYFUNCTION("""COMPUTED_VALUE"""),"Comunicaciones")</f>
        <v>Comunicaciones</v>
      </c>
      <c r="C1135" s="11">
        <f>IFERROR(__xludf.DUMMYFUNCTION("""COMPUTED_VALUE"""),0.163723652117353)</f>
        <v>0.1637236521</v>
      </c>
    </row>
    <row r="1136">
      <c r="A1136" s="11">
        <f>IFERROR(__xludf.DUMMYFUNCTION("""COMPUTED_VALUE"""),2016.0)</f>
        <v>2016</v>
      </c>
      <c r="B1136" s="11" t="str">
        <f>IFERROR(__xludf.DUMMYFUNCTION("""COMPUTED_VALUE"""),"Cultura")</f>
        <v>Cultura</v>
      </c>
      <c r="C1136" s="11">
        <f>IFERROR(__xludf.DUMMYFUNCTION("""COMPUTED_VALUE"""),0.218933360996843)</f>
        <v>0.218933361</v>
      </c>
    </row>
    <row r="1137">
      <c r="A1137" s="11">
        <f>IFERROR(__xludf.DUMMYFUNCTION("""COMPUTED_VALUE"""),2016.0)</f>
        <v>2016</v>
      </c>
      <c r="B1137" s="11" t="str">
        <f>IFERROR(__xludf.DUMMYFUNCTION("""COMPUTED_VALUE"""),"Defensa Seguridad")</f>
        <v>Defensa Seguridad</v>
      </c>
      <c r="C1137" s="11">
        <f>IFERROR(__xludf.DUMMYFUNCTION("""COMPUTED_VALUE"""),3.18341657063277)</f>
        <v>3.183416571</v>
      </c>
    </row>
    <row r="1138">
      <c r="A1138" s="11">
        <f>IFERROR(__xludf.DUMMYFUNCTION("""COMPUTED_VALUE"""),2016.0)</f>
        <v>2016</v>
      </c>
      <c r="B1138" s="11" t="str">
        <f>IFERROR(__xludf.DUMMYFUNCTION("""COMPUTED_VALUE"""),"Educacion Basica")</f>
        <v>Educacion Basica</v>
      </c>
      <c r="C1138" s="11">
        <f>IFERROR(__xludf.DUMMYFUNCTION("""COMPUTED_VALUE"""),3.92444713661508)</f>
        <v>3.924447137</v>
      </c>
    </row>
    <row r="1139">
      <c r="A1139" s="11">
        <f>IFERROR(__xludf.DUMMYFUNCTION("""COMPUTED_VALUE"""),2016.0)</f>
        <v>2016</v>
      </c>
      <c r="B1139" s="11" t="str">
        <f>IFERROR(__xludf.DUMMYFUNCTION("""COMPUTED_VALUE"""),"Educacion Cultura Sin Discriminar")</f>
        <v>Educacion Cultura Sin Discriminar</v>
      </c>
      <c r="C1139" s="11">
        <f>IFERROR(__xludf.DUMMYFUNCTION("""COMPUTED_VALUE"""),0.671937510611495)</f>
        <v>0.6719375106</v>
      </c>
    </row>
    <row r="1140">
      <c r="A1140" s="11">
        <f>IFERROR(__xludf.DUMMYFUNCTION("""COMPUTED_VALUE"""),2016.0)</f>
        <v>2016</v>
      </c>
      <c r="B1140" s="11" t="str">
        <f>IFERROR(__xludf.DUMMYFUNCTION("""COMPUTED_VALUE"""),"Educacion Universitaria")</f>
        <v>Educacion Universitaria</v>
      </c>
      <c r="C1140" s="11">
        <f>IFERROR(__xludf.DUMMYFUNCTION("""COMPUTED_VALUE"""),1.21602087729615)</f>
        <v>1.216020877</v>
      </c>
    </row>
    <row r="1141">
      <c r="A1141" s="11">
        <f>IFERROR(__xludf.DUMMYFUNCTION("""COMPUTED_VALUE"""),2016.0)</f>
        <v>2016</v>
      </c>
      <c r="B1141" s="11" t="str">
        <f>IFERROR(__xludf.DUMMYFUNCTION("""COMPUTED_VALUE"""),"Energia Combustible")</f>
        <v>Energia Combustible</v>
      </c>
      <c r="C1141" s="11">
        <f>IFERROR(__xludf.DUMMYFUNCTION("""COMPUTED_VALUE"""),3.12394199300037)</f>
        <v>3.123941993</v>
      </c>
    </row>
    <row r="1142">
      <c r="A1142" s="11">
        <f>IFERROR(__xludf.DUMMYFUNCTION("""COMPUTED_VALUE"""),2016.0)</f>
        <v>2016</v>
      </c>
      <c r="B1142" s="11" t="str">
        <f>IFERROR(__xludf.DUMMYFUNCTION("""COMPUTED_VALUE"""),"Funcionamiento Estado")</f>
        <v>Funcionamiento Estado</v>
      </c>
      <c r="C1142" s="11">
        <f>IFERROR(__xludf.DUMMYFUNCTION("""COMPUTED_VALUE"""),7.36883280793289)</f>
        <v>7.368832808</v>
      </c>
    </row>
    <row r="1143">
      <c r="A1143" s="11">
        <f>IFERROR(__xludf.DUMMYFUNCTION("""COMPUTED_VALUE"""),2016.0)</f>
        <v>2016</v>
      </c>
      <c r="B1143" s="11" t="str">
        <f>IFERROR(__xludf.DUMMYFUNCTION("""COMPUTED_VALUE"""),"Industria")</f>
        <v>Industria</v>
      </c>
      <c r="C1143" s="11">
        <f>IFERROR(__xludf.DUMMYFUNCTION("""COMPUTED_VALUE"""),0.166264579647046)</f>
        <v>0.1662645796</v>
      </c>
    </row>
    <row r="1144">
      <c r="A1144" s="11">
        <f>IFERROR(__xludf.DUMMYFUNCTION("""COMPUTED_VALUE"""),2016.0)</f>
        <v>2016</v>
      </c>
      <c r="B1144" s="11" t="str">
        <f>IFERROR(__xludf.DUMMYFUNCTION("""COMPUTED_VALUE"""),"Inssjyp Prestaciones")</f>
        <v>Inssjyp Prestaciones</v>
      </c>
      <c r="C1144" s="11">
        <f>IFERROR(__xludf.DUMMYFUNCTION("""COMPUTED_VALUE"""),0.247938068844693)</f>
        <v>0.2479380688</v>
      </c>
    </row>
    <row r="1145">
      <c r="A1145" s="11">
        <f>IFERROR(__xludf.DUMMYFUNCTION("""COMPUTED_VALUE"""),2016.0)</f>
        <v>2016</v>
      </c>
      <c r="B1145" s="11" t="str">
        <f>IFERROR(__xludf.DUMMYFUNCTION("""COMPUTED_VALUE"""),"Inssjyp Salud")</f>
        <v>Inssjyp Salud</v>
      </c>
      <c r="C1145" s="11">
        <f>IFERROR(__xludf.DUMMYFUNCTION("""COMPUTED_VALUE"""),0.951683539387096)</f>
        <v>0.9516835394</v>
      </c>
    </row>
    <row r="1146">
      <c r="A1146" s="11">
        <f>IFERROR(__xludf.DUMMYFUNCTION("""COMPUTED_VALUE"""),2016.0)</f>
        <v>2016</v>
      </c>
      <c r="B1146" s="11" t="str">
        <f>IFERROR(__xludf.DUMMYFUNCTION("""COMPUTED_VALUE"""),"Justicia")</f>
        <v>Justicia</v>
      </c>
      <c r="C1146" s="11">
        <f>IFERROR(__xludf.DUMMYFUNCTION("""COMPUTED_VALUE"""),1.19360599253469)</f>
        <v>1.193605993</v>
      </c>
    </row>
    <row r="1147">
      <c r="A1147" s="11">
        <f>IFERROR(__xludf.DUMMYFUNCTION("""COMPUTED_VALUE"""),2016.0)</f>
        <v>2016</v>
      </c>
      <c r="B1147" s="11" t="str">
        <f>IFERROR(__xludf.DUMMYFUNCTION("""COMPUTED_VALUE"""),"Obras Sociales Prestaciones")</f>
        <v>Obras Sociales Prestaciones</v>
      </c>
      <c r="C1147" s="11">
        <f>IFERROR(__xludf.DUMMYFUNCTION("""COMPUTED_VALUE"""),0.153105851697821)</f>
        <v>0.1531058517</v>
      </c>
    </row>
    <row r="1148">
      <c r="A1148" s="11">
        <f>IFERROR(__xludf.DUMMYFUNCTION("""COMPUTED_VALUE"""),2016.0)</f>
        <v>2016</v>
      </c>
      <c r="B1148" s="11" t="str">
        <f>IFERROR(__xludf.DUMMYFUNCTION("""COMPUTED_VALUE"""),"Obras Sociales Salud")</f>
        <v>Obras Sociales Salud</v>
      </c>
      <c r="C1148" s="11">
        <f>IFERROR(__xludf.DUMMYFUNCTION("""COMPUTED_VALUE"""),2.98492355030355)</f>
        <v>2.98492355</v>
      </c>
    </row>
    <row r="1149">
      <c r="A1149" s="11">
        <f>IFERROR(__xludf.DUMMYFUNCTION("""COMPUTED_VALUE"""),2016.0)</f>
        <v>2016</v>
      </c>
      <c r="B1149" s="11" t="str">
        <f>IFERROR(__xludf.DUMMYFUNCTION("""COMPUTED_VALUE"""),"Otros Servicios Economicos")</f>
        <v>Otros Servicios Economicos</v>
      </c>
      <c r="C1149" s="11">
        <f>IFERROR(__xludf.DUMMYFUNCTION("""COMPUTED_VALUE"""),0.255172565550951)</f>
        <v>0.2551725656</v>
      </c>
    </row>
    <row r="1150">
      <c r="A1150" s="11">
        <f>IFERROR(__xludf.DUMMYFUNCTION("""COMPUTED_VALUE"""),2016.0)</f>
        <v>2016</v>
      </c>
      <c r="B1150" s="11" t="str">
        <f>IFERROR(__xludf.DUMMYFUNCTION("""COMPUTED_VALUE"""),"Otros Servicios Urbanos")</f>
        <v>Otros Servicios Urbanos</v>
      </c>
      <c r="C1150" s="11">
        <f>IFERROR(__xludf.DUMMYFUNCTION("""COMPUTED_VALUE"""),0.95507809971264)</f>
        <v>0.9550780997</v>
      </c>
    </row>
    <row r="1151">
      <c r="A1151" s="11">
        <f>IFERROR(__xludf.DUMMYFUNCTION("""COMPUTED_VALUE"""),2016.0)</f>
        <v>2016</v>
      </c>
      <c r="B1151" s="11" t="str">
        <f>IFERROR(__xludf.DUMMYFUNCTION("""COMPUTED_VALUE"""),"Prevision Social")</f>
        <v>Prevision Social</v>
      </c>
      <c r="C1151" s="11">
        <f>IFERROR(__xludf.DUMMYFUNCTION("""COMPUTED_VALUE"""),11.266580224456)</f>
        <v>11.26658022</v>
      </c>
    </row>
    <row r="1152">
      <c r="A1152" s="11">
        <f>IFERROR(__xludf.DUMMYFUNCTION("""COMPUTED_VALUE"""),2016.0)</f>
        <v>2016</v>
      </c>
      <c r="B1152" s="11" t="str">
        <f>IFERROR(__xludf.DUMMYFUNCTION("""COMPUTED_VALUE"""),"Produccion Primaria")</f>
        <v>Produccion Primaria</v>
      </c>
      <c r="C1152" s="11">
        <f>IFERROR(__xludf.DUMMYFUNCTION("""COMPUTED_VALUE"""),0.391855393708049)</f>
        <v>0.3918553937</v>
      </c>
    </row>
    <row r="1153">
      <c r="A1153" s="11">
        <f>IFERROR(__xludf.DUMMYFUNCTION("""COMPUTED_VALUE"""),2016.0)</f>
        <v>2016</v>
      </c>
      <c r="B1153" s="11" t="str">
        <f>IFERROR(__xludf.DUMMYFUNCTION("""COMPUTED_VALUE"""),"Programas Empleo")</f>
        <v>Programas Empleo</v>
      </c>
      <c r="C1153" s="11">
        <f>IFERROR(__xludf.DUMMYFUNCTION("""COMPUTED_VALUE"""),0.211871406378167)</f>
        <v>0.2118714064</v>
      </c>
    </row>
    <row r="1154">
      <c r="A1154" s="11">
        <f>IFERROR(__xludf.DUMMYFUNCTION("""COMPUTED_VALUE"""),2016.0)</f>
        <v>2016</v>
      </c>
      <c r="B1154" s="11" t="str">
        <f>IFERROR(__xludf.DUMMYFUNCTION("""COMPUTED_VALUE"""),"Promocion Asistencia Social")</f>
        <v>Promocion Asistencia Social</v>
      </c>
      <c r="C1154" s="11">
        <f>IFERROR(__xludf.DUMMYFUNCTION("""COMPUTED_VALUE"""),1.1974865541497)</f>
        <v>1.197486554</v>
      </c>
    </row>
    <row r="1155">
      <c r="A1155" s="11">
        <f>IFERROR(__xludf.DUMMYFUNCTION("""COMPUTED_VALUE"""),2016.0)</f>
        <v>2016</v>
      </c>
      <c r="B1155" s="11" t="str">
        <f>IFERROR(__xludf.DUMMYFUNCTION("""COMPUTED_VALUE"""),"Servicios Deuda Publica")</f>
        <v>Servicios Deuda Publica</v>
      </c>
      <c r="C1155" s="11">
        <f>IFERROR(__xludf.DUMMYFUNCTION("""COMPUTED_VALUE"""),4.06491546716384)</f>
        <v>4.064915467</v>
      </c>
    </row>
    <row r="1156">
      <c r="A1156" s="11">
        <f>IFERROR(__xludf.DUMMYFUNCTION("""COMPUTED_VALUE"""),2016.0)</f>
        <v>2016</v>
      </c>
      <c r="B1156" s="11" t="str">
        <f>IFERROR(__xludf.DUMMYFUNCTION("""COMPUTED_VALUE"""),"Servicios Economicos")</f>
        <v>Servicios Economicos</v>
      </c>
      <c r="C1156" s="11">
        <f>IFERROR(__xludf.DUMMYFUNCTION("""COMPUTED_VALUE"""),6.19405187561651)</f>
        <v>6.194051876</v>
      </c>
    </row>
    <row r="1157">
      <c r="A1157" s="11">
        <f>IFERROR(__xludf.DUMMYFUNCTION("""COMPUTED_VALUE"""),2016.0)</f>
        <v>2016</v>
      </c>
      <c r="B1157" s="11" t="str">
        <f>IFERROR(__xludf.DUMMYFUNCTION("""COMPUTED_VALUE"""),"Servicios Sociales")</f>
        <v>Servicios Sociales</v>
      </c>
      <c r="C1157" s="11">
        <f>IFERROR(__xludf.DUMMYFUNCTION("""COMPUTED_VALUE"""),29.6802113012333)</f>
        <v>29.6802113</v>
      </c>
    </row>
    <row r="1158">
      <c r="A1158" s="11">
        <f>IFERROR(__xludf.DUMMYFUNCTION("""COMPUTED_VALUE"""),2016.0)</f>
        <v>2016</v>
      </c>
      <c r="B1158" s="11" t="str">
        <f>IFERROR(__xludf.DUMMYFUNCTION("""COMPUTED_VALUE"""),"Transporte")</f>
        <v>Transporte</v>
      </c>
      <c r="C1158" s="11">
        <f>IFERROR(__xludf.DUMMYFUNCTION("""COMPUTED_VALUE"""),2.09309369159273)</f>
        <v>2.093093692</v>
      </c>
    </row>
    <row r="1159">
      <c r="A1159" s="11">
        <f>IFERROR(__xludf.DUMMYFUNCTION("""COMPUTED_VALUE"""),2016.0)</f>
        <v>2016</v>
      </c>
      <c r="B1159" s="11" t="str">
        <f>IFERROR(__xludf.DUMMYFUNCTION("""COMPUTED_VALUE"""),"Vivienda Urbanismo")</f>
        <v>Vivienda Urbanismo</v>
      </c>
      <c r="C1159" s="11">
        <f>IFERROR(__xludf.DUMMYFUNCTION("""COMPUTED_VALUE"""),0.941570220296285)</f>
        <v>0.9415702203</v>
      </c>
    </row>
    <row r="1160">
      <c r="A1160" s="11">
        <f>IFERROR(__xludf.DUMMYFUNCTION("""COMPUTED_VALUE"""),2017.0)</f>
        <v>2017</v>
      </c>
      <c r="B1160" s="11" t="str">
        <f>IFERROR(__xludf.DUMMYFUNCTION("""COMPUTED_VALUE"""),"Administracion General")</f>
        <v>Administracion General</v>
      </c>
      <c r="C1160" s="11">
        <f>IFERROR(__xludf.DUMMYFUNCTION("""COMPUTED_VALUE"""),3.00814018909452)</f>
        <v>3.008140189</v>
      </c>
    </row>
    <row r="1161">
      <c r="A1161" s="11">
        <f>IFERROR(__xludf.DUMMYFUNCTION("""COMPUTED_VALUE"""),2017.0)</f>
        <v>2017</v>
      </c>
      <c r="B1161" s="11" t="str">
        <f>IFERROR(__xludf.DUMMYFUNCTION("""COMPUTED_VALUE"""),"Agua Alcantarillado")</f>
        <v>Agua Alcantarillado</v>
      </c>
      <c r="C1161" s="11">
        <f>IFERROR(__xludf.DUMMYFUNCTION("""COMPUTED_VALUE"""),0.559556246712744)</f>
        <v>0.5595562467</v>
      </c>
    </row>
    <row r="1162">
      <c r="A1162" s="11">
        <f>IFERROR(__xludf.DUMMYFUNCTION("""COMPUTED_VALUE"""),2017.0)</f>
        <v>2017</v>
      </c>
      <c r="B1162" s="11" t="str">
        <f>IFERROR(__xludf.DUMMYFUNCTION("""COMPUTED_VALUE"""),"Asignaciones Familiares")</f>
        <v>Asignaciones Familiares</v>
      </c>
      <c r="C1162" s="11">
        <f>IFERROR(__xludf.DUMMYFUNCTION("""COMPUTED_VALUE"""),1.25082988232968)</f>
        <v>1.250829882</v>
      </c>
    </row>
    <row r="1163">
      <c r="A1163" s="11">
        <f>IFERROR(__xludf.DUMMYFUNCTION("""COMPUTED_VALUE"""),2017.0)</f>
        <v>2017</v>
      </c>
      <c r="B1163" s="11" t="str">
        <f>IFERROR(__xludf.DUMMYFUNCTION("""COMPUTED_VALUE"""),"Atencion Salud")</f>
        <v>Atencion Salud</v>
      </c>
      <c r="C1163" s="11">
        <f>IFERROR(__xludf.DUMMYFUNCTION("""COMPUTED_VALUE"""),2.72766388635881)</f>
        <v>2.727663886</v>
      </c>
    </row>
    <row r="1164">
      <c r="A1164" s="11">
        <f>IFERROR(__xludf.DUMMYFUNCTION("""COMPUTED_VALUE"""),2017.0)</f>
        <v>2017</v>
      </c>
      <c r="B1164" s="11" t="str">
        <f>IFERROR(__xludf.DUMMYFUNCTION("""COMPUTED_VALUE"""),"Ciencia Tecnica")</f>
        <v>Ciencia Tecnica</v>
      </c>
      <c r="C1164" s="11">
        <f>IFERROR(__xludf.DUMMYFUNCTION("""COMPUTED_VALUE"""),0.283502036250579)</f>
        <v>0.2835020363</v>
      </c>
    </row>
    <row r="1165">
      <c r="A1165" s="11">
        <f>IFERROR(__xludf.DUMMYFUNCTION("""COMPUTED_VALUE"""),2017.0)</f>
        <v>2017</v>
      </c>
      <c r="B1165" s="11" t="str">
        <f>IFERROR(__xludf.DUMMYFUNCTION("""COMPUTED_VALUE"""),"Comunicaciones")</f>
        <v>Comunicaciones</v>
      </c>
      <c r="C1165" s="11">
        <f>IFERROR(__xludf.DUMMYFUNCTION("""COMPUTED_VALUE"""),0.152416996357582)</f>
        <v>0.1524169964</v>
      </c>
    </row>
    <row r="1166">
      <c r="A1166" s="11">
        <f>IFERROR(__xludf.DUMMYFUNCTION("""COMPUTED_VALUE"""),2017.0)</f>
        <v>2017</v>
      </c>
      <c r="B1166" s="11" t="str">
        <f>IFERROR(__xludf.DUMMYFUNCTION("""COMPUTED_VALUE"""),"Cultura")</f>
        <v>Cultura</v>
      </c>
      <c r="C1166" s="11">
        <f>IFERROR(__xludf.DUMMYFUNCTION("""COMPUTED_VALUE"""),0.236690946765625)</f>
        <v>0.2366909468</v>
      </c>
    </row>
    <row r="1167">
      <c r="A1167" s="11">
        <f>IFERROR(__xludf.DUMMYFUNCTION("""COMPUTED_VALUE"""),2017.0)</f>
        <v>2017</v>
      </c>
      <c r="B1167" s="11" t="str">
        <f>IFERROR(__xludf.DUMMYFUNCTION("""COMPUTED_VALUE"""),"Defensa Seguridad")</f>
        <v>Defensa Seguridad</v>
      </c>
      <c r="C1167" s="11">
        <f>IFERROR(__xludf.DUMMYFUNCTION("""COMPUTED_VALUE"""),3.07542298905713)</f>
        <v>3.075422989</v>
      </c>
    </row>
    <row r="1168">
      <c r="A1168" s="11">
        <f>IFERROR(__xludf.DUMMYFUNCTION("""COMPUTED_VALUE"""),2017.0)</f>
        <v>2017</v>
      </c>
      <c r="B1168" s="11" t="str">
        <f>IFERROR(__xludf.DUMMYFUNCTION("""COMPUTED_VALUE"""),"Educacion Basica")</f>
        <v>Educacion Basica</v>
      </c>
      <c r="C1168" s="11">
        <f>IFERROR(__xludf.DUMMYFUNCTION("""COMPUTED_VALUE"""),3.86901752104739)</f>
        <v>3.869017521</v>
      </c>
    </row>
    <row r="1169">
      <c r="A1169" s="11">
        <f>IFERROR(__xludf.DUMMYFUNCTION("""COMPUTED_VALUE"""),2017.0)</f>
        <v>2017</v>
      </c>
      <c r="B1169" s="11" t="str">
        <f>IFERROR(__xludf.DUMMYFUNCTION("""COMPUTED_VALUE"""),"Educacion Cultura Sin Discriminar")</f>
        <v>Educacion Cultura Sin Discriminar</v>
      </c>
      <c r="C1169" s="11">
        <f>IFERROR(__xludf.DUMMYFUNCTION("""COMPUTED_VALUE"""),0.613888970691831)</f>
        <v>0.6138889707</v>
      </c>
    </row>
    <row r="1170">
      <c r="A1170" s="11">
        <f>IFERROR(__xludf.DUMMYFUNCTION("""COMPUTED_VALUE"""),2017.0)</f>
        <v>2017</v>
      </c>
      <c r="B1170" s="11" t="str">
        <f>IFERROR(__xludf.DUMMYFUNCTION("""COMPUTED_VALUE"""),"Educacion Universitaria")</f>
        <v>Educacion Universitaria</v>
      </c>
      <c r="C1170" s="11">
        <f>IFERROR(__xludf.DUMMYFUNCTION("""COMPUTED_VALUE"""),1.26249289024356)</f>
        <v>1.26249289</v>
      </c>
    </row>
    <row r="1171">
      <c r="A1171" s="11">
        <f>IFERROR(__xludf.DUMMYFUNCTION("""COMPUTED_VALUE"""),2017.0)</f>
        <v>2017</v>
      </c>
      <c r="B1171" s="11" t="str">
        <f>IFERROR(__xludf.DUMMYFUNCTION("""COMPUTED_VALUE"""),"Energia Combustible")</f>
        <v>Energia Combustible</v>
      </c>
      <c r="C1171" s="11">
        <f>IFERROR(__xludf.DUMMYFUNCTION("""COMPUTED_VALUE"""),1.72437885965963)</f>
        <v>1.72437886</v>
      </c>
    </row>
    <row r="1172">
      <c r="A1172" s="11">
        <f>IFERROR(__xludf.DUMMYFUNCTION("""COMPUTED_VALUE"""),2017.0)</f>
        <v>2017</v>
      </c>
      <c r="B1172" s="11" t="str">
        <f>IFERROR(__xludf.DUMMYFUNCTION("""COMPUTED_VALUE"""),"Funcionamiento Estado")</f>
        <v>Funcionamiento Estado</v>
      </c>
      <c r="C1172" s="11">
        <f>IFERROR(__xludf.DUMMYFUNCTION("""COMPUTED_VALUE"""),7.31175566978709)</f>
        <v>7.31175567</v>
      </c>
    </row>
    <row r="1173">
      <c r="A1173" s="11">
        <f>IFERROR(__xludf.DUMMYFUNCTION("""COMPUTED_VALUE"""),2017.0)</f>
        <v>2017</v>
      </c>
      <c r="B1173" s="11" t="str">
        <f>IFERROR(__xludf.DUMMYFUNCTION("""COMPUTED_VALUE"""),"Industria")</f>
        <v>Industria</v>
      </c>
      <c r="C1173" s="11">
        <f>IFERROR(__xludf.DUMMYFUNCTION("""COMPUTED_VALUE"""),0.139620772355604)</f>
        <v>0.1396207724</v>
      </c>
    </row>
    <row r="1174">
      <c r="A1174" s="11">
        <f>IFERROR(__xludf.DUMMYFUNCTION("""COMPUTED_VALUE"""),2017.0)</f>
        <v>2017</v>
      </c>
      <c r="B1174" s="11" t="str">
        <f>IFERROR(__xludf.DUMMYFUNCTION("""COMPUTED_VALUE"""),"Inssjyp Prestaciones")</f>
        <v>Inssjyp Prestaciones</v>
      </c>
      <c r="C1174" s="11">
        <f>IFERROR(__xludf.DUMMYFUNCTION("""COMPUTED_VALUE"""),0.228060647910213)</f>
        <v>0.2280606479</v>
      </c>
    </row>
    <row r="1175">
      <c r="A1175" s="11">
        <f>IFERROR(__xludf.DUMMYFUNCTION("""COMPUTED_VALUE"""),2017.0)</f>
        <v>2017</v>
      </c>
      <c r="B1175" s="11" t="str">
        <f>IFERROR(__xludf.DUMMYFUNCTION("""COMPUTED_VALUE"""),"Inssjyp Salud")</f>
        <v>Inssjyp Salud</v>
      </c>
      <c r="C1175" s="11">
        <f>IFERROR(__xludf.DUMMYFUNCTION("""COMPUTED_VALUE"""),0.904487881276515)</f>
        <v>0.9044878813</v>
      </c>
    </row>
    <row r="1176">
      <c r="A1176" s="11">
        <f>IFERROR(__xludf.DUMMYFUNCTION("""COMPUTED_VALUE"""),2017.0)</f>
        <v>2017</v>
      </c>
      <c r="B1176" s="11" t="str">
        <f>IFERROR(__xludf.DUMMYFUNCTION("""COMPUTED_VALUE"""),"Justicia")</f>
        <v>Justicia</v>
      </c>
      <c r="C1176" s="11">
        <f>IFERROR(__xludf.DUMMYFUNCTION("""COMPUTED_VALUE"""),1.22819249163544)</f>
        <v>1.228192492</v>
      </c>
    </row>
    <row r="1177">
      <c r="A1177" s="11">
        <f>IFERROR(__xludf.DUMMYFUNCTION("""COMPUTED_VALUE"""),2017.0)</f>
        <v>2017</v>
      </c>
      <c r="B1177" s="11" t="str">
        <f>IFERROR(__xludf.DUMMYFUNCTION("""COMPUTED_VALUE"""),"Obras Sociales Prestaciones")</f>
        <v>Obras Sociales Prestaciones</v>
      </c>
      <c r="C1177" s="11">
        <f>IFERROR(__xludf.DUMMYFUNCTION("""COMPUTED_VALUE"""),0.160530040000907)</f>
        <v>0.16053004</v>
      </c>
    </row>
    <row r="1178">
      <c r="A1178" s="11">
        <f>IFERROR(__xludf.DUMMYFUNCTION("""COMPUTED_VALUE"""),2017.0)</f>
        <v>2017</v>
      </c>
      <c r="B1178" s="11" t="str">
        <f>IFERROR(__xludf.DUMMYFUNCTION("""COMPUTED_VALUE"""),"Obras Sociales Salud")</f>
        <v>Obras Sociales Salud</v>
      </c>
      <c r="C1178" s="11">
        <f>IFERROR(__xludf.DUMMYFUNCTION("""COMPUTED_VALUE"""),3.10753620955683)</f>
        <v>3.10753621</v>
      </c>
    </row>
    <row r="1179">
      <c r="A1179" s="11">
        <f>IFERROR(__xludf.DUMMYFUNCTION("""COMPUTED_VALUE"""),2017.0)</f>
        <v>2017</v>
      </c>
      <c r="B1179" s="11" t="str">
        <f>IFERROR(__xludf.DUMMYFUNCTION("""COMPUTED_VALUE"""),"Otros Servicios Economicos")</f>
        <v>Otros Servicios Economicos</v>
      </c>
      <c r="C1179" s="11">
        <f>IFERROR(__xludf.DUMMYFUNCTION("""COMPUTED_VALUE"""),0.281406195007616)</f>
        <v>0.281406195</v>
      </c>
    </row>
    <row r="1180">
      <c r="A1180" s="11">
        <f>IFERROR(__xludf.DUMMYFUNCTION("""COMPUTED_VALUE"""),2017.0)</f>
        <v>2017</v>
      </c>
      <c r="B1180" s="11" t="str">
        <f>IFERROR(__xludf.DUMMYFUNCTION("""COMPUTED_VALUE"""),"Otros Servicios Urbanos")</f>
        <v>Otros Servicios Urbanos</v>
      </c>
      <c r="C1180" s="11">
        <f>IFERROR(__xludf.DUMMYFUNCTION("""COMPUTED_VALUE"""),1.00604214291774)</f>
        <v>1.006042143</v>
      </c>
    </row>
    <row r="1181">
      <c r="A1181" s="11">
        <f>IFERROR(__xludf.DUMMYFUNCTION("""COMPUTED_VALUE"""),2017.0)</f>
        <v>2017</v>
      </c>
      <c r="B1181" s="11" t="str">
        <f>IFERROR(__xludf.DUMMYFUNCTION("""COMPUTED_VALUE"""),"Prevision Social")</f>
        <v>Prevision Social</v>
      </c>
      <c r="C1181" s="11">
        <f>IFERROR(__xludf.DUMMYFUNCTION("""COMPUTED_VALUE"""),11.7874932566281)</f>
        <v>11.78749326</v>
      </c>
    </row>
    <row r="1182">
      <c r="A1182" s="11">
        <f>IFERROR(__xludf.DUMMYFUNCTION("""COMPUTED_VALUE"""),2017.0)</f>
        <v>2017</v>
      </c>
      <c r="B1182" s="11" t="str">
        <f>IFERROR(__xludf.DUMMYFUNCTION("""COMPUTED_VALUE"""),"Produccion Primaria")</f>
        <v>Produccion Primaria</v>
      </c>
      <c r="C1182" s="11">
        <f>IFERROR(__xludf.DUMMYFUNCTION("""COMPUTED_VALUE"""),0.417780435374059)</f>
        <v>0.4177804354</v>
      </c>
    </row>
    <row r="1183">
      <c r="A1183" s="11">
        <f>IFERROR(__xludf.DUMMYFUNCTION("""COMPUTED_VALUE"""),2017.0)</f>
        <v>2017</v>
      </c>
      <c r="B1183" s="11" t="str">
        <f>IFERROR(__xludf.DUMMYFUNCTION("""COMPUTED_VALUE"""),"Programas Empleo")</f>
        <v>Programas Empleo</v>
      </c>
      <c r="C1183" s="11">
        <f>IFERROR(__xludf.DUMMYFUNCTION("""COMPUTED_VALUE"""),0.244754694540347)</f>
        <v>0.2447546945</v>
      </c>
    </row>
    <row r="1184">
      <c r="A1184" s="11">
        <f>IFERROR(__xludf.DUMMYFUNCTION("""COMPUTED_VALUE"""),2017.0)</f>
        <v>2017</v>
      </c>
      <c r="B1184" s="11" t="str">
        <f>IFERROR(__xludf.DUMMYFUNCTION("""COMPUTED_VALUE"""),"Promocion Asistencia Social")</f>
        <v>Promocion Asistencia Social</v>
      </c>
      <c r="C1184" s="11">
        <f>IFERROR(__xludf.DUMMYFUNCTION("""COMPUTED_VALUE"""),1.38200371378809)</f>
        <v>1.382003714</v>
      </c>
    </row>
    <row r="1185">
      <c r="A1185" s="11">
        <f>IFERROR(__xludf.DUMMYFUNCTION("""COMPUTED_VALUE"""),2017.0)</f>
        <v>2017</v>
      </c>
      <c r="B1185" s="11" t="str">
        <f>IFERROR(__xludf.DUMMYFUNCTION("""COMPUTED_VALUE"""),"Servicios Deuda Publica")</f>
        <v>Servicios Deuda Publica</v>
      </c>
      <c r="C1185" s="11">
        <f>IFERROR(__xludf.DUMMYFUNCTION("""COMPUTED_VALUE"""),3.41088459957246)</f>
        <v>3.4108846</v>
      </c>
    </row>
    <row r="1186">
      <c r="A1186" s="11">
        <f>IFERROR(__xludf.DUMMYFUNCTION("""COMPUTED_VALUE"""),2017.0)</f>
        <v>2017</v>
      </c>
      <c r="B1186" s="11" t="str">
        <f>IFERROR(__xludf.DUMMYFUNCTION("""COMPUTED_VALUE"""),"Servicios Economicos")</f>
        <v>Servicios Economicos</v>
      </c>
      <c r="C1186" s="11">
        <f>IFERROR(__xludf.DUMMYFUNCTION("""COMPUTED_VALUE"""),4.87773305724704)</f>
        <v>4.877733057</v>
      </c>
    </row>
    <row r="1187">
      <c r="A1187" s="11">
        <f>IFERROR(__xludf.DUMMYFUNCTION("""COMPUTED_VALUE"""),2017.0)</f>
        <v>2017</v>
      </c>
      <c r="B1187" s="11" t="str">
        <f>IFERROR(__xludf.DUMMYFUNCTION("""COMPUTED_VALUE"""),"Servicios Sociales")</f>
        <v>Servicios Sociales</v>
      </c>
      <c r="C1187" s="11">
        <f>IFERROR(__xludf.DUMMYFUNCTION("""COMPUTED_VALUE"""),30.6474449825931)</f>
        <v>30.64744498</v>
      </c>
    </row>
    <row r="1188">
      <c r="A1188" s="11">
        <f>IFERROR(__xludf.DUMMYFUNCTION("""COMPUTED_VALUE"""),2017.0)</f>
        <v>2017</v>
      </c>
      <c r="B1188" s="11" t="str">
        <f>IFERROR(__xludf.DUMMYFUNCTION("""COMPUTED_VALUE"""),"Transporte")</f>
        <v>Transporte</v>
      </c>
      <c r="C1188" s="11">
        <f>IFERROR(__xludf.DUMMYFUNCTION("""COMPUTED_VALUE"""),2.16212979849254)</f>
        <v>2.162129798</v>
      </c>
    </row>
    <row r="1189">
      <c r="A1189" s="11">
        <f>IFERROR(__xludf.DUMMYFUNCTION("""COMPUTED_VALUE"""),2017.0)</f>
        <v>2017</v>
      </c>
      <c r="B1189" s="11" t="str">
        <f>IFERROR(__xludf.DUMMYFUNCTION("""COMPUTED_VALUE"""),"Vivienda Urbanismo")</f>
        <v>Vivienda Urbanismo</v>
      </c>
      <c r="C1189" s="11">
        <f>IFERROR(__xludf.DUMMYFUNCTION("""COMPUTED_VALUE"""),1.02289401557416)</f>
        <v>1.022894016</v>
      </c>
    </row>
    <row r="1190">
      <c r="A1190" s="11">
        <f>IFERROR(__xludf.DUMMYFUNCTION("""COMPUTED_VALUE"""),2018.0)</f>
        <v>2018</v>
      </c>
      <c r="B1190" s="11" t="str">
        <f>IFERROR(__xludf.DUMMYFUNCTION("""COMPUTED_VALUE"""),"Administracion General")</f>
        <v>Administracion General</v>
      </c>
      <c r="C1190" s="11">
        <f>IFERROR(__xludf.DUMMYFUNCTION("""COMPUTED_VALUE"""),2.70729817548758)</f>
        <v>2.707298175</v>
      </c>
    </row>
    <row r="1191">
      <c r="A1191" s="11">
        <f>IFERROR(__xludf.DUMMYFUNCTION("""COMPUTED_VALUE"""),2018.0)</f>
        <v>2018</v>
      </c>
      <c r="B1191" s="11" t="str">
        <f>IFERROR(__xludf.DUMMYFUNCTION("""COMPUTED_VALUE"""),"Agua Alcantarillado")</f>
        <v>Agua Alcantarillado</v>
      </c>
      <c r="C1191" s="11">
        <f>IFERROR(__xludf.DUMMYFUNCTION("""COMPUTED_VALUE"""),0.475161680868284)</f>
        <v>0.4751616809</v>
      </c>
    </row>
    <row r="1192">
      <c r="A1192" s="11">
        <f>IFERROR(__xludf.DUMMYFUNCTION("""COMPUTED_VALUE"""),2018.0)</f>
        <v>2018</v>
      </c>
      <c r="B1192" s="11" t="str">
        <f>IFERROR(__xludf.DUMMYFUNCTION("""COMPUTED_VALUE"""),"Asignaciones Familiares")</f>
        <v>Asignaciones Familiares</v>
      </c>
      <c r="C1192" s="11">
        <f>IFERROR(__xludf.DUMMYFUNCTION("""COMPUTED_VALUE"""),1.19282271152916)</f>
        <v>1.192822712</v>
      </c>
    </row>
    <row r="1193">
      <c r="A1193" s="11">
        <f>IFERROR(__xludf.DUMMYFUNCTION("""COMPUTED_VALUE"""),2018.0)</f>
        <v>2018</v>
      </c>
      <c r="B1193" s="11" t="str">
        <f>IFERROR(__xludf.DUMMYFUNCTION("""COMPUTED_VALUE"""),"Atencion Salud")</f>
        <v>Atencion Salud</v>
      </c>
      <c r="C1193" s="11">
        <f>IFERROR(__xludf.DUMMYFUNCTION("""COMPUTED_VALUE"""),2.52516873941891)</f>
        <v>2.525168739</v>
      </c>
    </row>
    <row r="1194">
      <c r="A1194" s="11">
        <f>IFERROR(__xludf.DUMMYFUNCTION("""COMPUTED_VALUE"""),2018.0)</f>
        <v>2018</v>
      </c>
      <c r="B1194" s="11" t="str">
        <f>IFERROR(__xludf.DUMMYFUNCTION("""COMPUTED_VALUE"""),"Ciencia Tecnica")</f>
        <v>Ciencia Tecnica</v>
      </c>
      <c r="C1194" s="11">
        <f>IFERROR(__xludf.DUMMYFUNCTION("""COMPUTED_VALUE"""),0.227936774479841)</f>
        <v>0.2279367745</v>
      </c>
    </row>
    <row r="1195">
      <c r="A1195" s="11">
        <f>IFERROR(__xludf.DUMMYFUNCTION("""COMPUTED_VALUE"""),2018.0)</f>
        <v>2018</v>
      </c>
      <c r="B1195" s="11" t="str">
        <f>IFERROR(__xludf.DUMMYFUNCTION("""COMPUTED_VALUE"""),"Comunicaciones")</f>
        <v>Comunicaciones</v>
      </c>
      <c r="C1195" s="11">
        <f>IFERROR(__xludf.DUMMYFUNCTION("""COMPUTED_VALUE"""),0.123576983572242)</f>
        <v>0.1235769836</v>
      </c>
    </row>
    <row r="1196">
      <c r="A1196" s="11">
        <f>IFERROR(__xludf.DUMMYFUNCTION("""COMPUTED_VALUE"""),2018.0)</f>
        <v>2018</v>
      </c>
      <c r="B1196" s="11" t="str">
        <f>IFERROR(__xludf.DUMMYFUNCTION("""COMPUTED_VALUE"""),"Cultura")</f>
        <v>Cultura</v>
      </c>
      <c r="C1196" s="11">
        <f>IFERROR(__xludf.DUMMYFUNCTION("""COMPUTED_VALUE"""),0.20861679836099)</f>
        <v>0.2086167984</v>
      </c>
    </row>
    <row r="1197">
      <c r="A1197" s="11">
        <f>IFERROR(__xludf.DUMMYFUNCTION("""COMPUTED_VALUE"""),2018.0)</f>
        <v>2018</v>
      </c>
      <c r="B1197" s="11" t="str">
        <f>IFERROR(__xludf.DUMMYFUNCTION("""COMPUTED_VALUE"""),"Defensa Seguridad")</f>
        <v>Defensa Seguridad</v>
      </c>
      <c r="C1197" s="11">
        <f>IFERROR(__xludf.DUMMYFUNCTION("""COMPUTED_VALUE"""),2.73206964872273)</f>
        <v>2.732069649</v>
      </c>
    </row>
    <row r="1198">
      <c r="A1198" s="11">
        <f>IFERROR(__xludf.DUMMYFUNCTION("""COMPUTED_VALUE"""),2018.0)</f>
        <v>2018</v>
      </c>
      <c r="B1198" s="11" t="str">
        <f>IFERROR(__xludf.DUMMYFUNCTION("""COMPUTED_VALUE"""),"Educacion Basica")</f>
        <v>Educacion Basica</v>
      </c>
      <c r="C1198" s="11">
        <f>IFERROR(__xludf.DUMMYFUNCTION("""COMPUTED_VALUE"""),3.47423580480618)</f>
        <v>3.474235805</v>
      </c>
    </row>
    <row r="1199">
      <c r="A1199" s="11">
        <f>IFERROR(__xludf.DUMMYFUNCTION("""COMPUTED_VALUE"""),2018.0)</f>
        <v>2018</v>
      </c>
      <c r="B1199" s="11" t="str">
        <f>IFERROR(__xludf.DUMMYFUNCTION("""COMPUTED_VALUE"""),"Educacion Cultura Sin Discriminar")</f>
        <v>Educacion Cultura Sin Discriminar</v>
      </c>
      <c r="C1199" s="11">
        <f>IFERROR(__xludf.DUMMYFUNCTION("""COMPUTED_VALUE"""),0.495446996286636)</f>
        <v>0.4954469963</v>
      </c>
    </row>
    <row r="1200">
      <c r="A1200" s="11">
        <f>IFERROR(__xludf.DUMMYFUNCTION("""COMPUTED_VALUE"""),2018.0)</f>
        <v>2018</v>
      </c>
      <c r="B1200" s="11" t="str">
        <f>IFERROR(__xludf.DUMMYFUNCTION("""COMPUTED_VALUE"""),"Educacion Universitaria")</f>
        <v>Educacion Universitaria</v>
      </c>
      <c r="C1200" s="11">
        <f>IFERROR(__xludf.DUMMYFUNCTION("""COMPUTED_VALUE"""),1.19688968791896)</f>
        <v>1.196889688</v>
      </c>
    </row>
    <row r="1201">
      <c r="A1201" s="11">
        <f>IFERROR(__xludf.DUMMYFUNCTION("""COMPUTED_VALUE"""),2018.0)</f>
        <v>2018</v>
      </c>
      <c r="B1201" s="11" t="str">
        <f>IFERROR(__xludf.DUMMYFUNCTION("""COMPUTED_VALUE"""),"Energia Combustible")</f>
        <v>Energia Combustible</v>
      </c>
      <c r="C1201" s="11">
        <f>IFERROR(__xludf.DUMMYFUNCTION("""COMPUTED_VALUE"""),1.55874515298174)</f>
        <v>1.558745153</v>
      </c>
    </row>
    <row r="1202">
      <c r="A1202" s="11">
        <f>IFERROR(__xludf.DUMMYFUNCTION("""COMPUTED_VALUE"""),2018.0)</f>
        <v>2018</v>
      </c>
      <c r="B1202" s="11" t="str">
        <f>IFERROR(__xludf.DUMMYFUNCTION("""COMPUTED_VALUE"""),"Funcionamiento Estado")</f>
        <v>Funcionamiento Estado</v>
      </c>
      <c r="C1202" s="11">
        <f>IFERROR(__xludf.DUMMYFUNCTION("""COMPUTED_VALUE"""),6.59364789079859)</f>
        <v>6.593647891</v>
      </c>
    </row>
    <row r="1203">
      <c r="A1203" s="11">
        <f>IFERROR(__xludf.DUMMYFUNCTION("""COMPUTED_VALUE"""),2018.0)</f>
        <v>2018</v>
      </c>
      <c r="B1203" s="11" t="str">
        <f>IFERROR(__xludf.DUMMYFUNCTION("""COMPUTED_VALUE"""),"Industria")</f>
        <v>Industria</v>
      </c>
      <c r="C1203" s="11">
        <f>IFERROR(__xludf.DUMMYFUNCTION("""COMPUTED_VALUE"""),0.11163938935535)</f>
        <v>0.1116393894</v>
      </c>
    </row>
    <row r="1204">
      <c r="A1204" s="11">
        <f>IFERROR(__xludf.DUMMYFUNCTION("""COMPUTED_VALUE"""),2018.0)</f>
        <v>2018</v>
      </c>
      <c r="B1204" s="11" t="str">
        <f>IFERROR(__xludf.DUMMYFUNCTION("""COMPUTED_VALUE"""),"Inssjyp Prestaciones")</f>
        <v>Inssjyp Prestaciones</v>
      </c>
      <c r="C1204" s="11">
        <f>IFERROR(__xludf.DUMMYFUNCTION("""COMPUTED_VALUE"""),0.16396597846632)</f>
        <v>0.1639659785</v>
      </c>
    </row>
    <row r="1205">
      <c r="A1205" s="11">
        <f>IFERROR(__xludf.DUMMYFUNCTION("""COMPUTED_VALUE"""),2018.0)</f>
        <v>2018</v>
      </c>
      <c r="B1205" s="11" t="str">
        <f>IFERROR(__xludf.DUMMYFUNCTION("""COMPUTED_VALUE"""),"Inssjyp Salud")</f>
        <v>Inssjyp Salud</v>
      </c>
      <c r="C1205" s="11">
        <f>IFERROR(__xludf.DUMMYFUNCTION("""COMPUTED_VALUE"""),0.747251265599453)</f>
        <v>0.7472512656</v>
      </c>
    </row>
    <row r="1206">
      <c r="A1206" s="11">
        <f>IFERROR(__xludf.DUMMYFUNCTION("""COMPUTED_VALUE"""),2018.0)</f>
        <v>2018</v>
      </c>
      <c r="B1206" s="11" t="str">
        <f>IFERROR(__xludf.DUMMYFUNCTION("""COMPUTED_VALUE"""),"Justicia")</f>
        <v>Justicia</v>
      </c>
      <c r="C1206" s="11">
        <f>IFERROR(__xludf.DUMMYFUNCTION("""COMPUTED_VALUE"""),1.15428006658827)</f>
        <v>1.154280067</v>
      </c>
    </row>
    <row r="1207">
      <c r="A1207" s="11">
        <f>IFERROR(__xludf.DUMMYFUNCTION("""COMPUTED_VALUE"""),2018.0)</f>
        <v>2018</v>
      </c>
      <c r="B1207" s="11" t="str">
        <f>IFERROR(__xludf.DUMMYFUNCTION("""COMPUTED_VALUE"""),"Obras Sociales Prestaciones")</f>
        <v>Obras Sociales Prestaciones</v>
      </c>
      <c r="C1207" s="11">
        <f>IFERROR(__xludf.DUMMYFUNCTION("""COMPUTED_VALUE"""),0.148335040723779)</f>
        <v>0.1483350407</v>
      </c>
    </row>
    <row r="1208">
      <c r="A1208" s="11">
        <f>IFERROR(__xludf.DUMMYFUNCTION("""COMPUTED_VALUE"""),2018.0)</f>
        <v>2018</v>
      </c>
      <c r="B1208" s="11" t="str">
        <f>IFERROR(__xludf.DUMMYFUNCTION("""COMPUTED_VALUE"""),"Obras Sociales Salud")</f>
        <v>Obras Sociales Salud</v>
      </c>
      <c r="C1208" s="11">
        <f>IFERROR(__xludf.DUMMYFUNCTION("""COMPUTED_VALUE"""),2.8790509265424)</f>
        <v>2.879050927</v>
      </c>
    </row>
    <row r="1209">
      <c r="A1209" s="11">
        <f>IFERROR(__xludf.DUMMYFUNCTION("""COMPUTED_VALUE"""),2018.0)</f>
        <v>2018</v>
      </c>
      <c r="B1209" s="11" t="str">
        <f>IFERROR(__xludf.DUMMYFUNCTION("""COMPUTED_VALUE"""),"Otros Servicios Economicos")</f>
        <v>Otros Servicios Economicos</v>
      </c>
      <c r="C1209" s="11">
        <f>IFERROR(__xludf.DUMMYFUNCTION("""COMPUTED_VALUE"""),0.225604215495101)</f>
        <v>0.2256042155</v>
      </c>
    </row>
    <row r="1210">
      <c r="A1210" s="11">
        <f>IFERROR(__xludf.DUMMYFUNCTION("""COMPUTED_VALUE"""),2018.0)</f>
        <v>2018</v>
      </c>
      <c r="B1210" s="11" t="str">
        <f>IFERROR(__xludf.DUMMYFUNCTION("""COMPUTED_VALUE"""),"Otros Servicios Urbanos")</f>
        <v>Otros Servicios Urbanos</v>
      </c>
      <c r="C1210" s="11">
        <f>IFERROR(__xludf.DUMMYFUNCTION("""COMPUTED_VALUE"""),0.975392890474161)</f>
        <v>0.9753928905</v>
      </c>
    </row>
    <row r="1211">
      <c r="A1211" s="11">
        <f>IFERROR(__xludf.DUMMYFUNCTION("""COMPUTED_VALUE"""),2018.0)</f>
        <v>2018</v>
      </c>
      <c r="B1211" s="11" t="str">
        <f>IFERROR(__xludf.DUMMYFUNCTION("""COMPUTED_VALUE"""),"Prevision Social")</f>
        <v>Prevision Social</v>
      </c>
      <c r="C1211" s="11">
        <f>IFERROR(__xludf.DUMMYFUNCTION("""COMPUTED_VALUE"""),10.95250485343)</f>
        <v>10.95250485</v>
      </c>
    </row>
    <row r="1212">
      <c r="A1212" s="11">
        <f>IFERROR(__xludf.DUMMYFUNCTION("""COMPUTED_VALUE"""),2018.0)</f>
        <v>2018</v>
      </c>
      <c r="B1212" s="11" t="str">
        <f>IFERROR(__xludf.DUMMYFUNCTION("""COMPUTED_VALUE"""),"Produccion Primaria")</f>
        <v>Produccion Primaria</v>
      </c>
      <c r="C1212" s="11">
        <f>IFERROR(__xludf.DUMMYFUNCTION("""COMPUTED_VALUE"""),0.371508277626083)</f>
        <v>0.3715082776</v>
      </c>
    </row>
    <row r="1213">
      <c r="A1213" s="11">
        <f>IFERROR(__xludf.DUMMYFUNCTION("""COMPUTED_VALUE"""),2018.0)</f>
        <v>2018</v>
      </c>
      <c r="B1213" s="11" t="str">
        <f>IFERROR(__xludf.DUMMYFUNCTION("""COMPUTED_VALUE"""),"Programas Empleo")</f>
        <v>Programas Empleo</v>
      </c>
      <c r="C1213" s="11">
        <f>IFERROR(__xludf.DUMMYFUNCTION("""COMPUTED_VALUE"""),0.191596240696081)</f>
        <v>0.1915962407</v>
      </c>
    </row>
    <row r="1214">
      <c r="A1214" s="11">
        <f>IFERROR(__xludf.DUMMYFUNCTION("""COMPUTED_VALUE"""),2018.0)</f>
        <v>2018</v>
      </c>
      <c r="B1214" s="11" t="str">
        <f>IFERROR(__xludf.DUMMYFUNCTION("""COMPUTED_VALUE"""),"Promocion Asistencia Social")</f>
        <v>Promocion Asistencia Social</v>
      </c>
      <c r="C1214" s="11">
        <f>IFERROR(__xludf.DUMMYFUNCTION("""COMPUTED_VALUE"""),1.3346844571651)</f>
        <v>1.334684457</v>
      </c>
    </row>
    <row r="1215">
      <c r="A1215" s="11">
        <f>IFERROR(__xludf.DUMMYFUNCTION("""COMPUTED_VALUE"""),2018.0)</f>
        <v>2018</v>
      </c>
      <c r="B1215" s="11" t="str">
        <f>IFERROR(__xludf.DUMMYFUNCTION("""COMPUTED_VALUE"""),"Servicios Deuda Publica")</f>
        <v>Servicios Deuda Publica</v>
      </c>
      <c r="C1215" s="11">
        <f>IFERROR(__xludf.DUMMYFUNCTION("""COMPUTED_VALUE"""),4.31894731500475)</f>
        <v>4.318947315</v>
      </c>
    </row>
    <row r="1216">
      <c r="A1216" s="11">
        <f>IFERROR(__xludf.DUMMYFUNCTION("""COMPUTED_VALUE"""),2018.0)</f>
        <v>2018</v>
      </c>
      <c r="B1216" s="11" t="str">
        <f>IFERROR(__xludf.DUMMYFUNCTION("""COMPUTED_VALUE"""),"Servicios Economicos")</f>
        <v>Servicios Economicos</v>
      </c>
      <c r="C1216" s="11">
        <f>IFERROR(__xludf.DUMMYFUNCTION("""COMPUTED_VALUE"""),4.58464514392888)</f>
        <v>4.584645144</v>
      </c>
    </row>
    <row r="1217">
      <c r="A1217" s="11">
        <f>IFERROR(__xludf.DUMMYFUNCTION("""COMPUTED_VALUE"""),2018.0)</f>
        <v>2018</v>
      </c>
      <c r="B1217" s="11" t="str">
        <f>IFERROR(__xludf.DUMMYFUNCTION("""COMPUTED_VALUE"""),"Servicios Sociales")</f>
        <v>Servicios Sociales</v>
      </c>
      <c r="C1217" s="11">
        <f>IFERROR(__xludf.DUMMYFUNCTION("""COMPUTED_VALUE"""),28.0923843273443)</f>
        <v>28.09238433</v>
      </c>
    </row>
    <row r="1218">
      <c r="A1218" s="11">
        <f>IFERROR(__xludf.DUMMYFUNCTION("""COMPUTED_VALUE"""),2018.0)</f>
        <v>2018</v>
      </c>
      <c r="B1218" s="11" t="str">
        <f>IFERROR(__xludf.DUMMYFUNCTION("""COMPUTED_VALUE"""),"Transporte")</f>
        <v>Transporte</v>
      </c>
      <c r="C1218" s="11">
        <f>IFERROR(__xludf.DUMMYFUNCTION("""COMPUTED_VALUE"""),2.19357112489835)</f>
        <v>2.193571125</v>
      </c>
    </row>
    <row r="1219">
      <c r="A1219" s="11">
        <f>IFERROR(__xludf.DUMMYFUNCTION("""COMPUTED_VALUE"""),2018.0)</f>
        <v>2018</v>
      </c>
      <c r="B1219" s="11" t="str">
        <f>IFERROR(__xludf.DUMMYFUNCTION("""COMPUTED_VALUE"""),"Vivienda Urbanismo")</f>
        <v>Vivienda Urbanismo</v>
      </c>
      <c r="C1219" s="11">
        <f>IFERROR(__xludf.DUMMYFUNCTION("""COMPUTED_VALUE"""),0.903323480578039)</f>
        <v>0.9033234806</v>
      </c>
    </row>
    <row r="1220">
      <c r="A1220" s="11">
        <f>IFERROR(__xludf.DUMMYFUNCTION("""COMPUTED_VALUE"""),2019.0)</f>
        <v>2019</v>
      </c>
      <c r="B1220" s="11" t="str">
        <f>IFERROR(__xludf.DUMMYFUNCTION("""COMPUTED_VALUE"""),"Administracion General")</f>
        <v>Administracion General</v>
      </c>
      <c r="C1220" s="11">
        <f>IFERROR(__xludf.DUMMYFUNCTION("""COMPUTED_VALUE"""),2.67367666421877)</f>
        <v>2.673676664</v>
      </c>
    </row>
    <row r="1221">
      <c r="A1221" s="11">
        <f>IFERROR(__xludf.DUMMYFUNCTION("""COMPUTED_VALUE"""),2019.0)</f>
        <v>2019</v>
      </c>
      <c r="B1221" s="11" t="str">
        <f>IFERROR(__xludf.DUMMYFUNCTION("""COMPUTED_VALUE"""),"Agua Alcantarillado")</f>
        <v>Agua Alcantarillado</v>
      </c>
      <c r="C1221" s="11">
        <f>IFERROR(__xludf.DUMMYFUNCTION("""COMPUTED_VALUE"""),0.382790615139843)</f>
        <v>0.3827906151</v>
      </c>
    </row>
    <row r="1222">
      <c r="A1222" s="11">
        <f>IFERROR(__xludf.DUMMYFUNCTION("""COMPUTED_VALUE"""),2019.0)</f>
        <v>2019</v>
      </c>
      <c r="B1222" s="11" t="str">
        <f>IFERROR(__xludf.DUMMYFUNCTION("""COMPUTED_VALUE"""),"Asignaciones Familiares")</f>
        <v>Asignaciones Familiares</v>
      </c>
      <c r="C1222" s="11">
        <f>IFERROR(__xludf.DUMMYFUNCTION("""COMPUTED_VALUE"""),1.16034732847089)</f>
        <v>1.160347328</v>
      </c>
    </row>
    <row r="1223">
      <c r="A1223" s="11">
        <f>IFERROR(__xludf.DUMMYFUNCTION("""COMPUTED_VALUE"""),2019.0)</f>
        <v>2019</v>
      </c>
      <c r="B1223" s="11" t="str">
        <f>IFERROR(__xludf.DUMMYFUNCTION("""COMPUTED_VALUE"""),"Atencion Salud")</f>
        <v>Atencion Salud</v>
      </c>
      <c r="C1223" s="11">
        <f>IFERROR(__xludf.DUMMYFUNCTION("""COMPUTED_VALUE"""),2.52916043668613)</f>
        <v>2.529160437</v>
      </c>
    </row>
    <row r="1224">
      <c r="A1224" s="11">
        <f>IFERROR(__xludf.DUMMYFUNCTION("""COMPUTED_VALUE"""),2019.0)</f>
        <v>2019</v>
      </c>
      <c r="B1224" s="11" t="str">
        <f>IFERROR(__xludf.DUMMYFUNCTION("""COMPUTED_VALUE"""),"Ciencia Tecnica")</f>
        <v>Ciencia Tecnica</v>
      </c>
      <c r="C1224" s="11">
        <f>IFERROR(__xludf.DUMMYFUNCTION("""COMPUTED_VALUE"""),0.199623818934709)</f>
        <v>0.1996238189</v>
      </c>
    </row>
    <row r="1225">
      <c r="A1225" s="11">
        <f>IFERROR(__xludf.DUMMYFUNCTION("""COMPUTED_VALUE"""),2019.0)</f>
        <v>2019</v>
      </c>
      <c r="B1225" s="11" t="str">
        <f>IFERROR(__xludf.DUMMYFUNCTION("""COMPUTED_VALUE"""),"Comunicaciones")</f>
        <v>Comunicaciones</v>
      </c>
      <c r="C1225" s="11">
        <f>IFERROR(__xludf.DUMMYFUNCTION("""COMPUTED_VALUE"""),0.11179326997791)</f>
        <v>0.11179327</v>
      </c>
    </row>
    <row r="1226">
      <c r="A1226" s="11">
        <f>IFERROR(__xludf.DUMMYFUNCTION("""COMPUTED_VALUE"""),2019.0)</f>
        <v>2019</v>
      </c>
      <c r="B1226" s="11" t="str">
        <f>IFERROR(__xludf.DUMMYFUNCTION("""COMPUTED_VALUE"""),"Cultura")</f>
        <v>Cultura</v>
      </c>
      <c r="C1226" s="11">
        <f>IFERROR(__xludf.DUMMYFUNCTION("""COMPUTED_VALUE"""),0.188516779160338)</f>
        <v>0.1885167792</v>
      </c>
    </row>
    <row r="1227">
      <c r="A1227" s="11">
        <f>IFERROR(__xludf.DUMMYFUNCTION("""COMPUTED_VALUE"""),2019.0)</f>
        <v>2019</v>
      </c>
      <c r="B1227" s="11" t="str">
        <f>IFERROR(__xludf.DUMMYFUNCTION("""COMPUTED_VALUE"""),"Defensa Seguridad")</f>
        <v>Defensa Seguridad</v>
      </c>
      <c r="C1227" s="11">
        <f>IFERROR(__xludf.DUMMYFUNCTION("""COMPUTED_VALUE"""),2.55446822635101)</f>
        <v>2.554468226</v>
      </c>
    </row>
    <row r="1228">
      <c r="A1228" s="11">
        <f>IFERROR(__xludf.DUMMYFUNCTION("""COMPUTED_VALUE"""),2019.0)</f>
        <v>2019</v>
      </c>
      <c r="B1228" s="11" t="str">
        <f>IFERROR(__xludf.DUMMYFUNCTION("""COMPUTED_VALUE"""),"Educacion Basica")</f>
        <v>Educacion Basica</v>
      </c>
      <c r="C1228" s="11">
        <f>IFERROR(__xludf.DUMMYFUNCTION("""COMPUTED_VALUE"""),3.43473747747339)</f>
        <v>3.434737477</v>
      </c>
    </row>
    <row r="1229">
      <c r="A1229" s="11">
        <f>IFERROR(__xludf.DUMMYFUNCTION("""COMPUTED_VALUE"""),2019.0)</f>
        <v>2019</v>
      </c>
      <c r="B1229" s="11" t="str">
        <f>IFERROR(__xludf.DUMMYFUNCTION("""COMPUTED_VALUE"""),"Educacion Cultura Sin Discriminar")</f>
        <v>Educacion Cultura Sin Discriminar</v>
      </c>
      <c r="C1229" s="11">
        <f>IFERROR(__xludf.DUMMYFUNCTION("""COMPUTED_VALUE"""),0.523823622511627)</f>
        <v>0.5238236225</v>
      </c>
    </row>
    <row r="1230">
      <c r="A1230" s="11">
        <f>IFERROR(__xludf.DUMMYFUNCTION("""COMPUTED_VALUE"""),2019.0)</f>
        <v>2019</v>
      </c>
      <c r="B1230" s="11" t="str">
        <f>IFERROR(__xludf.DUMMYFUNCTION("""COMPUTED_VALUE"""),"Educacion Universitaria")</f>
        <v>Educacion Universitaria</v>
      </c>
      <c r="C1230" s="11">
        <f>IFERROR(__xludf.DUMMYFUNCTION("""COMPUTED_VALUE"""),1.08072261252812)</f>
        <v>1.080722613</v>
      </c>
    </row>
    <row r="1231">
      <c r="A1231" s="11">
        <f>IFERROR(__xludf.DUMMYFUNCTION("""COMPUTED_VALUE"""),2019.0)</f>
        <v>2019</v>
      </c>
      <c r="B1231" s="11" t="str">
        <f>IFERROR(__xludf.DUMMYFUNCTION("""COMPUTED_VALUE"""),"Energia Combustible")</f>
        <v>Energia Combustible</v>
      </c>
      <c r="C1231" s="11">
        <f>IFERROR(__xludf.DUMMYFUNCTION("""COMPUTED_VALUE"""),1.31656877890772)</f>
        <v>1.316568779</v>
      </c>
    </row>
    <row r="1232">
      <c r="A1232" s="11">
        <f>IFERROR(__xludf.DUMMYFUNCTION("""COMPUTED_VALUE"""),2019.0)</f>
        <v>2019</v>
      </c>
      <c r="B1232" s="11" t="str">
        <f>IFERROR(__xludf.DUMMYFUNCTION("""COMPUTED_VALUE"""),"Funcionamiento Estado")</f>
        <v>Funcionamiento Estado</v>
      </c>
      <c r="C1232" s="11">
        <f>IFERROR(__xludf.DUMMYFUNCTION("""COMPUTED_VALUE"""),6.41411495124781)</f>
        <v>6.414114951</v>
      </c>
    </row>
    <row r="1233">
      <c r="A1233" s="11">
        <f>IFERROR(__xludf.DUMMYFUNCTION("""COMPUTED_VALUE"""),2019.0)</f>
        <v>2019</v>
      </c>
      <c r="B1233" s="11" t="str">
        <f>IFERROR(__xludf.DUMMYFUNCTION("""COMPUTED_VALUE"""),"Industria")</f>
        <v>Industria</v>
      </c>
      <c r="C1233" s="11">
        <f>IFERROR(__xludf.DUMMYFUNCTION("""COMPUTED_VALUE"""),0.0832317430766983)</f>
        <v>0.08323174308</v>
      </c>
    </row>
    <row r="1234">
      <c r="A1234" s="11">
        <f>IFERROR(__xludf.DUMMYFUNCTION("""COMPUTED_VALUE"""),2019.0)</f>
        <v>2019</v>
      </c>
      <c r="B1234" s="11" t="str">
        <f>IFERROR(__xludf.DUMMYFUNCTION("""COMPUTED_VALUE"""),"Inssjyp Prestaciones")</f>
        <v>Inssjyp Prestaciones</v>
      </c>
      <c r="C1234" s="11">
        <f>IFERROR(__xludf.DUMMYFUNCTION("""COMPUTED_VALUE"""),0.179717353020512)</f>
        <v>0.179717353</v>
      </c>
    </row>
    <row r="1235">
      <c r="A1235" s="11">
        <f>IFERROR(__xludf.DUMMYFUNCTION("""COMPUTED_VALUE"""),2019.0)</f>
        <v>2019</v>
      </c>
      <c r="B1235" s="11" t="str">
        <f>IFERROR(__xludf.DUMMYFUNCTION("""COMPUTED_VALUE"""),"Inssjyp Salud")</f>
        <v>Inssjyp Salud</v>
      </c>
      <c r="C1235" s="11">
        <f>IFERROR(__xludf.DUMMYFUNCTION("""COMPUTED_VALUE"""),0.819035881362264)</f>
        <v>0.8190358814</v>
      </c>
    </row>
    <row r="1236">
      <c r="A1236" s="11">
        <f>IFERROR(__xludf.DUMMYFUNCTION("""COMPUTED_VALUE"""),2019.0)</f>
        <v>2019</v>
      </c>
      <c r="B1236" s="11" t="str">
        <f>IFERROR(__xludf.DUMMYFUNCTION("""COMPUTED_VALUE"""),"Justicia")</f>
        <v>Justicia</v>
      </c>
      <c r="C1236" s="11">
        <f>IFERROR(__xludf.DUMMYFUNCTION("""COMPUTED_VALUE"""),1.18597006067803)</f>
        <v>1.185970061</v>
      </c>
    </row>
    <row r="1237">
      <c r="A1237" s="11">
        <f>IFERROR(__xludf.DUMMYFUNCTION("""COMPUTED_VALUE"""),2019.0)</f>
        <v>2019</v>
      </c>
      <c r="B1237" s="11" t="str">
        <f>IFERROR(__xludf.DUMMYFUNCTION("""COMPUTED_VALUE"""),"Obras Sociales Prestaciones")</f>
        <v>Obras Sociales Prestaciones</v>
      </c>
      <c r="C1237" s="11">
        <f>IFERROR(__xludf.DUMMYFUNCTION("""COMPUTED_VALUE"""),0.149128393828054)</f>
        <v>0.1491283938</v>
      </c>
    </row>
    <row r="1238">
      <c r="A1238" s="11">
        <f>IFERROR(__xludf.DUMMYFUNCTION("""COMPUTED_VALUE"""),2019.0)</f>
        <v>2019</v>
      </c>
      <c r="B1238" s="11" t="str">
        <f>IFERROR(__xludf.DUMMYFUNCTION("""COMPUTED_VALUE"""),"Obras Sociales Salud")</f>
        <v>Obras Sociales Salud</v>
      </c>
      <c r="C1238" s="11">
        <f>IFERROR(__xludf.DUMMYFUNCTION("""COMPUTED_VALUE"""),2.89709491029367)</f>
        <v>2.89709491</v>
      </c>
    </row>
    <row r="1239">
      <c r="A1239" s="11">
        <f>IFERROR(__xludf.DUMMYFUNCTION("""COMPUTED_VALUE"""),2019.0)</f>
        <v>2019</v>
      </c>
      <c r="B1239" s="11" t="str">
        <f>IFERROR(__xludf.DUMMYFUNCTION("""COMPUTED_VALUE"""),"Otros Servicios Economicos")</f>
        <v>Otros Servicios Economicos</v>
      </c>
      <c r="C1239" s="11">
        <f>IFERROR(__xludf.DUMMYFUNCTION("""COMPUTED_VALUE"""),0.233980828930816)</f>
        <v>0.2339808289</v>
      </c>
    </row>
    <row r="1240">
      <c r="A1240" s="11">
        <f>IFERROR(__xludf.DUMMYFUNCTION("""COMPUTED_VALUE"""),2019.0)</f>
        <v>2019</v>
      </c>
      <c r="B1240" s="11" t="str">
        <f>IFERROR(__xludf.DUMMYFUNCTION("""COMPUTED_VALUE"""),"Otros Servicios Urbanos")</f>
        <v>Otros Servicios Urbanos</v>
      </c>
      <c r="C1240" s="11">
        <f>IFERROR(__xludf.DUMMYFUNCTION("""COMPUTED_VALUE"""),0.98413523039915)</f>
        <v>0.9841352304</v>
      </c>
    </row>
    <row r="1241">
      <c r="A1241" s="11">
        <f>IFERROR(__xludf.DUMMYFUNCTION("""COMPUTED_VALUE"""),2019.0)</f>
        <v>2019</v>
      </c>
      <c r="B1241" s="11" t="str">
        <f>IFERROR(__xludf.DUMMYFUNCTION("""COMPUTED_VALUE"""),"Prevision Social")</f>
        <v>Prevision Social</v>
      </c>
      <c r="C1241" s="11">
        <f>IFERROR(__xludf.DUMMYFUNCTION("""COMPUTED_VALUE"""),10.918835478277)</f>
        <v>10.91883548</v>
      </c>
    </row>
    <row r="1242">
      <c r="A1242" s="11">
        <f>IFERROR(__xludf.DUMMYFUNCTION("""COMPUTED_VALUE"""),2019.0)</f>
        <v>2019</v>
      </c>
      <c r="B1242" s="11" t="str">
        <f>IFERROR(__xludf.DUMMYFUNCTION("""COMPUTED_VALUE"""),"Produccion Primaria")</f>
        <v>Produccion Primaria</v>
      </c>
      <c r="C1242" s="11">
        <f>IFERROR(__xludf.DUMMYFUNCTION("""COMPUTED_VALUE"""),0.346857576055794)</f>
        <v>0.3468575761</v>
      </c>
    </row>
    <row r="1243">
      <c r="A1243" s="11">
        <f>IFERROR(__xludf.DUMMYFUNCTION("""COMPUTED_VALUE"""),2019.0)</f>
        <v>2019</v>
      </c>
      <c r="B1243" s="11" t="str">
        <f>IFERROR(__xludf.DUMMYFUNCTION("""COMPUTED_VALUE"""),"Programas Empleo")</f>
        <v>Programas Empleo</v>
      </c>
      <c r="C1243" s="11">
        <f>IFERROR(__xludf.DUMMYFUNCTION("""COMPUTED_VALUE"""),0.200787355136752)</f>
        <v>0.2007873551</v>
      </c>
    </row>
    <row r="1244">
      <c r="A1244" s="11">
        <f>IFERROR(__xludf.DUMMYFUNCTION("""COMPUTED_VALUE"""),2019.0)</f>
        <v>2019</v>
      </c>
      <c r="B1244" s="11" t="str">
        <f>IFERROR(__xludf.DUMMYFUNCTION("""COMPUTED_VALUE"""),"Promocion Asistencia Social")</f>
        <v>Promocion Asistencia Social</v>
      </c>
      <c r="C1244" s="11">
        <f>IFERROR(__xludf.DUMMYFUNCTION("""COMPUTED_VALUE"""),1.40331429583695)</f>
        <v>1.403314296</v>
      </c>
    </row>
    <row r="1245">
      <c r="A1245" s="11">
        <f>IFERROR(__xludf.DUMMYFUNCTION("""COMPUTED_VALUE"""),2019.0)</f>
        <v>2019</v>
      </c>
      <c r="B1245" s="11" t="str">
        <f>IFERROR(__xludf.DUMMYFUNCTION("""COMPUTED_VALUE"""),"Servicios Deuda Publica")</f>
        <v>Servicios Deuda Publica</v>
      </c>
      <c r="C1245" s="11">
        <f>IFERROR(__xludf.DUMMYFUNCTION("""COMPUTED_VALUE"""),5.04541496384379)</f>
        <v>5.045414964</v>
      </c>
    </row>
    <row r="1246">
      <c r="A1246" s="11">
        <f>IFERROR(__xludf.DUMMYFUNCTION("""COMPUTED_VALUE"""),2019.0)</f>
        <v>2019</v>
      </c>
      <c r="B1246" s="11" t="str">
        <f>IFERROR(__xludf.DUMMYFUNCTION("""COMPUTED_VALUE"""),"Servicios Economicos")</f>
        <v>Servicios Economicos</v>
      </c>
      <c r="C1246" s="11">
        <f>IFERROR(__xludf.DUMMYFUNCTION("""COMPUTED_VALUE"""),4.10162526502528)</f>
        <v>4.101625265</v>
      </c>
    </row>
    <row r="1247">
      <c r="A1247" s="11">
        <f>IFERROR(__xludf.DUMMYFUNCTION("""COMPUTED_VALUE"""),2019.0)</f>
        <v>2019</v>
      </c>
      <c r="B1247" s="11" t="str">
        <f>IFERROR(__xludf.DUMMYFUNCTION("""COMPUTED_VALUE"""),"Servicios Sociales")</f>
        <v>Servicios Sociales</v>
      </c>
      <c r="C1247" s="11">
        <f>IFERROR(__xludf.DUMMYFUNCTION("""COMPUTED_VALUE"""),27.9022394993136)</f>
        <v>27.9022395</v>
      </c>
    </row>
    <row r="1248">
      <c r="A1248" s="11">
        <f>IFERROR(__xludf.DUMMYFUNCTION("""COMPUTED_VALUE"""),2019.0)</f>
        <v>2019</v>
      </c>
      <c r="B1248" s="11" t="str">
        <f>IFERROR(__xludf.DUMMYFUNCTION("""COMPUTED_VALUE"""),"Transporte")</f>
        <v>Transporte</v>
      </c>
      <c r="C1248" s="11">
        <f>IFERROR(__xludf.DUMMYFUNCTION("""COMPUTED_VALUE"""),2.00919306807633)</f>
        <v>2.009193068</v>
      </c>
    </row>
    <row r="1249">
      <c r="A1249" s="11">
        <f>IFERROR(__xludf.DUMMYFUNCTION("""COMPUTED_VALUE"""),2019.0)</f>
        <v>2019</v>
      </c>
      <c r="B1249" s="11" t="str">
        <f>IFERROR(__xludf.DUMMYFUNCTION("""COMPUTED_VALUE"""),"Vivienda Urbanismo")</f>
        <v>Vivienda Urbanismo</v>
      </c>
      <c r="C1249" s="11">
        <f>IFERROR(__xludf.DUMMYFUNCTION("""COMPUTED_VALUE"""),0.850467910254129)</f>
        <v>0.8504679103</v>
      </c>
    </row>
    <row r="1250">
      <c r="A1250" s="11">
        <f>IFERROR(__xludf.DUMMYFUNCTION("""COMPUTED_VALUE"""),2020.0)</f>
        <v>2020</v>
      </c>
      <c r="B1250" s="11" t="str">
        <f>IFERROR(__xludf.DUMMYFUNCTION("""COMPUTED_VALUE"""),"Administracion General")</f>
        <v>Administracion General</v>
      </c>
      <c r="C1250" s="11">
        <f>IFERROR(__xludf.DUMMYFUNCTION("""COMPUTED_VALUE"""),2.66397257850066)</f>
        <v>2.663972579</v>
      </c>
    </row>
    <row r="1251">
      <c r="A1251" s="11">
        <f>IFERROR(__xludf.DUMMYFUNCTION("""COMPUTED_VALUE"""),2020.0)</f>
        <v>2020</v>
      </c>
      <c r="B1251" s="11" t="str">
        <f>IFERROR(__xludf.DUMMYFUNCTION("""COMPUTED_VALUE"""),"Agua Alcantarillado")</f>
        <v>Agua Alcantarillado</v>
      </c>
      <c r="C1251" s="11">
        <f>IFERROR(__xludf.DUMMYFUNCTION("""COMPUTED_VALUE"""),0.542350361349046)</f>
        <v>0.5423503613</v>
      </c>
    </row>
    <row r="1252">
      <c r="A1252" s="11">
        <f>IFERROR(__xludf.DUMMYFUNCTION("""COMPUTED_VALUE"""),2020.0)</f>
        <v>2020</v>
      </c>
      <c r="B1252" s="11" t="str">
        <f>IFERROR(__xludf.DUMMYFUNCTION("""COMPUTED_VALUE"""),"Asignaciones Familiares")</f>
        <v>Asignaciones Familiares</v>
      </c>
      <c r="C1252" s="11">
        <f>IFERROR(__xludf.DUMMYFUNCTION("""COMPUTED_VALUE"""),1.27667732775159)</f>
        <v>1.276677328</v>
      </c>
    </row>
    <row r="1253">
      <c r="A1253" s="11">
        <f>IFERROR(__xludf.DUMMYFUNCTION("""COMPUTED_VALUE"""),2020.0)</f>
        <v>2020</v>
      </c>
      <c r="B1253" s="11" t="str">
        <f>IFERROR(__xludf.DUMMYFUNCTION("""COMPUTED_VALUE"""),"Atencion Salud")</f>
        <v>Atencion Salud</v>
      </c>
      <c r="C1253" s="11">
        <f>IFERROR(__xludf.DUMMYFUNCTION("""COMPUTED_VALUE"""),3.07362728651143)</f>
        <v>3.073627287</v>
      </c>
    </row>
    <row r="1254">
      <c r="A1254" s="11">
        <f>IFERROR(__xludf.DUMMYFUNCTION("""COMPUTED_VALUE"""),2020.0)</f>
        <v>2020</v>
      </c>
      <c r="B1254" s="11" t="str">
        <f>IFERROR(__xludf.DUMMYFUNCTION("""COMPUTED_VALUE"""),"Ciencia Tecnica")</f>
        <v>Ciencia Tecnica</v>
      </c>
      <c r="C1254" s="11">
        <f>IFERROR(__xludf.DUMMYFUNCTION("""COMPUTED_VALUE"""),0.204468297067695)</f>
        <v>0.2044682971</v>
      </c>
    </row>
    <row r="1255">
      <c r="A1255" s="11">
        <f>IFERROR(__xludf.DUMMYFUNCTION("""COMPUTED_VALUE"""),2020.0)</f>
        <v>2020</v>
      </c>
      <c r="B1255" s="11" t="str">
        <f>IFERROR(__xludf.DUMMYFUNCTION("""COMPUTED_VALUE"""),"Comunicaciones")</f>
        <v>Comunicaciones</v>
      </c>
      <c r="C1255" s="11">
        <f>IFERROR(__xludf.DUMMYFUNCTION("""COMPUTED_VALUE"""),0.129670767253813)</f>
        <v>0.1296707673</v>
      </c>
    </row>
    <row r="1256">
      <c r="A1256" s="11">
        <f>IFERROR(__xludf.DUMMYFUNCTION("""COMPUTED_VALUE"""),2020.0)</f>
        <v>2020</v>
      </c>
      <c r="B1256" s="11" t="str">
        <f>IFERROR(__xludf.DUMMYFUNCTION("""COMPUTED_VALUE"""),"Cultura")</f>
        <v>Cultura</v>
      </c>
      <c r="C1256" s="11">
        <f>IFERROR(__xludf.DUMMYFUNCTION("""COMPUTED_VALUE"""),0.185666679813651)</f>
        <v>0.1856666798</v>
      </c>
    </row>
    <row r="1257">
      <c r="A1257" s="11">
        <f>IFERROR(__xludf.DUMMYFUNCTION("""COMPUTED_VALUE"""),2020.0)</f>
        <v>2020</v>
      </c>
      <c r="B1257" s="11" t="str">
        <f>IFERROR(__xludf.DUMMYFUNCTION("""COMPUTED_VALUE"""),"Defensa Seguridad")</f>
        <v>Defensa Seguridad</v>
      </c>
      <c r="C1257" s="11">
        <f>IFERROR(__xludf.DUMMYFUNCTION("""COMPUTED_VALUE"""),2.64072022569929)</f>
        <v>2.640720226</v>
      </c>
    </row>
    <row r="1258">
      <c r="A1258" s="11">
        <f>IFERROR(__xludf.DUMMYFUNCTION("""COMPUTED_VALUE"""),2020.0)</f>
        <v>2020</v>
      </c>
      <c r="B1258" s="11" t="str">
        <f>IFERROR(__xludf.DUMMYFUNCTION("""COMPUTED_VALUE"""),"Educacion Basica")</f>
        <v>Educacion Basica</v>
      </c>
      <c r="C1258" s="11">
        <f>IFERROR(__xludf.DUMMYFUNCTION("""COMPUTED_VALUE"""),3.66754927336669)</f>
        <v>3.667549273</v>
      </c>
    </row>
    <row r="1259">
      <c r="A1259" s="11">
        <f>IFERROR(__xludf.DUMMYFUNCTION("""COMPUTED_VALUE"""),2020.0)</f>
        <v>2020</v>
      </c>
      <c r="B1259" s="11" t="str">
        <f>IFERROR(__xludf.DUMMYFUNCTION("""COMPUTED_VALUE"""),"Educacion Cultura Sin Discriminar")</f>
        <v>Educacion Cultura Sin Discriminar</v>
      </c>
      <c r="C1259" s="11">
        <f>IFERROR(__xludf.DUMMYFUNCTION("""COMPUTED_VALUE"""),0.528711020209212)</f>
        <v>0.5287110202</v>
      </c>
    </row>
    <row r="1260">
      <c r="A1260" s="11">
        <f>IFERROR(__xludf.DUMMYFUNCTION("""COMPUTED_VALUE"""),2020.0)</f>
        <v>2020</v>
      </c>
      <c r="B1260" s="11" t="str">
        <f>IFERROR(__xludf.DUMMYFUNCTION("""COMPUTED_VALUE"""),"Educacion Universitaria")</f>
        <v>Educacion Universitaria</v>
      </c>
      <c r="C1260" s="11">
        <f>IFERROR(__xludf.DUMMYFUNCTION("""COMPUTED_VALUE"""),1.1778968432375)</f>
        <v>1.177896843</v>
      </c>
    </row>
    <row r="1261">
      <c r="A1261" s="11">
        <f>IFERROR(__xludf.DUMMYFUNCTION("""COMPUTED_VALUE"""),2020.0)</f>
        <v>2020</v>
      </c>
      <c r="B1261" s="11" t="str">
        <f>IFERROR(__xludf.DUMMYFUNCTION("""COMPUTED_VALUE"""),"Energia Combustible")</f>
        <v>Energia Combustible</v>
      </c>
      <c r="C1261" s="11">
        <f>IFERROR(__xludf.DUMMYFUNCTION("""COMPUTED_VALUE"""),1.97312160221922)</f>
        <v>1.973121602</v>
      </c>
    </row>
    <row r="1262">
      <c r="A1262" s="11">
        <f>IFERROR(__xludf.DUMMYFUNCTION("""COMPUTED_VALUE"""),2020.0)</f>
        <v>2020</v>
      </c>
      <c r="B1262" s="11" t="str">
        <f>IFERROR(__xludf.DUMMYFUNCTION("""COMPUTED_VALUE"""),"Funcionamiento Estado")</f>
        <v>Funcionamiento Estado</v>
      </c>
      <c r="C1262" s="11">
        <f>IFERROR(__xludf.DUMMYFUNCTION("""COMPUTED_VALUE"""),6.54626437196523)</f>
        <v>6.546264372</v>
      </c>
    </row>
    <row r="1263">
      <c r="A1263" s="11">
        <f>IFERROR(__xludf.DUMMYFUNCTION("""COMPUTED_VALUE"""),2020.0)</f>
        <v>2020</v>
      </c>
      <c r="B1263" s="11" t="str">
        <f>IFERROR(__xludf.DUMMYFUNCTION("""COMPUTED_VALUE"""),"Industria")</f>
        <v>Industria</v>
      </c>
      <c r="C1263" s="11">
        <f>IFERROR(__xludf.DUMMYFUNCTION("""COMPUTED_VALUE"""),0.545357640575407)</f>
        <v>0.5453576406</v>
      </c>
    </row>
    <row r="1264">
      <c r="A1264" s="11">
        <f>IFERROR(__xludf.DUMMYFUNCTION("""COMPUTED_VALUE"""),2020.0)</f>
        <v>2020</v>
      </c>
      <c r="B1264" s="11" t="str">
        <f>IFERROR(__xludf.DUMMYFUNCTION("""COMPUTED_VALUE"""),"Inssjyp Prestaciones")</f>
        <v>Inssjyp Prestaciones</v>
      </c>
      <c r="C1264" s="11">
        <f>IFERROR(__xludf.DUMMYFUNCTION("""COMPUTED_VALUE"""),0.194505025243243)</f>
        <v>0.1945050252</v>
      </c>
    </row>
    <row r="1265">
      <c r="A1265" s="11">
        <f>IFERROR(__xludf.DUMMYFUNCTION("""COMPUTED_VALUE"""),2020.0)</f>
        <v>2020</v>
      </c>
      <c r="B1265" s="11" t="str">
        <f>IFERROR(__xludf.DUMMYFUNCTION("""COMPUTED_VALUE"""),"Inssjyp Salud")</f>
        <v>Inssjyp Salud</v>
      </c>
      <c r="C1265" s="11">
        <f>IFERROR(__xludf.DUMMYFUNCTION("""COMPUTED_VALUE"""),0.886428561861281)</f>
        <v>0.8864285619</v>
      </c>
    </row>
    <row r="1266">
      <c r="A1266" s="11">
        <f>IFERROR(__xludf.DUMMYFUNCTION("""COMPUTED_VALUE"""),2020.0)</f>
        <v>2020</v>
      </c>
      <c r="B1266" s="11" t="str">
        <f>IFERROR(__xludf.DUMMYFUNCTION("""COMPUTED_VALUE"""),"Justicia")</f>
        <v>Justicia</v>
      </c>
      <c r="C1266" s="11">
        <f>IFERROR(__xludf.DUMMYFUNCTION("""COMPUTED_VALUE"""),1.24157156776526)</f>
        <v>1.241571568</v>
      </c>
    </row>
    <row r="1267">
      <c r="A1267" s="11">
        <f>IFERROR(__xludf.DUMMYFUNCTION("""COMPUTED_VALUE"""),2020.0)</f>
        <v>2020</v>
      </c>
      <c r="B1267" s="11" t="str">
        <f>IFERROR(__xludf.DUMMYFUNCTION("""COMPUTED_VALUE"""),"Obras Sociales Prestaciones")</f>
        <v>Obras Sociales Prestaciones</v>
      </c>
      <c r="C1267" s="11">
        <f>IFERROR(__xludf.DUMMYFUNCTION("""COMPUTED_VALUE"""),0.164511840247989)</f>
        <v>0.1645118402</v>
      </c>
    </row>
    <row r="1268">
      <c r="A1268" s="11">
        <f>IFERROR(__xludf.DUMMYFUNCTION("""COMPUTED_VALUE"""),2020.0)</f>
        <v>2020</v>
      </c>
      <c r="B1268" s="11" t="str">
        <f>IFERROR(__xludf.DUMMYFUNCTION("""COMPUTED_VALUE"""),"Obras Sociales Salud")</f>
        <v>Obras Sociales Salud</v>
      </c>
      <c r="C1268" s="11">
        <f>IFERROR(__xludf.DUMMYFUNCTION("""COMPUTED_VALUE"""),3.11798900577642)</f>
        <v>3.117989006</v>
      </c>
    </row>
    <row r="1269">
      <c r="A1269" s="11">
        <f>IFERROR(__xludf.DUMMYFUNCTION("""COMPUTED_VALUE"""),2020.0)</f>
        <v>2020</v>
      </c>
      <c r="B1269" s="11" t="str">
        <f>IFERROR(__xludf.DUMMYFUNCTION("""COMPUTED_VALUE"""),"Otros Servicios Economicos")</f>
        <v>Otros Servicios Economicos</v>
      </c>
      <c r="C1269" s="11">
        <f>IFERROR(__xludf.DUMMYFUNCTION("""COMPUTED_VALUE"""),0.216073205126695)</f>
        <v>0.2160732051</v>
      </c>
    </row>
    <row r="1270">
      <c r="A1270" s="11">
        <f>IFERROR(__xludf.DUMMYFUNCTION("""COMPUTED_VALUE"""),2020.0)</f>
        <v>2020</v>
      </c>
      <c r="B1270" s="11" t="str">
        <f>IFERROR(__xludf.DUMMYFUNCTION("""COMPUTED_VALUE"""),"Otros Servicios Urbanos")</f>
        <v>Otros Servicios Urbanos</v>
      </c>
      <c r="C1270" s="11">
        <f>IFERROR(__xludf.DUMMYFUNCTION("""COMPUTED_VALUE"""),0.960227554342953)</f>
        <v>0.9602275543</v>
      </c>
    </row>
    <row r="1271">
      <c r="A1271" s="11">
        <f>IFERROR(__xludf.DUMMYFUNCTION("""COMPUTED_VALUE"""),2020.0)</f>
        <v>2020</v>
      </c>
      <c r="B1271" s="11" t="str">
        <f>IFERROR(__xludf.DUMMYFUNCTION("""COMPUTED_VALUE"""),"Prevision Social")</f>
        <v>Prevision Social</v>
      </c>
      <c r="C1271" s="11">
        <f>IFERROR(__xludf.DUMMYFUNCTION("""COMPUTED_VALUE"""),12.1348711968218)</f>
        <v>12.1348712</v>
      </c>
    </row>
    <row r="1272">
      <c r="A1272" s="11">
        <f>IFERROR(__xludf.DUMMYFUNCTION("""COMPUTED_VALUE"""),2020.0)</f>
        <v>2020</v>
      </c>
      <c r="B1272" s="11" t="str">
        <f>IFERROR(__xludf.DUMMYFUNCTION("""COMPUTED_VALUE"""),"Produccion Primaria")</f>
        <v>Produccion Primaria</v>
      </c>
      <c r="C1272" s="11">
        <f>IFERROR(__xludf.DUMMYFUNCTION("""COMPUTED_VALUE"""),0.373655288504759)</f>
        <v>0.3736552885</v>
      </c>
    </row>
    <row r="1273">
      <c r="A1273" s="11">
        <f>IFERROR(__xludf.DUMMYFUNCTION("""COMPUTED_VALUE"""),2020.0)</f>
        <v>2020</v>
      </c>
      <c r="B1273" s="11" t="str">
        <f>IFERROR(__xludf.DUMMYFUNCTION("""COMPUTED_VALUE"""),"Programas Empleo")</f>
        <v>Programas Empleo</v>
      </c>
      <c r="C1273" s="11">
        <f>IFERROR(__xludf.DUMMYFUNCTION("""COMPUTED_VALUE"""),1.05708998125293)</f>
        <v>1.057089981</v>
      </c>
    </row>
    <row r="1274">
      <c r="A1274" s="11">
        <f>IFERROR(__xludf.DUMMYFUNCTION("""COMPUTED_VALUE"""),2020.0)</f>
        <v>2020</v>
      </c>
      <c r="B1274" s="11" t="str">
        <f>IFERROR(__xludf.DUMMYFUNCTION("""COMPUTED_VALUE"""),"Promocion Asistencia Social")</f>
        <v>Promocion Asistencia Social</v>
      </c>
      <c r="C1274" s="11">
        <f>IFERROR(__xludf.DUMMYFUNCTION("""COMPUTED_VALUE"""),2.87138258742378)</f>
        <v>2.871382587</v>
      </c>
    </row>
    <row r="1275">
      <c r="A1275" s="11">
        <f>IFERROR(__xludf.DUMMYFUNCTION("""COMPUTED_VALUE"""),2020.0)</f>
        <v>2020</v>
      </c>
      <c r="B1275" s="11" t="str">
        <f>IFERROR(__xludf.DUMMYFUNCTION("""COMPUTED_VALUE"""),"Servicios Deuda Publica")</f>
        <v>Servicios Deuda Publica</v>
      </c>
      <c r="C1275" s="11">
        <f>IFERROR(__xludf.DUMMYFUNCTION("""COMPUTED_VALUE"""),2.7789732116533)</f>
        <v>2.778973212</v>
      </c>
    </row>
    <row r="1276">
      <c r="A1276" s="11">
        <f>IFERROR(__xludf.DUMMYFUNCTION("""COMPUTED_VALUE"""),2020.0)</f>
        <v>2020</v>
      </c>
      <c r="B1276" s="11" t="str">
        <f>IFERROR(__xludf.DUMMYFUNCTION("""COMPUTED_VALUE"""),"Servicios Economicos")</f>
        <v>Servicios Economicos</v>
      </c>
      <c r="C1276" s="11">
        <f>IFERROR(__xludf.DUMMYFUNCTION("""COMPUTED_VALUE"""),5.20940486312732)</f>
        <v>5.209404863</v>
      </c>
    </row>
    <row r="1277">
      <c r="A1277" s="11">
        <f>IFERROR(__xludf.DUMMYFUNCTION("""COMPUTED_VALUE"""),2020.0)</f>
        <v>2020</v>
      </c>
      <c r="B1277" s="11" t="str">
        <f>IFERROR(__xludf.DUMMYFUNCTION("""COMPUTED_VALUE"""),"Servicios Sociales")</f>
        <v>Servicios Sociales</v>
      </c>
      <c r="C1277" s="11">
        <f>IFERROR(__xludf.DUMMYFUNCTION("""COMPUTED_VALUE"""),32.8186791121317)</f>
        <v>32.81867911</v>
      </c>
    </row>
    <row r="1278">
      <c r="A1278" s="11">
        <f>IFERROR(__xludf.DUMMYFUNCTION("""COMPUTED_VALUE"""),2020.0)</f>
        <v>2020</v>
      </c>
      <c r="B1278" s="11" t="str">
        <f>IFERROR(__xludf.DUMMYFUNCTION("""COMPUTED_VALUE"""),"Transporte")</f>
        <v>Transporte</v>
      </c>
      <c r="C1278" s="11">
        <f>IFERROR(__xludf.DUMMYFUNCTION("""COMPUTED_VALUE"""),1.97152635944742)</f>
        <v>1.971526359</v>
      </c>
    </row>
    <row r="1279">
      <c r="A1279" s="11">
        <f>IFERROR(__xludf.DUMMYFUNCTION("""COMPUTED_VALUE"""),2020.0)</f>
        <v>2020</v>
      </c>
      <c r="B1279" s="11" t="str">
        <f>IFERROR(__xludf.DUMMYFUNCTION("""COMPUTED_VALUE"""),"Vivienda Urbanismo")</f>
        <v>Vivienda Urbanismo</v>
      </c>
      <c r="C1279" s="11">
        <f>IFERROR(__xludf.DUMMYFUNCTION("""COMPUTED_VALUE"""),0.774726269854473)</f>
        <v>0.7747262699</v>
      </c>
    </row>
    <row r="1280">
      <c r="A1280" s="11">
        <f>IFERROR(__xludf.DUMMYFUNCTION("""COMPUTED_VALUE"""),2021.0)</f>
        <v>2021</v>
      </c>
      <c r="B1280" s="11" t="str">
        <f>IFERROR(__xludf.DUMMYFUNCTION("""COMPUTED_VALUE"""),"Administracion General")</f>
        <v>Administracion General</v>
      </c>
      <c r="C1280" s="11">
        <f>IFERROR(__xludf.DUMMYFUNCTION("""COMPUTED_VALUE"""),2.57392576370915)</f>
        <v>2.573925764</v>
      </c>
    </row>
    <row r="1281">
      <c r="A1281" s="11">
        <f>IFERROR(__xludf.DUMMYFUNCTION("""COMPUTED_VALUE"""),2021.0)</f>
        <v>2021</v>
      </c>
      <c r="B1281" s="11" t="str">
        <f>IFERROR(__xludf.DUMMYFUNCTION("""COMPUTED_VALUE"""),"Agua Alcantarillado")</f>
        <v>Agua Alcantarillado</v>
      </c>
      <c r="C1281" s="11">
        <f>IFERROR(__xludf.DUMMYFUNCTION("""COMPUTED_VALUE"""),0.560541625190203)</f>
        <v>0.5605416252</v>
      </c>
    </row>
    <row r="1282">
      <c r="A1282" s="11">
        <f>IFERROR(__xludf.DUMMYFUNCTION("""COMPUTED_VALUE"""),2021.0)</f>
        <v>2021</v>
      </c>
      <c r="B1282" s="11" t="str">
        <f>IFERROR(__xludf.DUMMYFUNCTION("""COMPUTED_VALUE"""),"Asignaciones Familiares")</f>
        <v>Asignaciones Familiares</v>
      </c>
      <c r="C1282" s="11">
        <f>IFERROR(__xludf.DUMMYFUNCTION("""COMPUTED_VALUE"""),1.11474048143197)</f>
        <v>1.114740481</v>
      </c>
    </row>
    <row r="1283">
      <c r="A1283" s="11">
        <f>IFERROR(__xludf.DUMMYFUNCTION("""COMPUTED_VALUE"""),2021.0)</f>
        <v>2021</v>
      </c>
      <c r="B1283" s="11" t="str">
        <f>IFERROR(__xludf.DUMMYFUNCTION("""COMPUTED_VALUE"""),"Atencion Salud")</f>
        <v>Atencion Salud</v>
      </c>
      <c r="C1283" s="11">
        <f>IFERROR(__xludf.DUMMYFUNCTION("""COMPUTED_VALUE"""),3.09652885869523)</f>
        <v>3.096528859</v>
      </c>
    </row>
    <row r="1284">
      <c r="A1284" s="11">
        <f>IFERROR(__xludf.DUMMYFUNCTION("""COMPUTED_VALUE"""),2021.0)</f>
        <v>2021</v>
      </c>
      <c r="B1284" s="11" t="str">
        <f>IFERROR(__xludf.DUMMYFUNCTION("""COMPUTED_VALUE"""),"Ciencia Tecnica")</f>
        <v>Ciencia Tecnica</v>
      </c>
      <c r="C1284" s="11">
        <f>IFERROR(__xludf.DUMMYFUNCTION("""COMPUTED_VALUE"""),0.22031598942864)</f>
        <v>0.2203159894</v>
      </c>
    </row>
    <row r="1285">
      <c r="A1285" s="11">
        <f>IFERROR(__xludf.DUMMYFUNCTION("""COMPUTED_VALUE"""),2021.0)</f>
        <v>2021</v>
      </c>
      <c r="B1285" s="11" t="str">
        <f>IFERROR(__xludf.DUMMYFUNCTION("""COMPUTED_VALUE"""),"Comunicaciones")</f>
        <v>Comunicaciones</v>
      </c>
      <c r="C1285" s="11">
        <f>IFERROR(__xludf.DUMMYFUNCTION("""COMPUTED_VALUE"""),0.122638628673338)</f>
        <v>0.1226386287</v>
      </c>
    </row>
    <row r="1286">
      <c r="A1286" s="11">
        <f>IFERROR(__xludf.DUMMYFUNCTION("""COMPUTED_VALUE"""),2021.0)</f>
        <v>2021</v>
      </c>
      <c r="B1286" s="11" t="str">
        <f>IFERROR(__xludf.DUMMYFUNCTION("""COMPUTED_VALUE"""),"Cultura")</f>
        <v>Cultura</v>
      </c>
      <c r="C1286" s="11">
        <f>IFERROR(__xludf.DUMMYFUNCTION("""COMPUTED_VALUE"""),0.190357275099747)</f>
        <v>0.1903572751</v>
      </c>
    </row>
    <row r="1287">
      <c r="A1287" s="11">
        <f>IFERROR(__xludf.DUMMYFUNCTION("""COMPUTED_VALUE"""),2021.0)</f>
        <v>2021</v>
      </c>
      <c r="B1287" s="11" t="str">
        <f>IFERROR(__xludf.DUMMYFUNCTION("""COMPUTED_VALUE"""),"Defensa Seguridad")</f>
        <v>Defensa Seguridad</v>
      </c>
      <c r="C1287" s="11">
        <f>IFERROR(__xludf.DUMMYFUNCTION("""COMPUTED_VALUE"""),2.42720108362088)</f>
        <v>2.427201084</v>
      </c>
    </row>
    <row r="1288">
      <c r="A1288" s="11">
        <f>IFERROR(__xludf.DUMMYFUNCTION("""COMPUTED_VALUE"""),2021.0)</f>
        <v>2021</v>
      </c>
      <c r="B1288" s="11" t="str">
        <f>IFERROR(__xludf.DUMMYFUNCTION("""COMPUTED_VALUE"""),"Educacion Basica")</f>
        <v>Educacion Basica</v>
      </c>
      <c r="C1288" s="11">
        <f>IFERROR(__xludf.DUMMYFUNCTION("""COMPUTED_VALUE"""),3.26038215473319)</f>
        <v>3.260382155</v>
      </c>
    </row>
    <row r="1289">
      <c r="A1289" s="11">
        <f>IFERROR(__xludf.DUMMYFUNCTION("""COMPUTED_VALUE"""),2021.0)</f>
        <v>2021</v>
      </c>
      <c r="B1289" s="11" t="str">
        <f>IFERROR(__xludf.DUMMYFUNCTION("""COMPUTED_VALUE"""),"Educacion Cultura Sin Discriminar")</f>
        <v>Educacion Cultura Sin Discriminar</v>
      </c>
      <c r="C1289" s="11">
        <f>IFERROR(__xludf.DUMMYFUNCTION("""COMPUTED_VALUE"""),0.566265110149987)</f>
        <v>0.5662651101</v>
      </c>
    </row>
    <row r="1290">
      <c r="A1290" s="11">
        <f>IFERROR(__xludf.DUMMYFUNCTION("""COMPUTED_VALUE"""),2021.0)</f>
        <v>2021</v>
      </c>
      <c r="B1290" s="11" t="str">
        <f>IFERROR(__xludf.DUMMYFUNCTION("""COMPUTED_VALUE"""),"Educacion Universitaria")</f>
        <v>Educacion Universitaria</v>
      </c>
      <c r="C1290" s="11">
        <f>IFERROR(__xludf.DUMMYFUNCTION("""COMPUTED_VALUE"""),1.05786444097302)</f>
        <v>1.057864441</v>
      </c>
    </row>
    <row r="1291">
      <c r="A1291" s="11">
        <f>IFERROR(__xludf.DUMMYFUNCTION("""COMPUTED_VALUE"""),2021.0)</f>
        <v>2021</v>
      </c>
      <c r="B1291" s="11" t="str">
        <f>IFERROR(__xludf.DUMMYFUNCTION("""COMPUTED_VALUE"""),"Energia Combustible")</f>
        <v>Energia Combustible</v>
      </c>
      <c r="C1291" s="11">
        <f>IFERROR(__xludf.DUMMYFUNCTION("""COMPUTED_VALUE"""),2.40534187090059)</f>
        <v>2.405341871</v>
      </c>
    </row>
    <row r="1292">
      <c r="A1292" s="11">
        <f>IFERROR(__xludf.DUMMYFUNCTION("""COMPUTED_VALUE"""),2021.0)</f>
        <v>2021</v>
      </c>
      <c r="B1292" s="11" t="str">
        <f>IFERROR(__xludf.DUMMYFUNCTION("""COMPUTED_VALUE"""),"Funcionamiento Estado")</f>
        <v>Funcionamiento Estado</v>
      </c>
      <c r="C1292" s="11">
        <f>IFERROR(__xludf.DUMMYFUNCTION("""COMPUTED_VALUE"""),6.17320859174794)</f>
        <v>6.173208592</v>
      </c>
    </row>
    <row r="1293">
      <c r="A1293" s="11">
        <f>IFERROR(__xludf.DUMMYFUNCTION("""COMPUTED_VALUE"""),2021.0)</f>
        <v>2021</v>
      </c>
      <c r="B1293" s="11" t="str">
        <f>IFERROR(__xludf.DUMMYFUNCTION("""COMPUTED_VALUE"""),"Industria")</f>
        <v>Industria</v>
      </c>
      <c r="C1293" s="11">
        <f>IFERROR(__xludf.DUMMYFUNCTION("""COMPUTED_VALUE"""),0.338172090671297)</f>
        <v>0.3381720907</v>
      </c>
    </row>
    <row r="1294">
      <c r="A1294" s="11">
        <f>IFERROR(__xludf.DUMMYFUNCTION("""COMPUTED_VALUE"""),2021.0)</f>
        <v>2021</v>
      </c>
      <c r="B1294" s="11" t="str">
        <f>IFERROR(__xludf.DUMMYFUNCTION("""COMPUTED_VALUE"""),"Inssjyp Prestaciones")</f>
        <v>Inssjyp Prestaciones</v>
      </c>
      <c r="C1294" s="11">
        <f>IFERROR(__xludf.DUMMYFUNCTION("""COMPUTED_VALUE"""),0.169334069339624)</f>
        <v>0.1693340693</v>
      </c>
    </row>
    <row r="1295">
      <c r="A1295" s="11">
        <f>IFERROR(__xludf.DUMMYFUNCTION("""COMPUTED_VALUE"""),2021.0)</f>
        <v>2021</v>
      </c>
      <c r="B1295" s="11" t="str">
        <f>IFERROR(__xludf.DUMMYFUNCTION("""COMPUTED_VALUE"""),"Inssjyp Salud")</f>
        <v>Inssjyp Salud</v>
      </c>
      <c r="C1295" s="11">
        <f>IFERROR(__xludf.DUMMYFUNCTION("""COMPUTED_VALUE"""),0.771715565554806)</f>
        <v>0.7717155656</v>
      </c>
    </row>
    <row r="1296">
      <c r="A1296" s="11">
        <f>IFERROR(__xludf.DUMMYFUNCTION("""COMPUTED_VALUE"""),2021.0)</f>
        <v>2021</v>
      </c>
      <c r="B1296" s="11" t="str">
        <f>IFERROR(__xludf.DUMMYFUNCTION("""COMPUTED_VALUE"""),"Justicia")</f>
        <v>Justicia</v>
      </c>
      <c r="C1296" s="11">
        <f>IFERROR(__xludf.DUMMYFUNCTION("""COMPUTED_VALUE"""),1.1720817444179)</f>
        <v>1.172081744</v>
      </c>
    </row>
    <row r="1297">
      <c r="A1297" s="11">
        <f>IFERROR(__xludf.DUMMYFUNCTION("""COMPUTED_VALUE"""),2021.0)</f>
        <v>2021</v>
      </c>
      <c r="B1297" s="11" t="str">
        <f>IFERROR(__xludf.DUMMYFUNCTION("""COMPUTED_VALUE"""),"Obras Sociales Prestaciones")</f>
        <v>Obras Sociales Prestaciones</v>
      </c>
      <c r="C1297" s="11">
        <f>IFERROR(__xludf.DUMMYFUNCTION("""COMPUTED_VALUE"""),0.139681696598426)</f>
        <v>0.1396816966</v>
      </c>
    </row>
    <row r="1298">
      <c r="A1298" s="11">
        <f>IFERROR(__xludf.DUMMYFUNCTION("""COMPUTED_VALUE"""),2021.0)</f>
        <v>2021</v>
      </c>
      <c r="B1298" s="11" t="str">
        <f>IFERROR(__xludf.DUMMYFUNCTION("""COMPUTED_VALUE"""),"Obras Sociales Salud")</f>
        <v>Obras Sociales Salud</v>
      </c>
      <c r="C1298" s="11">
        <f>IFERROR(__xludf.DUMMYFUNCTION("""COMPUTED_VALUE"""),2.65383913948818)</f>
        <v>2.653839139</v>
      </c>
    </row>
    <row r="1299">
      <c r="A1299" s="11">
        <f>IFERROR(__xludf.DUMMYFUNCTION("""COMPUTED_VALUE"""),2021.0)</f>
        <v>2021</v>
      </c>
      <c r="B1299" s="11" t="str">
        <f>IFERROR(__xludf.DUMMYFUNCTION("""COMPUTED_VALUE"""),"Otros Servicios Economicos")</f>
        <v>Otros Servicios Economicos</v>
      </c>
      <c r="C1299" s="11">
        <f>IFERROR(__xludf.DUMMYFUNCTION("""COMPUTED_VALUE"""),0.291756808840099)</f>
        <v>0.2917568088</v>
      </c>
    </row>
    <row r="1300">
      <c r="A1300" s="11">
        <f>IFERROR(__xludf.DUMMYFUNCTION("""COMPUTED_VALUE"""),2021.0)</f>
        <v>2021</v>
      </c>
      <c r="B1300" s="11" t="str">
        <f>IFERROR(__xludf.DUMMYFUNCTION("""COMPUTED_VALUE"""),"Otros Servicios Urbanos")</f>
        <v>Otros Servicios Urbanos</v>
      </c>
      <c r="C1300" s="11">
        <f>IFERROR(__xludf.DUMMYFUNCTION("""COMPUTED_VALUE"""),0.994880786840875)</f>
        <v>0.9948807868</v>
      </c>
    </row>
    <row r="1301">
      <c r="A1301" s="11">
        <f>IFERROR(__xludf.DUMMYFUNCTION("""COMPUTED_VALUE"""),2021.0)</f>
        <v>2021</v>
      </c>
      <c r="B1301" s="11" t="str">
        <f>IFERROR(__xludf.DUMMYFUNCTION("""COMPUTED_VALUE"""),"Prevision Social")</f>
        <v>Prevision Social</v>
      </c>
      <c r="C1301" s="11">
        <f>IFERROR(__xludf.DUMMYFUNCTION("""COMPUTED_VALUE"""),10.2521426594551)</f>
        <v>10.25214266</v>
      </c>
    </row>
    <row r="1302">
      <c r="A1302" s="11">
        <f>IFERROR(__xludf.DUMMYFUNCTION("""COMPUTED_VALUE"""),2021.0)</f>
        <v>2021</v>
      </c>
      <c r="B1302" s="11" t="str">
        <f>IFERROR(__xludf.DUMMYFUNCTION("""COMPUTED_VALUE"""),"Produccion Primaria")</f>
        <v>Produccion Primaria</v>
      </c>
      <c r="C1302" s="11">
        <f>IFERROR(__xludf.DUMMYFUNCTION("""COMPUTED_VALUE"""),0.368961810016842)</f>
        <v>0.36896181</v>
      </c>
    </row>
    <row r="1303">
      <c r="A1303" s="11">
        <f>IFERROR(__xludf.DUMMYFUNCTION("""COMPUTED_VALUE"""),2021.0)</f>
        <v>2021</v>
      </c>
      <c r="B1303" s="11" t="str">
        <f>IFERROR(__xludf.DUMMYFUNCTION("""COMPUTED_VALUE"""),"Programas Empleo")</f>
        <v>Programas Empleo</v>
      </c>
      <c r="C1303" s="11">
        <f>IFERROR(__xludf.DUMMYFUNCTION("""COMPUTED_VALUE"""),0.436668644067172)</f>
        <v>0.4366686441</v>
      </c>
    </row>
    <row r="1304">
      <c r="A1304" s="11">
        <f>IFERROR(__xludf.DUMMYFUNCTION("""COMPUTED_VALUE"""),2021.0)</f>
        <v>2021</v>
      </c>
      <c r="B1304" s="11" t="str">
        <f>IFERROR(__xludf.DUMMYFUNCTION("""COMPUTED_VALUE"""),"Promocion Asistencia Social")</f>
        <v>Promocion Asistencia Social</v>
      </c>
      <c r="C1304" s="11">
        <f>IFERROR(__xludf.DUMMYFUNCTION("""COMPUTED_VALUE"""),2.22169023943166)</f>
        <v>2.221690239</v>
      </c>
    </row>
    <row r="1305">
      <c r="A1305" s="11">
        <f>IFERROR(__xludf.DUMMYFUNCTION("""COMPUTED_VALUE"""),2021.0)</f>
        <v>2021</v>
      </c>
      <c r="B1305" s="11" t="str">
        <f>IFERROR(__xludf.DUMMYFUNCTION("""COMPUTED_VALUE"""),"Servicios Deuda Publica")</f>
        <v>Servicios Deuda Publica</v>
      </c>
      <c r="C1305" s="11">
        <f>IFERROR(__xludf.DUMMYFUNCTION("""COMPUTED_VALUE"""),2.02088012420722)</f>
        <v>2.020880124</v>
      </c>
    </row>
    <row r="1306">
      <c r="A1306" s="11">
        <f>IFERROR(__xludf.DUMMYFUNCTION("""COMPUTED_VALUE"""),2021.0)</f>
        <v>2021</v>
      </c>
      <c r="B1306" s="11" t="str">
        <f>IFERROR(__xludf.DUMMYFUNCTION("""COMPUTED_VALUE"""),"Servicios Economicos")</f>
        <v>Servicios Economicos</v>
      </c>
      <c r="C1306" s="11">
        <f>IFERROR(__xludf.DUMMYFUNCTION("""COMPUTED_VALUE"""),5.56297672378984)</f>
        <v>5.562976724</v>
      </c>
    </row>
    <row r="1307">
      <c r="A1307" s="11">
        <f>IFERROR(__xludf.DUMMYFUNCTION("""COMPUTED_VALUE"""),2021.0)</f>
        <v>2021</v>
      </c>
      <c r="B1307" s="11" t="str">
        <f>IFERROR(__xludf.DUMMYFUNCTION("""COMPUTED_VALUE"""),"Servicios Sociales")</f>
        <v>Servicios Sociales</v>
      </c>
      <c r="C1307" s="11">
        <f>IFERROR(__xludf.DUMMYFUNCTION("""COMPUTED_VALUE"""),29.0518180303589)</f>
        <v>29.05181803</v>
      </c>
    </row>
    <row r="1308">
      <c r="A1308" s="11">
        <f>IFERROR(__xludf.DUMMYFUNCTION("""COMPUTED_VALUE"""),2021.0)</f>
        <v>2021</v>
      </c>
      <c r="B1308" s="11" t="str">
        <f>IFERROR(__xludf.DUMMYFUNCTION("""COMPUTED_VALUE"""),"Transporte")</f>
        <v>Transporte</v>
      </c>
      <c r="C1308" s="11">
        <f>IFERROR(__xludf.DUMMYFUNCTION("""COMPUTED_VALUE"""),2.03610551468767)</f>
        <v>2.036105515</v>
      </c>
    </row>
    <row r="1309">
      <c r="A1309" s="11">
        <f>IFERROR(__xludf.DUMMYFUNCTION("""COMPUTED_VALUE"""),2021.0)</f>
        <v>2021</v>
      </c>
      <c r="B1309" s="11" t="str">
        <f>IFERROR(__xludf.DUMMYFUNCTION("""COMPUTED_VALUE"""),"Vivienda Urbanismo")</f>
        <v>Vivienda Urbanismo</v>
      </c>
      <c r="C1309" s="11">
        <f>IFERROR(__xludf.DUMMYFUNCTION("""COMPUTED_VALUE"""),1.34486929388104)</f>
        <v>1.344869294</v>
      </c>
    </row>
    <row r="1310">
      <c r="A1310" s="11">
        <f>IFERROR(__xludf.DUMMYFUNCTION("""COMPUTED_VALUE"""),2022.0)</f>
        <v>2022</v>
      </c>
      <c r="B1310" s="11" t="str">
        <f>IFERROR(__xludf.DUMMYFUNCTION("""COMPUTED_VALUE"""),"Administracion General")</f>
        <v>Administracion General</v>
      </c>
      <c r="C1310" s="11">
        <f>IFERROR(__xludf.DUMMYFUNCTION("""COMPUTED_VALUE"""),2.57300612826636)</f>
        <v>2.573006128</v>
      </c>
    </row>
    <row r="1311">
      <c r="A1311" s="11">
        <f>IFERROR(__xludf.DUMMYFUNCTION("""COMPUTED_VALUE"""),2022.0)</f>
        <v>2022</v>
      </c>
      <c r="B1311" s="11" t="str">
        <f>IFERROR(__xludf.DUMMYFUNCTION("""COMPUTED_VALUE"""),"Agua Alcantarillado")</f>
        <v>Agua Alcantarillado</v>
      </c>
      <c r="C1311" s="11">
        <f>IFERROR(__xludf.DUMMYFUNCTION("""COMPUTED_VALUE"""),0.593181930983876)</f>
        <v>0.593181931</v>
      </c>
    </row>
    <row r="1312">
      <c r="A1312" s="11">
        <f>IFERROR(__xludf.DUMMYFUNCTION("""COMPUTED_VALUE"""),2022.0)</f>
        <v>2022</v>
      </c>
      <c r="B1312" s="11" t="str">
        <f>IFERROR(__xludf.DUMMYFUNCTION("""COMPUTED_VALUE"""),"Asignaciones Familiares")</f>
        <v>Asignaciones Familiares</v>
      </c>
      <c r="C1312" s="11">
        <f>IFERROR(__xludf.DUMMYFUNCTION("""COMPUTED_VALUE"""),1.04987231924594)</f>
        <v>1.049872319</v>
      </c>
    </row>
    <row r="1313">
      <c r="A1313" s="11">
        <f>IFERROR(__xludf.DUMMYFUNCTION("""COMPUTED_VALUE"""),2022.0)</f>
        <v>2022</v>
      </c>
      <c r="B1313" s="11" t="str">
        <f>IFERROR(__xludf.DUMMYFUNCTION("""COMPUTED_VALUE"""),"Atencion Salud")</f>
        <v>Atencion Salud</v>
      </c>
      <c r="C1313" s="11">
        <f>IFERROR(__xludf.DUMMYFUNCTION("""COMPUTED_VALUE"""),2.75574031283965)</f>
        <v>2.755740313</v>
      </c>
    </row>
    <row r="1314">
      <c r="A1314" s="11">
        <f>IFERROR(__xludf.DUMMYFUNCTION("""COMPUTED_VALUE"""),2022.0)</f>
        <v>2022</v>
      </c>
      <c r="B1314" s="11" t="str">
        <f>IFERROR(__xludf.DUMMYFUNCTION("""COMPUTED_VALUE"""),"Ciencia Tecnica")</f>
        <v>Ciencia Tecnica</v>
      </c>
      <c r="C1314" s="11">
        <f>IFERROR(__xludf.DUMMYFUNCTION("""COMPUTED_VALUE"""),0.246089651636702)</f>
        <v>0.2460896516</v>
      </c>
    </row>
    <row r="1315">
      <c r="A1315" s="11">
        <f>IFERROR(__xludf.DUMMYFUNCTION("""COMPUTED_VALUE"""),2022.0)</f>
        <v>2022</v>
      </c>
      <c r="B1315" s="11" t="str">
        <f>IFERROR(__xludf.DUMMYFUNCTION("""COMPUTED_VALUE"""),"Comunicaciones")</f>
        <v>Comunicaciones</v>
      </c>
      <c r="C1315" s="11">
        <f>IFERROR(__xludf.DUMMYFUNCTION("""COMPUTED_VALUE"""),0.155796022110739)</f>
        <v>0.1557960221</v>
      </c>
    </row>
    <row r="1316">
      <c r="A1316" s="11">
        <f>IFERROR(__xludf.DUMMYFUNCTION("""COMPUTED_VALUE"""),2022.0)</f>
        <v>2022</v>
      </c>
      <c r="B1316" s="11" t="str">
        <f>IFERROR(__xludf.DUMMYFUNCTION("""COMPUTED_VALUE"""),"Cultura")</f>
        <v>Cultura</v>
      </c>
      <c r="C1316" s="11">
        <f>IFERROR(__xludf.DUMMYFUNCTION("""COMPUTED_VALUE"""),0.196900832202738)</f>
        <v>0.1969008322</v>
      </c>
    </row>
    <row r="1317">
      <c r="A1317" s="11">
        <f>IFERROR(__xludf.DUMMYFUNCTION("""COMPUTED_VALUE"""),2022.0)</f>
        <v>2022</v>
      </c>
      <c r="B1317" s="11" t="str">
        <f>IFERROR(__xludf.DUMMYFUNCTION("""COMPUTED_VALUE"""),"Defensa Seguridad")</f>
        <v>Defensa Seguridad</v>
      </c>
      <c r="C1317" s="11">
        <f>IFERROR(__xludf.DUMMYFUNCTION("""COMPUTED_VALUE"""),2.47966401355572)</f>
        <v>2.479664014</v>
      </c>
    </row>
    <row r="1318">
      <c r="A1318" s="11">
        <f>IFERROR(__xludf.DUMMYFUNCTION("""COMPUTED_VALUE"""),2022.0)</f>
        <v>2022</v>
      </c>
      <c r="B1318" s="11" t="str">
        <f>IFERROR(__xludf.DUMMYFUNCTION("""COMPUTED_VALUE"""),"Educacion Basica")</f>
        <v>Educacion Basica</v>
      </c>
      <c r="C1318" s="11">
        <f>IFERROR(__xludf.DUMMYFUNCTION("""COMPUTED_VALUE"""),3.2523612326731)</f>
        <v>3.252361233</v>
      </c>
    </row>
    <row r="1319">
      <c r="A1319" s="11">
        <f>IFERROR(__xludf.DUMMYFUNCTION("""COMPUTED_VALUE"""),2022.0)</f>
        <v>2022</v>
      </c>
      <c r="B1319" s="11" t="str">
        <f>IFERROR(__xludf.DUMMYFUNCTION("""COMPUTED_VALUE"""),"Educacion Cultura Sin Discriminar")</f>
        <v>Educacion Cultura Sin Discriminar</v>
      </c>
      <c r="C1319" s="11">
        <f>IFERROR(__xludf.DUMMYFUNCTION("""COMPUTED_VALUE"""),0.67050418159962)</f>
        <v>0.6705041816</v>
      </c>
    </row>
    <row r="1320">
      <c r="A1320" s="11">
        <f>IFERROR(__xludf.DUMMYFUNCTION("""COMPUTED_VALUE"""),2022.0)</f>
        <v>2022</v>
      </c>
      <c r="B1320" s="11" t="str">
        <f>IFERROR(__xludf.DUMMYFUNCTION("""COMPUTED_VALUE"""),"Educacion Universitaria")</f>
        <v>Educacion Universitaria</v>
      </c>
      <c r="C1320" s="11">
        <f>IFERROR(__xludf.DUMMYFUNCTION("""COMPUTED_VALUE"""),1.04926585923016)</f>
        <v>1.049265859</v>
      </c>
    </row>
    <row r="1321">
      <c r="A1321" s="11">
        <f>IFERROR(__xludf.DUMMYFUNCTION("""COMPUTED_VALUE"""),2022.0)</f>
        <v>2022</v>
      </c>
      <c r="B1321" s="11" t="str">
        <f>IFERROR(__xludf.DUMMYFUNCTION("""COMPUTED_VALUE"""),"Energia Combustible")</f>
        <v>Energia Combustible</v>
      </c>
      <c r="C1321" s="11">
        <f>IFERROR(__xludf.DUMMYFUNCTION("""COMPUTED_VALUE"""),2.5871983539642)</f>
        <v>2.587198354</v>
      </c>
    </row>
    <row r="1322">
      <c r="A1322" s="11">
        <f>IFERROR(__xludf.DUMMYFUNCTION("""COMPUTED_VALUE"""),2022.0)</f>
        <v>2022</v>
      </c>
      <c r="B1322" s="11" t="str">
        <f>IFERROR(__xludf.DUMMYFUNCTION("""COMPUTED_VALUE"""),"Funcionamiento Estado")</f>
        <v>Funcionamiento Estado</v>
      </c>
      <c r="C1322" s="11">
        <f>IFERROR(__xludf.DUMMYFUNCTION("""COMPUTED_VALUE"""),6.22660698845558)</f>
        <v>6.226606988</v>
      </c>
    </row>
    <row r="1323">
      <c r="A1323" s="11">
        <f>IFERROR(__xludf.DUMMYFUNCTION("""COMPUTED_VALUE"""),2022.0)</f>
        <v>2022</v>
      </c>
      <c r="B1323" s="11" t="str">
        <f>IFERROR(__xludf.DUMMYFUNCTION("""COMPUTED_VALUE"""),"Industria")</f>
        <v>Industria</v>
      </c>
      <c r="C1323" s="11">
        <f>IFERROR(__xludf.DUMMYFUNCTION("""COMPUTED_VALUE"""),0.164597377843138)</f>
        <v>0.1645973778</v>
      </c>
    </row>
    <row r="1324">
      <c r="A1324" s="11">
        <f>IFERROR(__xludf.DUMMYFUNCTION("""COMPUTED_VALUE"""),2022.0)</f>
        <v>2022</v>
      </c>
      <c r="B1324" s="11" t="str">
        <f>IFERROR(__xludf.DUMMYFUNCTION("""COMPUTED_VALUE"""),"Inssjyp Prestaciones")</f>
        <v>Inssjyp Prestaciones</v>
      </c>
      <c r="C1324" s="11">
        <f>IFERROR(__xludf.DUMMYFUNCTION("""COMPUTED_VALUE"""),0.17308577718543)</f>
        <v>0.1730857772</v>
      </c>
    </row>
    <row r="1325">
      <c r="A1325" s="11">
        <f>IFERROR(__xludf.DUMMYFUNCTION("""COMPUTED_VALUE"""),2022.0)</f>
        <v>2022</v>
      </c>
      <c r="B1325" s="11" t="str">
        <f>IFERROR(__xludf.DUMMYFUNCTION("""COMPUTED_VALUE"""),"Inssjyp Salud")</f>
        <v>Inssjyp Salud</v>
      </c>
      <c r="C1325" s="11">
        <f>IFERROR(__xludf.DUMMYFUNCTION("""COMPUTED_VALUE"""),0.788813432235231)</f>
        <v>0.7888134322</v>
      </c>
    </row>
    <row r="1326">
      <c r="A1326" s="11">
        <f>IFERROR(__xludf.DUMMYFUNCTION("""COMPUTED_VALUE"""),2022.0)</f>
        <v>2022</v>
      </c>
      <c r="B1326" s="11" t="str">
        <f>IFERROR(__xludf.DUMMYFUNCTION("""COMPUTED_VALUE"""),"Justicia")</f>
        <v>Justicia</v>
      </c>
      <c r="C1326" s="11">
        <f>IFERROR(__xludf.DUMMYFUNCTION("""COMPUTED_VALUE"""),1.17393684663349)</f>
        <v>1.173936847</v>
      </c>
    </row>
    <row r="1327">
      <c r="A1327" s="11">
        <f>IFERROR(__xludf.DUMMYFUNCTION("""COMPUTED_VALUE"""),2022.0)</f>
        <v>2022</v>
      </c>
      <c r="B1327" s="11" t="str">
        <f>IFERROR(__xludf.DUMMYFUNCTION("""COMPUTED_VALUE"""),"Obras Sociales Prestaciones")</f>
        <v>Obras Sociales Prestaciones</v>
      </c>
      <c r="C1327" s="11">
        <f>IFERROR(__xludf.DUMMYFUNCTION("""COMPUTED_VALUE"""),0.13637622210721)</f>
        <v>0.1363762221</v>
      </c>
    </row>
    <row r="1328">
      <c r="A1328" s="11">
        <f>IFERROR(__xludf.DUMMYFUNCTION("""COMPUTED_VALUE"""),2022.0)</f>
        <v>2022</v>
      </c>
      <c r="B1328" s="11" t="str">
        <f>IFERROR(__xludf.DUMMYFUNCTION("""COMPUTED_VALUE"""),"Obras Sociales Salud")</f>
        <v>Obras Sociales Salud</v>
      </c>
      <c r="C1328" s="11">
        <f>IFERROR(__xludf.DUMMYFUNCTION("""COMPUTED_VALUE"""),2.56434756446758)</f>
        <v>2.564347564</v>
      </c>
    </row>
    <row r="1329">
      <c r="A1329" s="11">
        <f>IFERROR(__xludf.DUMMYFUNCTION("""COMPUTED_VALUE"""),2022.0)</f>
        <v>2022</v>
      </c>
      <c r="B1329" s="11" t="str">
        <f>IFERROR(__xludf.DUMMYFUNCTION("""COMPUTED_VALUE"""),"Otros Servicios Economicos")</f>
        <v>Otros Servicios Economicos</v>
      </c>
      <c r="C1329" s="11">
        <f>IFERROR(__xludf.DUMMYFUNCTION("""COMPUTED_VALUE"""),0.308689806797321)</f>
        <v>0.3086898068</v>
      </c>
    </row>
    <row r="1330">
      <c r="A1330" s="11">
        <f>IFERROR(__xludf.DUMMYFUNCTION("""COMPUTED_VALUE"""),2022.0)</f>
        <v>2022</v>
      </c>
      <c r="B1330" s="11" t="str">
        <f>IFERROR(__xludf.DUMMYFUNCTION("""COMPUTED_VALUE"""),"Otros Servicios Urbanos")</f>
        <v>Otros Servicios Urbanos</v>
      </c>
      <c r="C1330" s="11">
        <f>IFERROR(__xludf.DUMMYFUNCTION("""COMPUTED_VALUE"""),0.939506633756532)</f>
        <v>0.9395066338</v>
      </c>
    </row>
    <row r="1331">
      <c r="A1331" s="11">
        <f>IFERROR(__xludf.DUMMYFUNCTION("""COMPUTED_VALUE"""),2022.0)</f>
        <v>2022</v>
      </c>
      <c r="B1331" s="11" t="str">
        <f>IFERROR(__xludf.DUMMYFUNCTION("""COMPUTED_VALUE"""),"Prevision Social")</f>
        <v>Prevision Social</v>
      </c>
      <c r="C1331" s="11">
        <f>IFERROR(__xludf.DUMMYFUNCTION("""COMPUTED_VALUE"""),10.0249198460687)</f>
        <v>10.02491985</v>
      </c>
    </row>
    <row r="1332">
      <c r="A1332" s="11">
        <f>IFERROR(__xludf.DUMMYFUNCTION("""COMPUTED_VALUE"""),2022.0)</f>
        <v>2022</v>
      </c>
      <c r="B1332" s="11" t="str">
        <f>IFERROR(__xludf.DUMMYFUNCTION("""COMPUTED_VALUE"""),"Produccion Primaria")</f>
        <v>Produccion Primaria</v>
      </c>
      <c r="C1332" s="11">
        <f>IFERROR(__xludf.DUMMYFUNCTION("""COMPUTED_VALUE"""),0.417449810498628)</f>
        <v>0.4174498105</v>
      </c>
    </row>
    <row r="1333">
      <c r="A1333" s="11">
        <f>IFERROR(__xludf.DUMMYFUNCTION("""COMPUTED_VALUE"""),2022.0)</f>
        <v>2022</v>
      </c>
      <c r="B1333" s="11" t="str">
        <f>IFERROR(__xludf.DUMMYFUNCTION("""COMPUTED_VALUE"""),"Programas Empleo")</f>
        <v>Programas Empleo</v>
      </c>
      <c r="C1333" s="11">
        <f>IFERROR(__xludf.DUMMYFUNCTION("""COMPUTED_VALUE"""),0.176286212613072)</f>
        <v>0.1762862126</v>
      </c>
    </row>
    <row r="1334">
      <c r="A1334" s="11">
        <f>IFERROR(__xludf.DUMMYFUNCTION("""COMPUTED_VALUE"""),2022.0)</f>
        <v>2022</v>
      </c>
      <c r="B1334" s="11" t="str">
        <f>IFERROR(__xludf.DUMMYFUNCTION("""COMPUTED_VALUE"""),"Promocion Asistencia Social")</f>
        <v>Promocion Asistencia Social</v>
      </c>
      <c r="C1334" s="11">
        <f>IFERROR(__xludf.DUMMYFUNCTION("""COMPUTED_VALUE"""),2.5343599394945)</f>
        <v>2.534359939</v>
      </c>
    </row>
    <row r="1335">
      <c r="A1335" s="11">
        <f>IFERROR(__xludf.DUMMYFUNCTION("""COMPUTED_VALUE"""),2022.0)</f>
        <v>2022</v>
      </c>
      <c r="B1335" s="11" t="str">
        <f>IFERROR(__xludf.DUMMYFUNCTION("""COMPUTED_VALUE"""),"Servicios Deuda Publica")</f>
        <v>Servicios Deuda Publica</v>
      </c>
      <c r="C1335" s="11">
        <f>IFERROR(__xludf.DUMMYFUNCTION("""COMPUTED_VALUE"""),2.24905313407792)</f>
        <v>2.249053134</v>
      </c>
    </row>
    <row r="1336">
      <c r="A1336" s="11">
        <f>IFERROR(__xludf.DUMMYFUNCTION("""COMPUTED_VALUE"""),2022.0)</f>
        <v>2022</v>
      </c>
      <c r="B1336" s="11" t="str">
        <f>IFERROR(__xludf.DUMMYFUNCTION("""COMPUTED_VALUE"""),"Servicios Economicos")</f>
        <v>Servicios Economicos</v>
      </c>
      <c r="C1336" s="11">
        <f>IFERROR(__xludf.DUMMYFUNCTION("""COMPUTED_VALUE"""),5.61647856715444)</f>
        <v>5.616478567</v>
      </c>
    </row>
    <row r="1337">
      <c r="A1337" s="11">
        <f>IFERROR(__xludf.DUMMYFUNCTION("""COMPUTED_VALUE"""),2022.0)</f>
        <v>2022</v>
      </c>
      <c r="B1337" s="11" t="str">
        <f>IFERROR(__xludf.DUMMYFUNCTION("""COMPUTED_VALUE"""),"Servicios Sociales")</f>
        <v>Servicios Sociales</v>
      </c>
      <c r="C1337" s="11">
        <f>IFERROR(__xludf.DUMMYFUNCTION("""COMPUTED_VALUE"""),28.1643100000146)</f>
        <v>28.16431</v>
      </c>
    </row>
    <row r="1338">
      <c r="A1338" s="11">
        <f>IFERROR(__xludf.DUMMYFUNCTION("""COMPUTED_VALUE"""),2022.0)</f>
        <v>2022</v>
      </c>
      <c r="B1338" s="11" t="str">
        <f>IFERROR(__xludf.DUMMYFUNCTION("""COMPUTED_VALUE"""),"Transporte")</f>
        <v>Transporte</v>
      </c>
      <c r="C1338" s="11">
        <f>IFERROR(__xludf.DUMMYFUNCTION("""COMPUTED_VALUE"""),1.98274719594041)</f>
        <v>1.982747196</v>
      </c>
    </row>
    <row r="1339">
      <c r="A1339" s="11">
        <f>IFERROR(__xludf.DUMMYFUNCTION("""COMPUTED_VALUE"""),2022.0)</f>
        <v>2022</v>
      </c>
      <c r="B1339" s="11" t="str">
        <f>IFERROR(__xludf.DUMMYFUNCTION("""COMPUTED_VALUE"""),"Vivienda Urbanismo")</f>
        <v>Vivienda Urbanismo</v>
      </c>
      <c r="C1339" s="11">
        <f>IFERROR(__xludf.DUMMYFUNCTION("""COMPUTED_VALUE"""),1.01269805167452)</f>
        <v>1.012698052</v>
      </c>
    </row>
    <row r="1340">
      <c r="A1340" s="11">
        <f>IFERROR(__xludf.DUMMYFUNCTION("""COMPUTED_VALUE"""),2023.0)</f>
        <v>2023</v>
      </c>
      <c r="B1340" s="11" t="str">
        <f>IFERROR(__xludf.DUMMYFUNCTION("""COMPUTED_VALUE"""),"Administracion General")</f>
        <v>Administracion General</v>
      </c>
      <c r="C1340" s="11">
        <f>IFERROR(__xludf.DUMMYFUNCTION("""COMPUTED_VALUE"""),2.75379546737265)</f>
        <v>2.753795467</v>
      </c>
    </row>
    <row r="1341">
      <c r="A1341" s="11">
        <f>IFERROR(__xludf.DUMMYFUNCTION("""COMPUTED_VALUE"""),2023.0)</f>
        <v>2023</v>
      </c>
      <c r="B1341" s="11" t="str">
        <f>IFERROR(__xludf.DUMMYFUNCTION("""COMPUTED_VALUE"""),"Agua Alcantarillado")</f>
        <v>Agua Alcantarillado</v>
      </c>
      <c r="C1341" s="11">
        <f>IFERROR(__xludf.DUMMYFUNCTION("""COMPUTED_VALUE"""),0.680249048691894)</f>
        <v>0.6802490487</v>
      </c>
    </row>
    <row r="1342">
      <c r="A1342" s="11">
        <f>IFERROR(__xludf.DUMMYFUNCTION("""COMPUTED_VALUE"""),2023.0)</f>
        <v>2023</v>
      </c>
      <c r="B1342" s="11" t="str">
        <f>IFERROR(__xludf.DUMMYFUNCTION("""COMPUTED_VALUE"""),"Asignaciones Familiares")</f>
        <v>Asignaciones Familiares</v>
      </c>
      <c r="C1342" s="11">
        <f>IFERROR(__xludf.DUMMYFUNCTION("""COMPUTED_VALUE"""),0.705148935609698)</f>
        <v>0.7051489356</v>
      </c>
    </row>
    <row r="1343">
      <c r="A1343" s="11">
        <f>IFERROR(__xludf.DUMMYFUNCTION("""COMPUTED_VALUE"""),2023.0)</f>
        <v>2023</v>
      </c>
      <c r="B1343" s="11" t="str">
        <f>IFERROR(__xludf.DUMMYFUNCTION("""COMPUTED_VALUE"""),"Atencion Salud")</f>
        <v>Atencion Salud</v>
      </c>
      <c r="C1343" s="11">
        <f>IFERROR(__xludf.DUMMYFUNCTION("""COMPUTED_VALUE"""),2.73847209063528)</f>
        <v>2.738472091</v>
      </c>
    </row>
    <row r="1344">
      <c r="A1344" s="11">
        <f>IFERROR(__xludf.DUMMYFUNCTION("""COMPUTED_VALUE"""),2023.0)</f>
        <v>2023</v>
      </c>
      <c r="B1344" s="11" t="str">
        <f>IFERROR(__xludf.DUMMYFUNCTION("""COMPUTED_VALUE"""),"Ciencia Tecnica")</f>
        <v>Ciencia Tecnica</v>
      </c>
      <c r="C1344" s="11">
        <f>IFERROR(__xludf.DUMMYFUNCTION("""COMPUTED_VALUE"""),0.267382988187198)</f>
        <v>0.2673829882</v>
      </c>
    </row>
    <row r="1345">
      <c r="A1345" s="11">
        <f>IFERROR(__xludf.DUMMYFUNCTION("""COMPUTED_VALUE"""),2023.0)</f>
        <v>2023</v>
      </c>
      <c r="B1345" s="11" t="str">
        <f>IFERROR(__xludf.DUMMYFUNCTION("""COMPUTED_VALUE"""),"Comunicaciones")</f>
        <v>Comunicaciones</v>
      </c>
      <c r="C1345" s="11">
        <f>IFERROR(__xludf.DUMMYFUNCTION("""COMPUTED_VALUE"""),0.145212126990021)</f>
        <v>0.145212127</v>
      </c>
    </row>
    <row r="1346">
      <c r="A1346" s="11">
        <f>IFERROR(__xludf.DUMMYFUNCTION("""COMPUTED_VALUE"""),2023.0)</f>
        <v>2023</v>
      </c>
      <c r="B1346" s="11" t="str">
        <f>IFERROR(__xludf.DUMMYFUNCTION("""COMPUTED_VALUE"""),"Cultura")</f>
        <v>Cultura</v>
      </c>
      <c r="C1346" s="11">
        <f>IFERROR(__xludf.DUMMYFUNCTION("""COMPUTED_VALUE"""),0.200339244226641)</f>
        <v>0.2003392442</v>
      </c>
    </row>
    <row r="1347">
      <c r="A1347" s="11">
        <f>IFERROR(__xludf.DUMMYFUNCTION("""COMPUTED_VALUE"""),2023.0)</f>
        <v>2023</v>
      </c>
      <c r="B1347" s="11" t="str">
        <f>IFERROR(__xludf.DUMMYFUNCTION("""COMPUTED_VALUE"""),"Defensa Seguridad")</f>
        <v>Defensa Seguridad</v>
      </c>
      <c r="C1347" s="11">
        <f>IFERROR(__xludf.DUMMYFUNCTION("""COMPUTED_VALUE"""),2.56439351000322)</f>
        <v>2.56439351</v>
      </c>
    </row>
    <row r="1348">
      <c r="A1348" s="11">
        <f>IFERROR(__xludf.DUMMYFUNCTION("""COMPUTED_VALUE"""),2023.0)</f>
        <v>2023</v>
      </c>
      <c r="B1348" s="11" t="str">
        <f>IFERROR(__xludf.DUMMYFUNCTION("""COMPUTED_VALUE"""),"Educacion Basica")</f>
        <v>Educacion Basica</v>
      </c>
      <c r="C1348" s="11">
        <f>IFERROR(__xludf.DUMMYFUNCTION("""COMPUTED_VALUE"""),3.45927897594365)</f>
        <v>3.459278976</v>
      </c>
    </row>
    <row r="1349">
      <c r="A1349" s="11">
        <f>IFERROR(__xludf.DUMMYFUNCTION("""COMPUTED_VALUE"""),2023.0)</f>
        <v>2023</v>
      </c>
      <c r="B1349" s="11" t="str">
        <f>IFERROR(__xludf.DUMMYFUNCTION("""COMPUTED_VALUE"""),"Educacion Cultura Sin Discriminar")</f>
        <v>Educacion Cultura Sin Discriminar</v>
      </c>
      <c r="C1349" s="11">
        <f>IFERROR(__xludf.DUMMYFUNCTION("""COMPUTED_VALUE"""),0.793024305904271)</f>
        <v>0.7930243059</v>
      </c>
    </row>
    <row r="1350">
      <c r="A1350" s="11">
        <f>IFERROR(__xludf.DUMMYFUNCTION("""COMPUTED_VALUE"""),2023.0)</f>
        <v>2023</v>
      </c>
      <c r="B1350" s="11" t="str">
        <f>IFERROR(__xludf.DUMMYFUNCTION("""COMPUTED_VALUE"""),"Educacion Universitaria")</f>
        <v>Educacion Universitaria</v>
      </c>
      <c r="C1350" s="11">
        <f>IFERROR(__xludf.DUMMYFUNCTION("""COMPUTED_VALUE"""),1.12745658453769)</f>
        <v>1.127456585</v>
      </c>
    </row>
    <row r="1351">
      <c r="A1351" s="11">
        <f>IFERROR(__xludf.DUMMYFUNCTION("""COMPUTED_VALUE"""),2023.0)</f>
        <v>2023</v>
      </c>
      <c r="B1351" s="11" t="str">
        <f>IFERROR(__xludf.DUMMYFUNCTION("""COMPUTED_VALUE"""),"Energia Combustible")</f>
        <v>Energia Combustible</v>
      </c>
      <c r="C1351" s="11">
        <f>IFERROR(__xludf.DUMMYFUNCTION("""COMPUTED_VALUE"""),2.00719834940272)</f>
        <v>2.007198349</v>
      </c>
    </row>
    <row r="1352">
      <c r="A1352" s="11">
        <f>IFERROR(__xludf.DUMMYFUNCTION("""COMPUTED_VALUE"""),2023.0)</f>
        <v>2023</v>
      </c>
      <c r="B1352" s="11" t="str">
        <f>IFERROR(__xludf.DUMMYFUNCTION("""COMPUTED_VALUE"""),"Funcionamiento Estado")</f>
        <v>Funcionamiento Estado</v>
      </c>
      <c r="C1352" s="11">
        <f>IFERROR(__xludf.DUMMYFUNCTION("""COMPUTED_VALUE"""),6.56488195353367)</f>
        <v>6.564881954</v>
      </c>
    </row>
    <row r="1353">
      <c r="A1353" s="11">
        <f>IFERROR(__xludf.DUMMYFUNCTION("""COMPUTED_VALUE"""),2023.0)</f>
        <v>2023</v>
      </c>
      <c r="B1353" s="11" t="str">
        <f>IFERROR(__xludf.DUMMYFUNCTION("""COMPUTED_VALUE"""),"Industria")</f>
        <v>Industria</v>
      </c>
      <c r="C1353" s="11">
        <f>IFERROR(__xludf.DUMMYFUNCTION("""COMPUTED_VALUE"""),0.137636612512571)</f>
        <v>0.1376366125</v>
      </c>
    </row>
    <row r="1354">
      <c r="A1354" s="11">
        <f>IFERROR(__xludf.DUMMYFUNCTION("""COMPUTED_VALUE"""),2023.0)</f>
        <v>2023</v>
      </c>
      <c r="B1354" s="11" t="str">
        <f>IFERROR(__xludf.DUMMYFUNCTION("""COMPUTED_VALUE"""),"Inssjyp Prestaciones")</f>
        <v>Inssjyp Prestaciones</v>
      </c>
      <c r="C1354" s="11">
        <f>IFERROR(__xludf.DUMMYFUNCTION("""COMPUTED_VALUE"""),0.225013499900488)</f>
        <v>0.2250134999</v>
      </c>
    </row>
    <row r="1355">
      <c r="A1355" s="11">
        <f>IFERROR(__xludf.DUMMYFUNCTION("""COMPUTED_VALUE"""),2023.0)</f>
        <v>2023</v>
      </c>
      <c r="B1355" s="11" t="str">
        <f>IFERROR(__xludf.DUMMYFUNCTION("""COMPUTED_VALUE"""),"Inssjyp Salud")</f>
        <v>Inssjyp Salud</v>
      </c>
      <c r="C1355" s="11">
        <f>IFERROR(__xludf.DUMMYFUNCTION("""COMPUTED_VALUE"""),1.02546652903556)</f>
        <v>1.025466529</v>
      </c>
    </row>
    <row r="1356">
      <c r="A1356" s="11">
        <f>IFERROR(__xludf.DUMMYFUNCTION("""COMPUTED_VALUE"""),2023.0)</f>
        <v>2023</v>
      </c>
      <c r="B1356" s="11" t="str">
        <f>IFERROR(__xludf.DUMMYFUNCTION("""COMPUTED_VALUE"""),"Justicia")</f>
        <v>Justicia</v>
      </c>
      <c r="C1356" s="11">
        <f>IFERROR(__xludf.DUMMYFUNCTION("""COMPUTED_VALUE"""),1.24669297615779)</f>
        <v>1.246692976</v>
      </c>
    </row>
    <row r="1357">
      <c r="A1357" s="11">
        <f>IFERROR(__xludf.DUMMYFUNCTION("""COMPUTED_VALUE"""),2023.0)</f>
        <v>2023</v>
      </c>
      <c r="B1357" s="11" t="str">
        <f>IFERROR(__xludf.DUMMYFUNCTION("""COMPUTED_VALUE"""),"Obras Sociales Prestaciones")</f>
        <v>Obras Sociales Prestaciones</v>
      </c>
      <c r="C1357" s="11">
        <f>IFERROR(__xludf.DUMMYFUNCTION("""COMPUTED_VALUE"""),0.133667070881879)</f>
        <v>0.1336670709</v>
      </c>
    </row>
    <row r="1358">
      <c r="A1358" s="11">
        <f>IFERROR(__xludf.DUMMYFUNCTION("""COMPUTED_VALUE"""),2023.0)</f>
        <v>2023</v>
      </c>
      <c r="B1358" s="11" t="str">
        <f>IFERROR(__xludf.DUMMYFUNCTION("""COMPUTED_VALUE"""),"Obras Sociales Salud")</f>
        <v>Obras Sociales Salud</v>
      </c>
      <c r="C1358" s="11">
        <f>IFERROR(__xludf.DUMMYFUNCTION("""COMPUTED_VALUE"""),2.5255728386879)</f>
        <v>2.525572839</v>
      </c>
    </row>
    <row r="1359">
      <c r="A1359" s="11">
        <f>IFERROR(__xludf.DUMMYFUNCTION("""COMPUTED_VALUE"""),2023.0)</f>
        <v>2023</v>
      </c>
      <c r="B1359" s="11" t="str">
        <f>IFERROR(__xludf.DUMMYFUNCTION("""COMPUTED_VALUE"""),"Otros Servicios Economicos")</f>
        <v>Otros Servicios Economicos</v>
      </c>
      <c r="C1359" s="11">
        <f>IFERROR(__xludf.DUMMYFUNCTION("""COMPUTED_VALUE"""),0.315892453284517)</f>
        <v>0.3158924533</v>
      </c>
    </row>
    <row r="1360">
      <c r="A1360" s="11">
        <f>IFERROR(__xludf.DUMMYFUNCTION("""COMPUTED_VALUE"""),2023.0)</f>
        <v>2023</v>
      </c>
      <c r="B1360" s="11" t="str">
        <f>IFERROR(__xludf.DUMMYFUNCTION("""COMPUTED_VALUE"""),"Otros Servicios Urbanos")</f>
        <v>Otros Servicios Urbanos</v>
      </c>
      <c r="C1360" s="11">
        <f>IFERROR(__xludf.DUMMYFUNCTION("""COMPUTED_VALUE"""),0.939485945415393)</f>
        <v>0.9394859454</v>
      </c>
    </row>
    <row r="1361">
      <c r="A1361" s="11">
        <f>IFERROR(__xludf.DUMMYFUNCTION("""COMPUTED_VALUE"""),2023.0)</f>
        <v>2023</v>
      </c>
      <c r="B1361" s="11" t="str">
        <f>IFERROR(__xludf.DUMMYFUNCTION("""COMPUTED_VALUE"""),"Prevision Social")</f>
        <v>Prevision Social</v>
      </c>
      <c r="C1361" s="11">
        <f>IFERROR(__xludf.DUMMYFUNCTION("""COMPUTED_VALUE"""),9.79877955508495)</f>
        <v>9.798779555</v>
      </c>
    </row>
    <row r="1362">
      <c r="A1362" s="11">
        <f>IFERROR(__xludf.DUMMYFUNCTION("""COMPUTED_VALUE"""),2023.0)</f>
        <v>2023</v>
      </c>
      <c r="B1362" s="11" t="str">
        <f>IFERROR(__xludf.DUMMYFUNCTION("""COMPUTED_VALUE"""),"Produccion Primaria")</f>
        <v>Produccion Primaria</v>
      </c>
      <c r="C1362" s="11">
        <f>IFERROR(__xludf.DUMMYFUNCTION("""COMPUTED_VALUE"""),0.435872141886336)</f>
        <v>0.4358721419</v>
      </c>
    </row>
    <row r="1363">
      <c r="A1363" s="11">
        <f>IFERROR(__xludf.DUMMYFUNCTION("""COMPUTED_VALUE"""),2023.0)</f>
        <v>2023</v>
      </c>
      <c r="B1363" s="11" t="str">
        <f>IFERROR(__xludf.DUMMYFUNCTION("""COMPUTED_VALUE"""),"Programas Empleo")</f>
        <v>Programas Empleo</v>
      </c>
      <c r="C1363" s="11">
        <f>IFERROR(__xludf.DUMMYFUNCTION("""COMPUTED_VALUE"""),0.211971363356368)</f>
        <v>0.2119713634</v>
      </c>
    </row>
    <row r="1364">
      <c r="A1364" s="11">
        <f>IFERROR(__xludf.DUMMYFUNCTION("""COMPUTED_VALUE"""),2023.0)</f>
        <v>2023</v>
      </c>
      <c r="B1364" s="11" t="str">
        <f>IFERROR(__xludf.DUMMYFUNCTION("""COMPUTED_VALUE"""),"Promocion Asistencia Social")</f>
        <v>Promocion Asistencia Social</v>
      </c>
      <c r="C1364" s="11">
        <f>IFERROR(__xludf.DUMMYFUNCTION("""COMPUTED_VALUE"""),2.4222227589445)</f>
        <v>2.422222759</v>
      </c>
    </row>
    <row r="1365">
      <c r="A1365" s="11">
        <f>IFERROR(__xludf.DUMMYFUNCTION("""COMPUTED_VALUE"""),2023.0)</f>
        <v>2023</v>
      </c>
      <c r="B1365" s="11" t="str">
        <f>IFERROR(__xludf.DUMMYFUNCTION("""COMPUTED_VALUE"""),"Servicios Deuda Publica")</f>
        <v>Servicios Deuda Publica</v>
      </c>
      <c r="C1365" s="11">
        <f>IFERROR(__xludf.DUMMYFUNCTION("""COMPUTED_VALUE"""),2.17834192232627)</f>
        <v>2.178341922</v>
      </c>
    </row>
    <row r="1366">
      <c r="A1366" s="11">
        <f>IFERROR(__xludf.DUMMYFUNCTION("""COMPUTED_VALUE"""),2023.0)</f>
        <v>2023</v>
      </c>
      <c r="B1366" s="11" t="str">
        <f>IFERROR(__xludf.DUMMYFUNCTION("""COMPUTED_VALUE"""),"Servicios Economicos")</f>
        <v>Servicios Economicos</v>
      </c>
      <c r="C1366" s="11">
        <f>IFERROR(__xludf.DUMMYFUNCTION("""COMPUTED_VALUE"""),4.93150058947682)</f>
        <v>4.931500589</v>
      </c>
    </row>
    <row r="1367">
      <c r="A1367" s="11">
        <f>IFERROR(__xludf.DUMMYFUNCTION("""COMPUTED_VALUE"""),2023.0)</f>
        <v>2023</v>
      </c>
      <c r="B1367" s="11" t="str">
        <f>IFERROR(__xludf.DUMMYFUNCTION("""COMPUTED_VALUE"""),"Servicios Sociales")</f>
        <v>Servicios Sociales</v>
      </c>
      <c r="C1367" s="11">
        <f>IFERROR(__xludf.DUMMYFUNCTION("""COMPUTED_VALUE"""),28.1918159869333)</f>
        <v>28.19181599</v>
      </c>
    </row>
    <row r="1368">
      <c r="A1368" s="11">
        <f>IFERROR(__xludf.DUMMYFUNCTION("""COMPUTED_VALUE"""),2023.0)</f>
        <v>2023</v>
      </c>
      <c r="B1368" s="11" t="str">
        <f>IFERROR(__xludf.DUMMYFUNCTION("""COMPUTED_VALUE"""),"Transporte")</f>
        <v>Transporte</v>
      </c>
      <c r="C1368" s="11">
        <f>IFERROR(__xludf.DUMMYFUNCTION("""COMPUTED_VALUE"""),1.88968890540065)</f>
        <v>1.889688905</v>
      </c>
    </row>
    <row r="1369">
      <c r="A1369" s="12">
        <f>IFERROR(__xludf.DUMMYFUNCTION("""COMPUTED_VALUE"""),2023.0)</f>
        <v>2023</v>
      </c>
      <c r="B1369" s="12" t="str">
        <f>IFERROR(__xludf.DUMMYFUNCTION("""COMPUTED_VALUE"""),"Vivienda Urbanismo")</f>
        <v>Vivienda Urbanismo</v>
      </c>
      <c r="C1369" s="12">
        <f>IFERROR(__xludf.DUMMYFUNCTION("""COMPUTED_VALUE"""),0.938284251889905)</f>
        <v>0.9382842519</v>
      </c>
    </row>
    <row r="1370">
      <c r="A1370" s="6"/>
      <c r="B1370" s="6"/>
      <c r="C1370" s="6"/>
    </row>
    <row r="1371">
      <c r="A1371" s="10" t="str">
        <f>IFERROR(__xludf.DUMMYFUNCTION("QUERY(
  clean_data!A:F,
  ""SELECT Col4, SUM(Col6)
   WHERE Col5 &lt;&gt; 'PIB'
     AND Col5 IS NOT NULL
   GROUP BY Col4
   PIVOT Col5
   ORDER BY Col4"",
  1
)
"),"AÑO")</f>
        <v>AÑO</v>
      </c>
      <c r="B1371" s="10" t="str">
        <f>IFERROR(__xludf.DUMMYFUNCTION("""COMPUTED_VALUE"""),"Administracion General")</f>
        <v>Administracion General</v>
      </c>
      <c r="C1371" s="10" t="str">
        <f>IFERROR(__xludf.DUMMYFUNCTION("""COMPUTED_VALUE"""),"Agua Alcantarillado")</f>
        <v>Agua Alcantarillado</v>
      </c>
      <c r="D1371" s="13" t="str">
        <f>IFERROR(__xludf.DUMMYFUNCTION("""COMPUTED_VALUE"""),"Asignaciones Familiares")</f>
        <v>Asignaciones Familiares</v>
      </c>
      <c r="E1371" s="13" t="str">
        <f>IFERROR(__xludf.DUMMYFUNCTION("""COMPUTED_VALUE"""),"Atencion Salud")</f>
        <v>Atencion Salud</v>
      </c>
      <c r="F1371" s="13" t="str">
        <f>IFERROR(__xludf.DUMMYFUNCTION("""COMPUTED_VALUE"""),"Ciencia Tecnica")</f>
        <v>Ciencia Tecnica</v>
      </c>
      <c r="G1371" s="13" t="str">
        <f>IFERROR(__xludf.DUMMYFUNCTION("""COMPUTED_VALUE"""),"Comunicaciones")</f>
        <v>Comunicaciones</v>
      </c>
      <c r="H1371" s="13" t="str">
        <f>IFERROR(__xludf.DUMMYFUNCTION("""COMPUTED_VALUE"""),"Cultura")</f>
        <v>Cultura</v>
      </c>
      <c r="I1371" s="13" t="str">
        <f>IFERROR(__xludf.DUMMYFUNCTION("""COMPUTED_VALUE"""),"Defensa Seguridad")</f>
        <v>Defensa Seguridad</v>
      </c>
      <c r="J1371" s="13" t="str">
        <f>IFERROR(__xludf.DUMMYFUNCTION("""COMPUTED_VALUE"""),"Educacion Basica")</f>
        <v>Educacion Basica</v>
      </c>
      <c r="K1371" s="13" t="str">
        <f>IFERROR(__xludf.DUMMYFUNCTION("""COMPUTED_VALUE"""),"Educacion Cultura Sin Discriminar")</f>
        <v>Educacion Cultura Sin Discriminar</v>
      </c>
      <c r="L1371" s="13" t="str">
        <f>IFERROR(__xludf.DUMMYFUNCTION("""COMPUTED_VALUE"""),"Educacion Universitaria")</f>
        <v>Educacion Universitaria</v>
      </c>
      <c r="M1371" s="13" t="str">
        <f>IFERROR(__xludf.DUMMYFUNCTION("""COMPUTED_VALUE"""),"Energia Combustible")</f>
        <v>Energia Combustible</v>
      </c>
      <c r="N1371" s="13" t="str">
        <f>IFERROR(__xludf.DUMMYFUNCTION("""COMPUTED_VALUE"""),"Funcionamiento Estado")</f>
        <v>Funcionamiento Estado</v>
      </c>
      <c r="O1371" s="13" t="str">
        <f>IFERROR(__xludf.DUMMYFUNCTION("""COMPUTED_VALUE"""),"Industria")</f>
        <v>Industria</v>
      </c>
      <c r="P1371" s="13" t="str">
        <f>IFERROR(__xludf.DUMMYFUNCTION("""COMPUTED_VALUE"""),"Inssjyp Prestaciones")</f>
        <v>Inssjyp Prestaciones</v>
      </c>
      <c r="Q1371" s="13" t="str">
        <f>IFERROR(__xludf.DUMMYFUNCTION("""COMPUTED_VALUE"""),"Inssjyp Salud")</f>
        <v>Inssjyp Salud</v>
      </c>
      <c r="R1371" s="13" t="str">
        <f>IFERROR(__xludf.DUMMYFUNCTION("""COMPUTED_VALUE"""),"Justicia")</f>
        <v>Justicia</v>
      </c>
      <c r="S1371" s="13" t="str">
        <f>IFERROR(__xludf.DUMMYFUNCTION("""COMPUTED_VALUE"""),"Obras Sociales Prestaciones")</f>
        <v>Obras Sociales Prestaciones</v>
      </c>
      <c r="T1371" s="13" t="str">
        <f>IFERROR(__xludf.DUMMYFUNCTION("""COMPUTED_VALUE"""),"Obras Sociales Salud")</f>
        <v>Obras Sociales Salud</v>
      </c>
      <c r="U1371" s="13" t="str">
        <f>IFERROR(__xludf.DUMMYFUNCTION("""COMPUTED_VALUE"""),"Otros Servicios Economicos")</f>
        <v>Otros Servicios Economicos</v>
      </c>
      <c r="V1371" s="13" t="str">
        <f>IFERROR(__xludf.DUMMYFUNCTION("""COMPUTED_VALUE"""),"Otros Servicios Urbanos")</f>
        <v>Otros Servicios Urbanos</v>
      </c>
      <c r="W1371" s="13" t="str">
        <f>IFERROR(__xludf.DUMMYFUNCTION("""COMPUTED_VALUE"""),"Prevision Social")</f>
        <v>Prevision Social</v>
      </c>
      <c r="X1371" s="13" t="str">
        <f>IFERROR(__xludf.DUMMYFUNCTION("""COMPUTED_VALUE"""),"Produccion Primaria")</f>
        <v>Produccion Primaria</v>
      </c>
      <c r="Y1371" s="13" t="str">
        <f>IFERROR(__xludf.DUMMYFUNCTION("""COMPUTED_VALUE"""),"Programas Empleo")</f>
        <v>Programas Empleo</v>
      </c>
      <c r="Z1371" s="13" t="str">
        <f>IFERROR(__xludf.DUMMYFUNCTION("""COMPUTED_VALUE"""),"Promocion Asistencia Social")</f>
        <v>Promocion Asistencia Social</v>
      </c>
      <c r="AA1371" s="13" t="str">
        <f>IFERROR(__xludf.DUMMYFUNCTION("""COMPUTED_VALUE"""),"Servicios Deuda Publica")</f>
        <v>Servicios Deuda Publica</v>
      </c>
      <c r="AB1371" s="13" t="str">
        <f>IFERROR(__xludf.DUMMYFUNCTION("""COMPUTED_VALUE"""),"Servicios Economicos")</f>
        <v>Servicios Economicos</v>
      </c>
      <c r="AC1371" s="13" t="str">
        <f>IFERROR(__xludf.DUMMYFUNCTION("""COMPUTED_VALUE"""),"Servicios Sociales")</f>
        <v>Servicios Sociales</v>
      </c>
      <c r="AD1371" s="13" t="str">
        <f>IFERROR(__xludf.DUMMYFUNCTION("""COMPUTED_VALUE"""),"Transporte")</f>
        <v>Transporte</v>
      </c>
      <c r="AE1371" s="13" t="str">
        <f>IFERROR(__xludf.DUMMYFUNCTION("""COMPUTED_VALUE"""),"Vivienda Urbanismo")</f>
        <v>Vivienda Urbanismo</v>
      </c>
    </row>
    <row r="1372">
      <c r="A1372" s="11">
        <f>IFERROR(__xludf.DUMMYFUNCTION("""COMPUTED_VALUE"""),1980.0)</f>
        <v>1980</v>
      </c>
      <c r="B1372" s="11">
        <f>IFERROR(__xludf.DUMMYFUNCTION("""COMPUTED_VALUE"""),1.84961529673946)</f>
        <v>1.849615297</v>
      </c>
      <c r="C1372" s="11">
        <f>IFERROR(__xludf.DUMMYFUNCTION("""COMPUTED_VALUE"""),0.239474735227702)</f>
        <v>0.2394747352</v>
      </c>
      <c r="D1372" s="14">
        <f>IFERROR(__xludf.DUMMYFUNCTION("""COMPUTED_VALUE"""),0.770671174153505)</f>
        <v>0.7706711742</v>
      </c>
      <c r="E1372" s="14">
        <f>IFERROR(__xludf.DUMMYFUNCTION("""COMPUTED_VALUE"""),1.16087184147473)</f>
        <v>1.160871841</v>
      </c>
      <c r="F1372" s="14">
        <f>IFERROR(__xludf.DUMMYFUNCTION("""COMPUTED_VALUE"""),0.251231805850851)</f>
        <v>0.2512318059</v>
      </c>
      <c r="G1372" s="14">
        <f>IFERROR(__xludf.DUMMYFUNCTION("""COMPUTED_VALUE"""),0.523981143424143)</f>
        <v>0.5239811434</v>
      </c>
      <c r="H1372" s="14">
        <f>IFERROR(__xludf.DUMMYFUNCTION("""COMPUTED_VALUE"""),0.0704388240703323)</f>
        <v>0.07043882407</v>
      </c>
      <c r="I1372" s="14">
        <f>IFERROR(__xludf.DUMMYFUNCTION("""COMPUTED_VALUE"""),3.19119339475479)</f>
        <v>3.191193395</v>
      </c>
      <c r="J1372" s="14">
        <f>IFERROR(__xludf.DUMMYFUNCTION("""COMPUTED_VALUE"""),2.02497873277004)</f>
        <v>2.024978733</v>
      </c>
      <c r="K1372" s="14">
        <f>IFERROR(__xludf.DUMMYFUNCTION("""COMPUTED_VALUE"""),0.187836864187552)</f>
        <v>0.1878368642</v>
      </c>
      <c r="L1372" s="14">
        <f>IFERROR(__xludf.DUMMYFUNCTION("""COMPUTED_VALUE"""),0.453309991488944)</f>
        <v>0.4533099915</v>
      </c>
      <c r="M1372" s="14">
        <f>IFERROR(__xludf.DUMMYFUNCTION("""COMPUTED_VALUE"""),2.42010967264515)</f>
        <v>2.420109673</v>
      </c>
      <c r="N1372" s="14">
        <f>IFERROR(__xludf.DUMMYFUNCTION("""COMPUTED_VALUE"""),5.36965402960544)</f>
        <v>5.36965403</v>
      </c>
      <c r="O1372" s="14">
        <f>IFERROR(__xludf.DUMMYFUNCTION("""COMPUTED_VALUE"""),0.448835519552453)</f>
        <v>0.4488355196</v>
      </c>
      <c r="P1372" s="14">
        <f>IFERROR(__xludf.DUMMYFUNCTION("""COMPUTED_VALUE"""),0.0312278786711806)</f>
        <v>0.03122787867</v>
      </c>
      <c r="Q1372" s="14">
        <f>IFERROR(__xludf.DUMMYFUNCTION("""COMPUTED_VALUE"""),0.414884673774257)</f>
        <v>0.4148846738</v>
      </c>
      <c r="R1372" s="14">
        <f>IFERROR(__xludf.DUMMYFUNCTION("""COMPUTED_VALUE"""),0.32884533811118)</f>
        <v>0.3288453381</v>
      </c>
      <c r="S1372" s="14">
        <f>IFERROR(__xludf.DUMMYFUNCTION("""COMPUTED_VALUE"""),0.235112786443145)</f>
        <v>0.2351127864</v>
      </c>
      <c r="T1372" s="14">
        <f>IFERROR(__xludf.DUMMYFUNCTION("""COMPUTED_VALUE"""),1.6021218796724)</f>
        <v>1.60212188</v>
      </c>
      <c r="U1372" s="14">
        <f>IFERROR(__xludf.DUMMYFUNCTION("""COMPUTED_VALUE"""),0.642529097403939)</f>
        <v>0.6425290974</v>
      </c>
      <c r="V1372" s="14">
        <f>IFERROR(__xludf.DUMMYFUNCTION("""COMPUTED_VALUE"""),0.607884128050547)</f>
        <v>0.6078841281</v>
      </c>
      <c r="W1372" s="14">
        <f>IFERROR(__xludf.DUMMYFUNCTION("""COMPUTED_VALUE"""),5.17820684125517)</f>
        <v>5.178206841</v>
      </c>
      <c r="X1372" s="14">
        <f>IFERROR(__xludf.DUMMYFUNCTION("""COMPUTED_VALUE"""),0.515765636744978)</f>
        <v>0.5157656367</v>
      </c>
      <c r="Y1372" s="14">
        <f>IFERROR(__xludf.DUMMYFUNCTION("""COMPUTED_VALUE"""),0.0258275688257885)</f>
        <v>0.02582756883</v>
      </c>
      <c r="Z1372" s="14">
        <f>IFERROR(__xludf.DUMMYFUNCTION("""COMPUTED_VALUE"""),0.469522961111524)</f>
        <v>0.4695229611</v>
      </c>
      <c r="AA1372" s="14">
        <f>IFERROR(__xludf.DUMMYFUNCTION("""COMPUTED_VALUE"""),2.30583368962874)</f>
        <v>2.30583369</v>
      </c>
      <c r="AB1372" s="14">
        <f>IFERROR(__xludf.DUMMYFUNCTION("""COMPUTED_VALUE"""),6.85618513871731)</f>
        <v>6.856185139</v>
      </c>
      <c r="AC1372" s="14">
        <f>IFERROR(__xludf.DUMMYFUNCTION("""COMPUTED_VALUE"""),14.5054736342083)</f>
        <v>14.50547363</v>
      </c>
      <c r="AD1372" s="14">
        <f>IFERROR(__xludf.DUMMYFUNCTION("""COMPUTED_VALUE"""),2.30496406894664)</f>
        <v>2.304964069</v>
      </c>
      <c r="AE1372" s="14">
        <f>IFERROR(__xludf.DUMMYFUNCTION("""COMPUTED_VALUE"""),0.781870947180688)</f>
        <v>0.7818709472</v>
      </c>
    </row>
    <row r="1373">
      <c r="A1373" s="11">
        <f>IFERROR(__xludf.DUMMYFUNCTION("""COMPUTED_VALUE"""),1981.0)</f>
        <v>1981</v>
      </c>
      <c r="B1373" s="11">
        <f>IFERROR(__xludf.DUMMYFUNCTION("""COMPUTED_VALUE"""),1.84944885061433)</f>
        <v>1.849448851</v>
      </c>
      <c r="C1373" s="11">
        <f>IFERROR(__xludf.DUMMYFUNCTION("""COMPUTED_VALUE"""),0.199911124006597)</f>
        <v>0.199911124</v>
      </c>
      <c r="D1373" s="14">
        <f>IFERROR(__xludf.DUMMYFUNCTION("""COMPUTED_VALUE"""),0.507165812297359)</f>
        <v>0.5071658123</v>
      </c>
      <c r="E1373" s="14">
        <f>IFERROR(__xludf.DUMMYFUNCTION("""COMPUTED_VALUE"""),1.26647910107366)</f>
        <v>1.266479101</v>
      </c>
      <c r="F1373" s="14">
        <f>IFERROR(__xludf.DUMMYFUNCTION("""COMPUTED_VALUE"""),0.268635772723715)</f>
        <v>0.2686357727</v>
      </c>
      <c r="G1373" s="14">
        <f>IFERROR(__xludf.DUMMYFUNCTION("""COMPUTED_VALUE"""),0.409757684094867)</f>
        <v>0.4097576841</v>
      </c>
      <c r="H1373" s="14">
        <f>IFERROR(__xludf.DUMMYFUNCTION("""COMPUTED_VALUE"""),0.0752643328751789)</f>
        <v>0.07526433288</v>
      </c>
      <c r="I1373" s="14">
        <f>IFERROR(__xludf.DUMMYFUNCTION("""COMPUTED_VALUE"""),3.10723253642554)</f>
        <v>3.107232536</v>
      </c>
      <c r="J1373" s="14">
        <f>IFERROR(__xludf.DUMMYFUNCTION("""COMPUTED_VALUE"""),1.84122222589511)</f>
        <v>1.841222226</v>
      </c>
      <c r="K1373" s="14">
        <f>IFERROR(__xludf.DUMMYFUNCTION("""COMPUTED_VALUE"""),0.260530383029465)</f>
        <v>0.260530383</v>
      </c>
      <c r="L1373" s="14">
        <f>IFERROR(__xludf.DUMMYFUNCTION("""COMPUTED_VALUE"""),0.475915366539897)</f>
        <v>0.4759153665</v>
      </c>
      <c r="M1373" s="14">
        <f>IFERROR(__xludf.DUMMYFUNCTION("""COMPUTED_VALUE"""),2.87076110964043)</f>
        <v>2.87076111</v>
      </c>
      <c r="N1373" s="14">
        <f>IFERROR(__xludf.DUMMYFUNCTION("""COMPUTED_VALUE"""),5.24268585196555)</f>
        <v>5.242685852</v>
      </c>
      <c r="O1373" s="14">
        <f>IFERROR(__xludf.DUMMYFUNCTION("""COMPUTED_VALUE"""),0.35054167503386)</f>
        <v>0.350541675</v>
      </c>
      <c r="P1373" s="14">
        <f>IFERROR(__xludf.DUMMYFUNCTION("""COMPUTED_VALUE"""),0.0380953315629752)</f>
        <v>0.03809533156</v>
      </c>
      <c r="Q1373" s="14">
        <f>IFERROR(__xludf.DUMMYFUNCTION("""COMPUTED_VALUE"""),0.506123690765242)</f>
        <v>0.5061236908</v>
      </c>
      <c r="R1373" s="14">
        <f>IFERROR(__xludf.DUMMYFUNCTION("""COMPUTED_VALUE"""),0.28600446492568)</f>
        <v>0.2860044649</v>
      </c>
      <c r="S1373" s="14">
        <f>IFERROR(__xludf.DUMMYFUNCTION("""COMPUTED_VALUE"""),0.331709345182097)</f>
        <v>0.3317093452</v>
      </c>
      <c r="T1373" s="14">
        <f>IFERROR(__xludf.DUMMYFUNCTION("""COMPUTED_VALUE"""),2.19780758941842)</f>
        <v>2.197807589</v>
      </c>
      <c r="U1373" s="14">
        <f>IFERROR(__xludf.DUMMYFUNCTION("""COMPUTED_VALUE"""),0.64512310962876)</f>
        <v>0.6451231096</v>
      </c>
      <c r="V1373" s="14">
        <f>IFERROR(__xludf.DUMMYFUNCTION("""COMPUTED_VALUE"""),0.62670068606596)</f>
        <v>0.6267006861</v>
      </c>
      <c r="W1373" s="14">
        <f>IFERROR(__xludf.DUMMYFUNCTION("""COMPUTED_VALUE"""),5.31007237126589)</f>
        <v>5.310072371</v>
      </c>
      <c r="X1373" s="14">
        <f>IFERROR(__xludf.DUMMYFUNCTION("""COMPUTED_VALUE"""),0.321040168457362)</f>
        <v>0.3210401685</v>
      </c>
      <c r="Y1373" s="14">
        <f>IFERROR(__xludf.DUMMYFUNCTION("""COMPUTED_VALUE"""),0.0208424306423572)</f>
        <v>0.02084243064</v>
      </c>
      <c r="Z1373" s="14">
        <f>IFERROR(__xludf.DUMMYFUNCTION("""COMPUTED_VALUE"""),0.512867873100666)</f>
        <v>0.5128678731</v>
      </c>
      <c r="AA1373" s="14">
        <f>IFERROR(__xludf.DUMMYFUNCTION("""COMPUTED_VALUE"""),4.73007384300163)</f>
        <v>4.730073843</v>
      </c>
      <c r="AB1373" s="14">
        <f>IFERROR(__xludf.DUMMYFUNCTION("""COMPUTED_VALUE"""),6.48001846218456)</f>
        <v>6.480018462</v>
      </c>
      <c r="AC1373" s="14">
        <f>IFERROR(__xludf.DUMMYFUNCTION("""COMPUTED_VALUE"""),14.8897715208822)</f>
        <v>14.88977152</v>
      </c>
      <c r="AD1373" s="14">
        <f>IFERROR(__xludf.DUMMYFUNCTION("""COMPUTED_VALUE"""),1.88279471532927)</f>
        <v>1.882794715</v>
      </c>
      <c r="AE1373" s="14">
        <f>IFERROR(__xludf.DUMMYFUNCTION("""COMPUTED_VALUE"""),0.450428084437609)</f>
        <v>0.4504280844</v>
      </c>
    </row>
    <row r="1374">
      <c r="A1374" s="11">
        <f>IFERROR(__xludf.DUMMYFUNCTION("""COMPUTED_VALUE"""),1982.0)</f>
        <v>1982</v>
      </c>
      <c r="B1374" s="11">
        <f>IFERROR(__xludf.DUMMYFUNCTION("""COMPUTED_VALUE"""),1.33318393199603)</f>
        <v>1.333183932</v>
      </c>
      <c r="C1374" s="11">
        <f>IFERROR(__xludf.DUMMYFUNCTION("""COMPUTED_VALUE"""),0.154530503226678)</f>
        <v>0.1545305032</v>
      </c>
      <c r="D1374" s="14">
        <f>IFERROR(__xludf.DUMMYFUNCTION("""COMPUTED_VALUE"""),0.337817121421007)</f>
        <v>0.3378171214</v>
      </c>
      <c r="E1374" s="14">
        <f>IFERROR(__xludf.DUMMYFUNCTION("""COMPUTED_VALUE"""),0.931264510403112)</f>
        <v>0.9312645104</v>
      </c>
      <c r="F1374" s="14">
        <f>IFERROR(__xludf.DUMMYFUNCTION("""COMPUTED_VALUE"""),0.223356732045418)</f>
        <v>0.223356732</v>
      </c>
      <c r="G1374" s="14">
        <f>IFERROR(__xludf.DUMMYFUNCTION("""COMPUTED_VALUE"""),0.384514549936598)</f>
        <v>0.3845145499</v>
      </c>
      <c r="H1374" s="14">
        <f>IFERROR(__xludf.DUMMYFUNCTION("""COMPUTED_VALUE"""),0.0556404670575776)</f>
        <v>0.05564046706</v>
      </c>
      <c r="I1374" s="14">
        <f>IFERROR(__xludf.DUMMYFUNCTION("""COMPUTED_VALUE"""),2.79966775060664)</f>
        <v>2.799667751</v>
      </c>
      <c r="J1374" s="14">
        <f>IFERROR(__xludf.DUMMYFUNCTION("""COMPUTED_VALUE"""),1.33411566212678)</f>
        <v>1.334115662</v>
      </c>
      <c r="K1374" s="14">
        <f>IFERROR(__xludf.DUMMYFUNCTION("""COMPUTED_VALUE"""),0.216202957709444)</f>
        <v>0.2162029577</v>
      </c>
      <c r="L1374" s="14">
        <f>IFERROR(__xludf.DUMMYFUNCTION("""COMPUTED_VALUE"""),0.345840238311565)</f>
        <v>0.3458402383</v>
      </c>
      <c r="M1374" s="14">
        <f>IFERROR(__xludf.DUMMYFUNCTION("""COMPUTED_VALUE"""),3.18328690697262)</f>
        <v>3.183286907</v>
      </c>
      <c r="N1374" s="14">
        <f>IFERROR(__xludf.DUMMYFUNCTION("""COMPUTED_VALUE"""),4.35422125511031)</f>
        <v>4.354221255</v>
      </c>
      <c r="O1374" s="14">
        <f>IFERROR(__xludf.DUMMYFUNCTION("""COMPUTED_VALUE"""),0.418082646559603)</f>
        <v>0.4180826466</v>
      </c>
      <c r="P1374" s="14">
        <f>IFERROR(__xludf.DUMMYFUNCTION("""COMPUTED_VALUE"""),0.0319932685581071)</f>
        <v>0.03199326856</v>
      </c>
      <c r="Q1374" s="14">
        <f>IFERROR(__xludf.DUMMYFUNCTION("""COMPUTED_VALUE"""),0.425053425129137)</f>
        <v>0.4250534251</v>
      </c>
      <c r="R1374" s="14">
        <f>IFERROR(__xludf.DUMMYFUNCTION("""COMPUTED_VALUE"""),0.221369572507648)</f>
        <v>0.2213695725</v>
      </c>
      <c r="S1374" s="14">
        <f>IFERROR(__xludf.DUMMYFUNCTION("""COMPUTED_VALUE"""),0.262289313353473)</f>
        <v>0.2622893134</v>
      </c>
      <c r="T1374" s="14">
        <f>IFERROR(__xludf.DUMMYFUNCTION("""COMPUTED_VALUE"""),1.72913590005419)</f>
        <v>1.7291359</v>
      </c>
      <c r="U1374" s="14">
        <f>IFERROR(__xludf.DUMMYFUNCTION("""COMPUTED_VALUE"""),0.648139089740444)</f>
        <v>0.6481390897</v>
      </c>
      <c r="V1374" s="14">
        <f>IFERROR(__xludf.DUMMYFUNCTION("""COMPUTED_VALUE"""),0.403470278974098)</f>
        <v>0.403470279</v>
      </c>
      <c r="W1374" s="14">
        <f>IFERROR(__xludf.DUMMYFUNCTION("""COMPUTED_VALUE"""),3.64663646776288)</f>
        <v>3.646636468</v>
      </c>
      <c r="X1374" s="14">
        <f>IFERROR(__xludf.DUMMYFUNCTION("""COMPUTED_VALUE"""),0.275215046359756)</f>
        <v>0.2752150464</v>
      </c>
      <c r="Y1374" s="14">
        <f>IFERROR(__xludf.DUMMYFUNCTION("""COMPUTED_VALUE"""),0.0151024124870567)</f>
        <v>0.01510241249</v>
      </c>
      <c r="Z1374" s="14">
        <f>IFERROR(__xludf.DUMMYFUNCTION("""COMPUTED_VALUE"""),0.31611954263485)</f>
        <v>0.3161195426</v>
      </c>
      <c r="AA1374" s="14">
        <f>IFERROR(__xludf.DUMMYFUNCTION("""COMPUTED_VALUE"""),6.11448989772022)</f>
        <v>6.114489898</v>
      </c>
      <c r="AB1374" s="14">
        <f>IFERROR(__xludf.DUMMYFUNCTION("""COMPUTED_VALUE"""),6.69154986362533)</f>
        <v>6.691549864</v>
      </c>
      <c r="AC1374" s="14">
        <f>IFERROR(__xludf.DUMMYFUNCTION("""COMPUTED_VALUE"""),10.8864103587577)</f>
        <v>10.88641036</v>
      </c>
      <c r="AD1374" s="14">
        <f>IFERROR(__xludf.DUMMYFUNCTION("""COMPUTED_VALUE"""),1.7823116240563)</f>
        <v>1.782311624</v>
      </c>
      <c r="AE1374" s="14">
        <f>IFERROR(__xludf.DUMMYFUNCTION("""COMPUTED_VALUE"""),0.457841557502353)</f>
        <v>0.4578415575</v>
      </c>
    </row>
    <row r="1375">
      <c r="A1375" s="11">
        <f>IFERROR(__xludf.DUMMYFUNCTION("""COMPUTED_VALUE"""),1983.0)</f>
        <v>1983</v>
      </c>
      <c r="B1375" s="11">
        <f>IFERROR(__xludf.DUMMYFUNCTION("""COMPUTED_VALUE"""),1.43482921615206)</f>
        <v>1.434829216</v>
      </c>
      <c r="C1375" s="11">
        <f>IFERROR(__xludf.DUMMYFUNCTION("""COMPUTED_VALUE"""),0.148691785537325)</f>
        <v>0.1486917855</v>
      </c>
      <c r="D1375" s="14">
        <f>IFERROR(__xludf.DUMMYFUNCTION("""COMPUTED_VALUE"""),0.446943758741587)</f>
        <v>0.4469437587</v>
      </c>
      <c r="E1375" s="14">
        <f>IFERROR(__xludf.DUMMYFUNCTION("""COMPUTED_VALUE"""),0.990248970510988)</f>
        <v>0.9902489705</v>
      </c>
      <c r="F1375" s="14">
        <f>IFERROR(__xludf.DUMMYFUNCTION("""COMPUTED_VALUE"""),0.220879961958736)</f>
        <v>0.220879962</v>
      </c>
      <c r="G1375" s="14">
        <f>IFERROR(__xludf.DUMMYFUNCTION("""COMPUTED_VALUE"""),0.435688081351262)</f>
        <v>0.4356880814</v>
      </c>
      <c r="H1375" s="14">
        <f>IFERROR(__xludf.DUMMYFUNCTION("""COMPUTED_VALUE"""),0.0563742037122408)</f>
        <v>0.05637420371</v>
      </c>
      <c r="I1375" s="14">
        <f>IFERROR(__xludf.DUMMYFUNCTION("""COMPUTED_VALUE"""),2.57393671754158)</f>
        <v>2.573936718</v>
      </c>
      <c r="J1375" s="14">
        <f>IFERROR(__xludf.DUMMYFUNCTION("""COMPUTED_VALUE"""),1.58591575930754)</f>
        <v>1.585915759</v>
      </c>
      <c r="K1375" s="14">
        <f>IFERROR(__xludf.DUMMYFUNCTION("""COMPUTED_VALUE"""),0.244288216086377)</f>
        <v>0.2442882161</v>
      </c>
      <c r="L1375" s="14">
        <f>IFERROR(__xludf.DUMMYFUNCTION("""COMPUTED_VALUE"""),0.361014844150238)</f>
        <v>0.3610148442</v>
      </c>
      <c r="M1375" s="14">
        <f>IFERROR(__xludf.DUMMYFUNCTION("""COMPUTED_VALUE"""),2.91983953193836)</f>
        <v>2.919839532</v>
      </c>
      <c r="N1375" s="14">
        <f>IFERROR(__xludf.DUMMYFUNCTION("""COMPUTED_VALUE"""),4.27225053811308)</f>
        <v>4.272250538</v>
      </c>
      <c r="O1375" s="14">
        <f>IFERROR(__xludf.DUMMYFUNCTION("""COMPUTED_VALUE"""),0.525173421805062)</f>
        <v>0.5251734218</v>
      </c>
      <c r="P1375" s="14">
        <f>IFERROR(__xludf.DUMMYFUNCTION("""COMPUTED_VALUE"""),0.0362301455754099)</f>
        <v>0.03623014558</v>
      </c>
      <c r="Q1375" s="14">
        <f>IFERROR(__xludf.DUMMYFUNCTION("""COMPUTED_VALUE"""),0.481343362644732)</f>
        <v>0.4813433626</v>
      </c>
      <c r="R1375" s="14">
        <f>IFERROR(__xludf.DUMMYFUNCTION("""COMPUTED_VALUE"""),0.263484604419424)</f>
        <v>0.2634846044</v>
      </c>
      <c r="S1375" s="14">
        <f>IFERROR(__xludf.DUMMYFUNCTION("""COMPUTED_VALUE"""),0.246925083929171)</f>
        <v>0.2469250839</v>
      </c>
      <c r="T1375" s="14">
        <f>IFERROR(__xludf.DUMMYFUNCTION("""COMPUTED_VALUE"""),1.65288750610124)</f>
        <v>1.652887506</v>
      </c>
      <c r="U1375" s="14">
        <f>IFERROR(__xludf.DUMMYFUNCTION("""COMPUTED_VALUE"""),0.943191815797895)</f>
        <v>0.9431918158</v>
      </c>
      <c r="V1375" s="14">
        <f>IFERROR(__xludf.DUMMYFUNCTION("""COMPUTED_VALUE"""),0.449462037220989)</f>
        <v>0.4494620372</v>
      </c>
      <c r="W1375" s="14">
        <f>IFERROR(__xludf.DUMMYFUNCTION("""COMPUTED_VALUE"""),3.45745583284585)</f>
        <v>3.457455833</v>
      </c>
      <c r="X1375" s="14">
        <f>IFERROR(__xludf.DUMMYFUNCTION("""COMPUTED_VALUE"""),0.295178031305443)</f>
        <v>0.2951780313</v>
      </c>
      <c r="Y1375" s="14">
        <f>IFERROR(__xludf.DUMMYFUNCTION("""COMPUTED_VALUE"""),0.0143365431854405)</f>
        <v>0.01433654319</v>
      </c>
      <c r="Z1375" s="14">
        <f>IFERROR(__xludf.DUMMYFUNCTION("""COMPUTED_VALUE"""),0.35579950013311)</f>
        <v>0.3557995001</v>
      </c>
      <c r="AA1375" s="14">
        <f>IFERROR(__xludf.DUMMYFUNCTION("""COMPUTED_VALUE"""),3.30793459713781)</f>
        <v>3.307934597</v>
      </c>
      <c r="AB1375" s="14">
        <f>IFERROR(__xludf.DUMMYFUNCTION("""COMPUTED_VALUE"""),6.92055273582449)</f>
        <v>6.920552736</v>
      </c>
      <c r="AC1375" s="14">
        <f>IFERROR(__xludf.DUMMYFUNCTION("""COMPUTED_VALUE"""),11.419618136849)</f>
        <v>11.41961814</v>
      </c>
      <c r="AD1375" s="14">
        <f>IFERROR(__xludf.DUMMYFUNCTION("""COMPUTED_VALUE"""),1.80148185362646)</f>
        <v>1.801481854</v>
      </c>
      <c r="AE1375" s="14">
        <f>IFERROR(__xludf.DUMMYFUNCTION("""COMPUTED_VALUE"""),0.670820625208015)</f>
        <v>0.6708206252</v>
      </c>
    </row>
    <row r="1376">
      <c r="A1376" s="11">
        <f>IFERROR(__xludf.DUMMYFUNCTION("""COMPUTED_VALUE"""),1984.0)</f>
        <v>1984</v>
      </c>
      <c r="B1376" s="11">
        <f>IFERROR(__xludf.DUMMYFUNCTION("""COMPUTED_VALUE"""),1.52145952434217)</f>
        <v>1.521459524</v>
      </c>
      <c r="C1376" s="11">
        <f>IFERROR(__xludf.DUMMYFUNCTION("""COMPUTED_VALUE"""),0.193250814905607)</f>
        <v>0.1932508149</v>
      </c>
      <c r="D1376" s="14">
        <f>IFERROR(__xludf.DUMMYFUNCTION("""COMPUTED_VALUE"""),0.385526904624868)</f>
        <v>0.3855269046</v>
      </c>
      <c r="E1376" s="14">
        <f>IFERROR(__xludf.DUMMYFUNCTION("""COMPUTED_VALUE"""),1.20555957231099)</f>
        <v>1.205559572</v>
      </c>
      <c r="F1376" s="14">
        <f>IFERROR(__xludf.DUMMYFUNCTION("""COMPUTED_VALUE"""),0.188317124265616)</f>
        <v>0.1883171243</v>
      </c>
      <c r="G1376" s="14">
        <f>IFERROR(__xludf.DUMMYFUNCTION("""COMPUTED_VALUE"""),0.309528100719785)</f>
        <v>0.3095281007</v>
      </c>
      <c r="H1376" s="14">
        <f>IFERROR(__xludf.DUMMYFUNCTION("""COMPUTED_VALUE"""),0.0814772155176039)</f>
        <v>0.08147721552</v>
      </c>
      <c r="I1376" s="14">
        <f>IFERROR(__xludf.DUMMYFUNCTION("""COMPUTED_VALUE"""),2.02275525674268)</f>
        <v>2.022755257</v>
      </c>
      <c r="J1376" s="14">
        <f>IFERROR(__xludf.DUMMYFUNCTION("""COMPUTED_VALUE"""),2.09235210663943)</f>
        <v>2.092352107</v>
      </c>
      <c r="K1376" s="14">
        <f>IFERROR(__xludf.DUMMYFUNCTION("""COMPUTED_VALUE"""),0.279350453203213)</f>
        <v>0.2793504532</v>
      </c>
      <c r="L1376" s="14">
        <f>IFERROR(__xludf.DUMMYFUNCTION("""COMPUTED_VALUE"""),0.43511897186118)</f>
        <v>0.4351189719</v>
      </c>
      <c r="M1376" s="14">
        <f>IFERROR(__xludf.DUMMYFUNCTION("""COMPUTED_VALUE"""),2.68090019269312)</f>
        <v>2.680900193</v>
      </c>
      <c r="N1376" s="14">
        <f>IFERROR(__xludf.DUMMYFUNCTION("""COMPUTED_VALUE"""),3.85834530386381)</f>
        <v>3.858345304</v>
      </c>
      <c r="O1376" s="14">
        <f>IFERROR(__xludf.DUMMYFUNCTION("""COMPUTED_VALUE"""),0.364329069969511)</f>
        <v>0.36432907</v>
      </c>
      <c r="P1376" s="14">
        <f>IFERROR(__xludf.DUMMYFUNCTION("""COMPUTED_VALUE"""),0.0391905406639674)</f>
        <v>0.03919054066</v>
      </c>
      <c r="Q1376" s="14">
        <f>IFERROR(__xludf.DUMMYFUNCTION("""COMPUTED_VALUE"""),0.520674325964139)</f>
        <v>0.520674326</v>
      </c>
      <c r="R1376" s="14">
        <f>IFERROR(__xludf.DUMMYFUNCTION("""COMPUTED_VALUE"""),0.314130522778952)</f>
        <v>0.3141305228</v>
      </c>
      <c r="S1376" s="14">
        <f>IFERROR(__xludf.DUMMYFUNCTION("""COMPUTED_VALUE"""),0.23964052643448)</f>
        <v>0.2396405264</v>
      </c>
      <c r="T1376" s="14">
        <f>IFERROR(__xludf.DUMMYFUNCTION("""COMPUTED_VALUE"""),1.69108596641863)</f>
        <v>1.691085966</v>
      </c>
      <c r="U1376" s="14">
        <f>IFERROR(__xludf.DUMMYFUNCTION("""COMPUTED_VALUE"""),0.892313293911421)</f>
        <v>0.8923132939</v>
      </c>
      <c r="V1376" s="14">
        <f>IFERROR(__xludf.DUMMYFUNCTION("""COMPUTED_VALUE"""),0.457362174219518)</f>
        <v>0.4573621742</v>
      </c>
      <c r="W1376" s="14">
        <f>IFERROR(__xludf.DUMMYFUNCTION("""COMPUTED_VALUE"""),4.04485488715592)</f>
        <v>4.044854887</v>
      </c>
      <c r="X1376" s="14">
        <f>IFERROR(__xludf.DUMMYFUNCTION("""COMPUTED_VALUE"""),0.367261280068554)</f>
        <v>0.3672612801</v>
      </c>
      <c r="Y1376" s="14">
        <f>IFERROR(__xludf.DUMMYFUNCTION("""COMPUTED_VALUE"""),0.0184254903091952)</f>
        <v>0.01842549031</v>
      </c>
      <c r="Z1376" s="14">
        <f>IFERROR(__xludf.DUMMYFUNCTION("""COMPUTED_VALUE"""),0.501225025298512)</f>
        <v>0.5012250253</v>
      </c>
      <c r="AA1376" s="14">
        <f>IFERROR(__xludf.DUMMYFUNCTION("""COMPUTED_VALUE"""),3.07101731319775)</f>
        <v>3.071017313</v>
      </c>
      <c r="AB1376" s="14">
        <f>IFERROR(__xludf.DUMMYFUNCTION("""COMPUTED_VALUE"""),6.68606219371701)</f>
        <v>6.686062194</v>
      </c>
      <c r="AC1376" s="14">
        <f>IFERROR(__xludf.DUMMYFUNCTION("""COMPUTED_VALUE"""),12.9662153901989)</f>
        <v>12.96621539</v>
      </c>
      <c r="AD1376" s="14">
        <f>IFERROR(__xludf.DUMMYFUNCTION("""COMPUTED_VALUE"""),2.07173025635461)</f>
        <v>2.071730256</v>
      </c>
      <c r="AE1376" s="14">
        <f>IFERROR(__xludf.DUMMYFUNCTION("""COMPUTED_VALUE"""),0.592803290406058)</f>
        <v>0.5928032904</v>
      </c>
    </row>
    <row r="1377">
      <c r="A1377" s="11">
        <f>IFERROR(__xludf.DUMMYFUNCTION("""COMPUTED_VALUE"""),1985.0)</f>
        <v>1985</v>
      </c>
      <c r="B1377" s="11">
        <f>IFERROR(__xludf.DUMMYFUNCTION("""COMPUTED_VALUE"""),1.90517464782132)</f>
        <v>1.905174648</v>
      </c>
      <c r="C1377" s="11">
        <f>IFERROR(__xludf.DUMMYFUNCTION("""COMPUTED_VALUE"""),0.176710920446439)</f>
        <v>0.1767109204</v>
      </c>
      <c r="D1377" s="14">
        <f>IFERROR(__xludf.DUMMYFUNCTION("""COMPUTED_VALUE"""),0.439728716075503)</f>
        <v>0.4397287161</v>
      </c>
      <c r="E1377" s="14">
        <f>IFERROR(__xludf.DUMMYFUNCTION("""COMPUTED_VALUE"""),1.24423651134349)</f>
        <v>1.244236511</v>
      </c>
      <c r="F1377" s="14">
        <f>IFERROR(__xludf.DUMMYFUNCTION("""COMPUTED_VALUE"""),0.244116144555823)</f>
        <v>0.2441161446</v>
      </c>
      <c r="G1377" s="14">
        <f>IFERROR(__xludf.DUMMYFUNCTION("""COMPUTED_VALUE"""),0.254335858886947)</f>
        <v>0.2543358589</v>
      </c>
      <c r="H1377" s="14">
        <f>IFERROR(__xludf.DUMMYFUNCTION("""COMPUTED_VALUE"""),0.087484765795333)</f>
        <v>0.0874847658</v>
      </c>
      <c r="I1377" s="14">
        <f>IFERROR(__xludf.DUMMYFUNCTION("""COMPUTED_VALUE"""),2.05245792032393)</f>
        <v>2.05245792</v>
      </c>
      <c r="J1377" s="14">
        <f>IFERROR(__xludf.DUMMYFUNCTION("""COMPUTED_VALUE"""),2.05230702385168)</f>
        <v>2.052307024</v>
      </c>
      <c r="K1377" s="14">
        <f>IFERROR(__xludf.DUMMYFUNCTION("""COMPUTED_VALUE"""),0.29071860633526)</f>
        <v>0.2907186063</v>
      </c>
      <c r="L1377" s="14">
        <f>IFERROR(__xludf.DUMMYFUNCTION("""COMPUTED_VALUE"""),0.452058715212229)</f>
        <v>0.4520587152</v>
      </c>
      <c r="M1377" s="14">
        <f>IFERROR(__xludf.DUMMYFUNCTION("""COMPUTED_VALUE"""),2.48784092613939)</f>
        <v>2.487840926</v>
      </c>
      <c r="N1377" s="14">
        <f>IFERROR(__xludf.DUMMYFUNCTION("""COMPUTED_VALUE"""),4.31129011920676)</f>
        <v>4.311290119</v>
      </c>
      <c r="O1377" s="14">
        <f>IFERROR(__xludf.DUMMYFUNCTION("""COMPUTED_VALUE"""),0.388239650005205)</f>
        <v>0.38823965</v>
      </c>
      <c r="P1377" s="14">
        <f>IFERROR(__xludf.DUMMYFUNCTION("""COMPUTED_VALUE"""),0.0419960523804442)</f>
        <v>0.04199605238</v>
      </c>
      <c r="Q1377" s="14">
        <f>IFERROR(__xludf.DUMMYFUNCTION("""COMPUTED_VALUE"""),0.557947553054473)</f>
        <v>0.5579475531</v>
      </c>
      <c r="R1377" s="14">
        <f>IFERROR(__xludf.DUMMYFUNCTION("""COMPUTED_VALUE"""),0.353657551061509)</f>
        <v>0.3536575511</v>
      </c>
      <c r="S1377" s="14">
        <f>IFERROR(__xludf.DUMMYFUNCTION("""COMPUTED_VALUE"""),0.244372879282295)</f>
        <v>0.2443728793</v>
      </c>
      <c r="T1377" s="14">
        <f>IFERROR(__xludf.DUMMYFUNCTION("""COMPUTED_VALUE"""),1.68971340453145)</f>
        <v>1.689713405</v>
      </c>
      <c r="U1377" s="14">
        <f>IFERROR(__xludf.DUMMYFUNCTION("""COMPUTED_VALUE"""),1.56743934212163)</f>
        <v>1.567439342</v>
      </c>
      <c r="V1377" s="14">
        <f>IFERROR(__xludf.DUMMYFUNCTION("""COMPUTED_VALUE"""),0.613467213368809)</f>
        <v>0.6134672134</v>
      </c>
      <c r="W1377" s="14">
        <f>IFERROR(__xludf.DUMMYFUNCTION("""COMPUTED_VALUE"""),5.51343967396334)</f>
        <v>5.513439674</v>
      </c>
      <c r="X1377" s="14">
        <f>IFERROR(__xludf.DUMMYFUNCTION("""COMPUTED_VALUE"""),0.365961417797174)</f>
        <v>0.3659614178</v>
      </c>
      <c r="Y1377" s="14">
        <f>IFERROR(__xludf.DUMMYFUNCTION("""COMPUTED_VALUE"""),0.0223759112514986)</f>
        <v>0.02237591125</v>
      </c>
      <c r="Z1377" s="14">
        <f>IFERROR(__xludf.DUMMYFUNCTION("""COMPUTED_VALUE"""),0.686592888014836)</f>
        <v>0.686592888</v>
      </c>
      <c r="AA1377" s="14">
        <f>IFERROR(__xludf.DUMMYFUNCTION("""COMPUTED_VALUE"""),3.67879126679151)</f>
        <v>3.678791267</v>
      </c>
      <c r="AB1377" s="14">
        <f>IFERROR(__xludf.DUMMYFUNCTION("""COMPUTED_VALUE"""),7.01869546067143)</f>
        <v>7.018695461</v>
      </c>
      <c r="AC1377" s="14">
        <f>IFERROR(__xludf.DUMMYFUNCTION("""COMPUTED_VALUE"""),14.945165951527)</f>
        <v>14.94516595</v>
      </c>
      <c r="AD1377" s="14">
        <f>IFERROR(__xludf.DUMMYFUNCTION("""COMPUTED_VALUE"""),1.95487826572107)</f>
        <v>1.954878266</v>
      </c>
      <c r="AE1377" s="14">
        <f>IFERROR(__xludf.DUMMYFUNCTION("""COMPUTED_VALUE"""),0.587898972064111)</f>
        <v>0.5878989721</v>
      </c>
    </row>
    <row r="1378">
      <c r="A1378" s="11">
        <f>IFERROR(__xludf.DUMMYFUNCTION("""COMPUTED_VALUE"""),1986.0)</f>
        <v>1986</v>
      </c>
      <c r="B1378" s="11">
        <f>IFERROR(__xludf.DUMMYFUNCTION("""COMPUTED_VALUE"""),2.22002362086046)</f>
        <v>2.220023621</v>
      </c>
      <c r="C1378" s="11">
        <f>IFERROR(__xludf.DUMMYFUNCTION("""COMPUTED_VALUE"""),0.184753591590178)</f>
        <v>0.1847535916</v>
      </c>
      <c r="D1378" s="14">
        <f>IFERROR(__xludf.DUMMYFUNCTION("""COMPUTED_VALUE"""),0.689500565992154)</f>
        <v>0.689500566</v>
      </c>
      <c r="E1378" s="14">
        <f>IFERROR(__xludf.DUMMYFUNCTION("""COMPUTED_VALUE"""),1.52156870760225)</f>
        <v>1.521568708</v>
      </c>
      <c r="F1378" s="14">
        <f>IFERROR(__xludf.DUMMYFUNCTION("""COMPUTED_VALUE"""),0.285517458537226)</f>
        <v>0.2855174585</v>
      </c>
      <c r="G1378" s="14">
        <f>IFERROR(__xludf.DUMMYFUNCTION("""COMPUTED_VALUE"""),0.395365315807652)</f>
        <v>0.3953653158</v>
      </c>
      <c r="H1378" s="14">
        <f>IFERROR(__xludf.DUMMYFUNCTION("""COMPUTED_VALUE"""),0.0881238866170701)</f>
        <v>0.08812388662</v>
      </c>
      <c r="I1378" s="14">
        <f>IFERROR(__xludf.DUMMYFUNCTION("""COMPUTED_VALUE"""),2.45488056658577)</f>
        <v>2.454880567</v>
      </c>
      <c r="J1378" s="14">
        <f>IFERROR(__xludf.DUMMYFUNCTION("""COMPUTED_VALUE"""),2.54323305810903)</f>
        <v>2.543233058</v>
      </c>
      <c r="K1378" s="14">
        <f>IFERROR(__xludf.DUMMYFUNCTION("""COMPUTED_VALUE"""),0.297614822436667)</f>
        <v>0.2976148224</v>
      </c>
      <c r="L1378" s="14">
        <f>IFERROR(__xludf.DUMMYFUNCTION("""COMPUTED_VALUE"""),0.504947337501551)</f>
        <v>0.5049473375</v>
      </c>
      <c r="M1378" s="14">
        <f>IFERROR(__xludf.DUMMYFUNCTION("""COMPUTED_VALUE"""),2.32777720547556)</f>
        <v>2.327777205</v>
      </c>
      <c r="N1378" s="14">
        <f>IFERROR(__xludf.DUMMYFUNCTION("""COMPUTED_VALUE"""),5.11007715523228)</f>
        <v>5.110077155</v>
      </c>
      <c r="O1378" s="14">
        <f>IFERROR(__xludf.DUMMYFUNCTION("""COMPUTED_VALUE"""),0.334905522829763)</f>
        <v>0.3349055228</v>
      </c>
      <c r="P1378" s="14">
        <f>IFERROR(__xludf.DUMMYFUNCTION("""COMPUTED_VALUE"""),0.0464578114759366)</f>
        <v>0.04645781148</v>
      </c>
      <c r="Q1378" s="14">
        <f>IFERROR(__xludf.DUMMYFUNCTION("""COMPUTED_VALUE"""),0.617225209608872)</f>
        <v>0.6172252096</v>
      </c>
      <c r="R1378" s="14">
        <f>IFERROR(__xludf.DUMMYFUNCTION("""COMPUTED_VALUE"""),0.43517296778604)</f>
        <v>0.4351729678</v>
      </c>
      <c r="S1378" s="14">
        <f>IFERROR(__xludf.DUMMYFUNCTION("""COMPUTED_VALUE"""),0.272532990385152)</f>
        <v>0.2725329904</v>
      </c>
      <c r="T1378" s="14">
        <f>IFERROR(__xludf.DUMMYFUNCTION("""COMPUTED_VALUE"""),1.89702595480005)</f>
        <v>1.897025955</v>
      </c>
      <c r="U1378" s="14">
        <f>IFERROR(__xludf.DUMMYFUNCTION("""COMPUTED_VALUE"""),1.58118842581335)</f>
        <v>1.581188426</v>
      </c>
      <c r="V1378" s="14">
        <f>IFERROR(__xludf.DUMMYFUNCTION("""COMPUTED_VALUE"""),0.734233369566506)</f>
        <v>0.7342333696</v>
      </c>
      <c r="W1378" s="14">
        <f>IFERROR(__xludf.DUMMYFUNCTION("""COMPUTED_VALUE"""),6.07269079119632)</f>
        <v>6.072690791</v>
      </c>
      <c r="X1378" s="14">
        <f>IFERROR(__xludf.DUMMYFUNCTION("""COMPUTED_VALUE"""),0.451075680649824)</f>
        <v>0.4510756806</v>
      </c>
      <c r="Y1378" s="14">
        <f>IFERROR(__xludf.DUMMYFUNCTION("""COMPUTED_VALUE"""),0.0204573308218198)</f>
        <v>0.02045733082</v>
      </c>
      <c r="Z1378" s="14">
        <f>IFERROR(__xludf.DUMMYFUNCTION("""COMPUTED_VALUE"""),0.720939800056777)</f>
        <v>0.7209398001</v>
      </c>
      <c r="AA1378" s="14">
        <f>IFERROR(__xludf.DUMMYFUNCTION("""COMPUTED_VALUE"""),2.83206173564568)</f>
        <v>2.832061736</v>
      </c>
      <c r="AB1378" s="14">
        <f>IFERROR(__xludf.DUMMYFUNCTION("""COMPUTED_VALUE"""),6.97111241415611)</f>
        <v>6.971112414</v>
      </c>
      <c r="AC1378" s="14">
        <f>IFERROR(__xludf.DUMMYFUNCTION("""COMPUTED_VALUE"""),17.2403679796291)</f>
        <v>17.24036798</v>
      </c>
      <c r="AD1378" s="14">
        <f>IFERROR(__xludf.DUMMYFUNCTION("""COMPUTED_VALUE"""),1.88080026357996)</f>
        <v>1.880800264</v>
      </c>
      <c r="AE1378" s="14">
        <f>IFERROR(__xludf.DUMMYFUNCTION("""COMPUTED_VALUE"""),0.743545293331529)</f>
        <v>0.7435452933</v>
      </c>
    </row>
    <row r="1379">
      <c r="A1379" s="11">
        <f>IFERROR(__xludf.DUMMYFUNCTION("""COMPUTED_VALUE"""),1987.0)</f>
        <v>1987</v>
      </c>
      <c r="B1379" s="11">
        <f>IFERROR(__xludf.DUMMYFUNCTION("""COMPUTED_VALUE"""),2.48301036008911)</f>
        <v>2.48301036</v>
      </c>
      <c r="C1379" s="11">
        <f>IFERROR(__xludf.DUMMYFUNCTION("""COMPUTED_VALUE"""),0.182900426761901)</f>
        <v>0.1829004268</v>
      </c>
      <c r="D1379" s="14">
        <f>IFERROR(__xludf.DUMMYFUNCTION("""COMPUTED_VALUE"""),0.592636725338603)</f>
        <v>0.5926367253</v>
      </c>
      <c r="E1379" s="14">
        <f>IFERROR(__xludf.DUMMYFUNCTION("""COMPUTED_VALUE"""),1.55870342962061)</f>
        <v>1.55870343</v>
      </c>
      <c r="F1379" s="14">
        <f>IFERROR(__xludf.DUMMYFUNCTION("""COMPUTED_VALUE"""),0.309424126097291)</f>
        <v>0.3094241261</v>
      </c>
      <c r="G1379" s="14">
        <f>IFERROR(__xludf.DUMMYFUNCTION("""COMPUTED_VALUE"""),0.585530330201504)</f>
        <v>0.5855303302</v>
      </c>
      <c r="H1379" s="14">
        <f>IFERROR(__xludf.DUMMYFUNCTION("""COMPUTED_VALUE"""),0.127175262948198)</f>
        <v>0.1271752629</v>
      </c>
      <c r="I1379" s="14">
        <f>IFERROR(__xludf.DUMMYFUNCTION("""COMPUTED_VALUE"""),2.57444137054034)</f>
        <v>2.574441371</v>
      </c>
      <c r="J1379" s="14">
        <f>IFERROR(__xludf.DUMMYFUNCTION("""COMPUTED_VALUE"""),2.69466617485523)</f>
        <v>2.694666175</v>
      </c>
      <c r="K1379" s="14">
        <f>IFERROR(__xludf.DUMMYFUNCTION("""COMPUTED_VALUE"""),0.313698981938888)</f>
        <v>0.3136989819</v>
      </c>
      <c r="L1379" s="14">
        <f>IFERROR(__xludf.DUMMYFUNCTION("""COMPUTED_VALUE"""),0.625493639537421)</f>
        <v>0.6254936395</v>
      </c>
      <c r="M1379" s="14">
        <f>IFERROR(__xludf.DUMMYFUNCTION("""COMPUTED_VALUE"""),2.89723110176887)</f>
        <v>2.897231102</v>
      </c>
      <c r="N1379" s="14">
        <f>IFERROR(__xludf.DUMMYFUNCTION("""COMPUTED_VALUE"""),5.53782005259119)</f>
        <v>5.537820053</v>
      </c>
      <c r="O1379" s="14">
        <f>IFERROR(__xludf.DUMMYFUNCTION("""COMPUTED_VALUE"""),0.294643831096371)</f>
        <v>0.2946438311</v>
      </c>
      <c r="P1379" s="14">
        <f>IFERROR(__xludf.DUMMYFUNCTION("""COMPUTED_VALUE"""),0.0445113420318693)</f>
        <v>0.04451134203</v>
      </c>
      <c r="Q1379" s="14">
        <f>IFERROR(__xludf.DUMMYFUNCTION("""COMPUTED_VALUE"""),0.591364972709121)</f>
        <v>0.5913649727</v>
      </c>
      <c r="R1379" s="14">
        <f>IFERROR(__xludf.DUMMYFUNCTION("""COMPUTED_VALUE"""),0.480368321961731)</f>
        <v>0.480368322</v>
      </c>
      <c r="S1379" s="14">
        <f>IFERROR(__xludf.DUMMYFUNCTION("""COMPUTED_VALUE"""),0.277186080570514)</f>
        <v>0.2771860806</v>
      </c>
      <c r="T1379" s="14">
        <f>IFERROR(__xludf.DUMMYFUNCTION("""COMPUTED_VALUE"""),2.05436040681311)</f>
        <v>2.054360407</v>
      </c>
      <c r="U1379" s="14">
        <f>IFERROR(__xludf.DUMMYFUNCTION("""COMPUTED_VALUE"""),1.56408263470771)</f>
        <v>1.564082635</v>
      </c>
      <c r="V1379" s="14">
        <f>IFERROR(__xludf.DUMMYFUNCTION("""COMPUTED_VALUE"""),0.800108900285913)</f>
        <v>0.8001089003</v>
      </c>
      <c r="W1379" s="14">
        <f>IFERROR(__xludf.DUMMYFUNCTION("""COMPUTED_VALUE"""),6.85324557697903)</f>
        <v>6.853245577</v>
      </c>
      <c r="X1379" s="14">
        <f>IFERROR(__xludf.DUMMYFUNCTION("""COMPUTED_VALUE"""),0.418283651819708)</f>
        <v>0.4182836518</v>
      </c>
      <c r="Y1379" s="14">
        <f>IFERROR(__xludf.DUMMYFUNCTION("""COMPUTED_VALUE"""),0.0219165369814061)</f>
        <v>0.02191653698</v>
      </c>
      <c r="Z1379" s="14">
        <f>IFERROR(__xludf.DUMMYFUNCTION("""COMPUTED_VALUE"""),0.795797484057505)</f>
        <v>0.7957974841</v>
      </c>
      <c r="AA1379" s="14">
        <f>IFERROR(__xludf.DUMMYFUNCTION("""COMPUTED_VALUE"""),2.71214177722099)</f>
        <v>2.712141777</v>
      </c>
      <c r="AB1379" s="14">
        <f>IFERROR(__xludf.DUMMYFUNCTION("""COMPUTED_VALUE"""),7.71209926892545)</f>
        <v>7.712099269</v>
      </c>
      <c r="AC1379" s="14">
        <f>IFERROR(__xludf.DUMMYFUNCTION("""COMPUTED_VALUE"""),18.6758912975571)</f>
        <v>18.6758913</v>
      </c>
      <c r="AD1379" s="14">
        <f>IFERROR(__xludf.DUMMYFUNCTION("""COMPUTED_VALUE"""),1.95232771933128)</f>
        <v>1.952327719</v>
      </c>
      <c r="AE1379" s="14">
        <f>IFERROR(__xludf.DUMMYFUNCTION("""COMPUTED_VALUE"""),0.832701230030485)</f>
        <v>0.83270123</v>
      </c>
    </row>
    <row r="1380">
      <c r="A1380" s="11">
        <f>IFERROR(__xludf.DUMMYFUNCTION("""COMPUTED_VALUE"""),1988.0)</f>
        <v>1988</v>
      </c>
      <c r="B1380" s="11">
        <f>IFERROR(__xludf.DUMMYFUNCTION("""COMPUTED_VALUE"""),2.3221556242567)</f>
        <v>2.322155624</v>
      </c>
      <c r="C1380" s="11">
        <f>IFERROR(__xludf.DUMMYFUNCTION("""COMPUTED_VALUE"""),0.177317312845936)</f>
        <v>0.1773173128</v>
      </c>
      <c r="D1380" s="14">
        <f>IFERROR(__xludf.DUMMYFUNCTION("""COMPUTED_VALUE"""),0.344464142061306)</f>
        <v>0.3444641421</v>
      </c>
      <c r="E1380" s="14">
        <f>IFERROR(__xludf.DUMMYFUNCTION("""COMPUTED_VALUE"""),1.41797169663124)</f>
        <v>1.417971697</v>
      </c>
      <c r="F1380" s="14">
        <f>IFERROR(__xludf.DUMMYFUNCTION("""COMPUTED_VALUE"""),0.292567100677602)</f>
        <v>0.2925671007</v>
      </c>
      <c r="G1380" s="14">
        <f>IFERROR(__xludf.DUMMYFUNCTION("""COMPUTED_VALUE"""),1.20817473255215)</f>
        <v>1.208174733</v>
      </c>
      <c r="H1380" s="14">
        <f>IFERROR(__xludf.DUMMYFUNCTION("""COMPUTED_VALUE"""),0.127744907124534)</f>
        <v>0.1277449071</v>
      </c>
      <c r="I1380" s="14">
        <f>IFERROR(__xludf.DUMMYFUNCTION("""COMPUTED_VALUE"""),2.43909509981477)</f>
        <v>2.4390951</v>
      </c>
      <c r="J1380" s="14">
        <f>IFERROR(__xludf.DUMMYFUNCTION("""COMPUTED_VALUE"""),2.4360647248594)</f>
        <v>2.436064725</v>
      </c>
      <c r="K1380" s="14">
        <f>IFERROR(__xludf.DUMMYFUNCTION("""COMPUTED_VALUE"""),0.291988359141792)</f>
        <v>0.2919883591</v>
      </c>
      <c r="L1380" s="14">
        <f>IFERROR(__xludf.DUMMYFUNCTION("""COMPUTED_VALUE"""),0.608139009726065)</f>
        <v>0.6081390097</v>
      </c>
      <c r="M1380" s="14">
        <f>IFERROR(__xludf.DUMMYFUNCTION("""COMPUTED_VALUE"""),2.54364204185511)</f>
        <v>2.543642042</v>
      </c>
      <c r="N1380" s="14">
        <f>IFERROR(__xludf.DUMMYFUNCTION("""COMPUTED_VALUE"""),5.23756331336937)</f>
        <v>5.237563313</v>
      </c>
      <c r="O1380" s="14">
        <f>IFERROR(__xludf.DUMMYFUNCTION("""COMPUTED_VALUE"""),0.267531579960568)</f>
        <v>0.26753158</v>
      </c>
      <c r="P1380" s="14">
        <f>IFERROR(__xludf.DUMMYFUNCTION("""COMPUTED_VALUE"""),0.0440719929579643)</f>
        <v>0.04407199296</v>
      </c>
      <c r="Q1380" s="14">
        <f>IFERROR(__xludf.DUMMYFUNCTION("""COMPUTED_VALUE"""),0.585527906441526)</f>
        <v>0.5855279064</v>
      </c>
      <c r="R1380" s="14">
        <f>IFERROR(__xludf.DUMMYFUNCTION("""COMPUTED_VALUE"""),0.476312589297899)</f>
        <v>0.4763125893</v>
      </c>
      <c r="S1380" s="14">
        <f>IFERROR(__xludf.DUMMYFUNCTION("""COMPUTED_VALUE"""),0.265654784553025)</f>
        <v>0.2656547846</v>
      </c>
      <c r="T1380" s="14">
        <f>IFERROR(__xludf.DUMMYFUNCTION("""COMPUTED_VALUE"""),2.06112745235813)</f>
        <v>2.061127452</v>
      </c>
      <c r="U1380" s="14">
        <f>IFERROR(__xludf.DUMMYFUNCTION("""COMPUTED_VALUE"""),1.79609294161141)</f>
        <v>1.796092942</v>
      </c>
      <c r="V1380" s="14">
        <f>IFERROR(__xludf.DUMMYFUNCTION("""COMPUTED_VALUE"""),0.711549886908722)</f>
        <v>0.7115498869</v>
      </c>
      <c r="W1380" s="14">
        <f>IFERROR(__xludf.DUMMYFUNCTION("""COMPUTED_VALUE"""),5.9602057556364)</f>
        <v>5.960205756</v>
      </c>
      <c r="X1380" s="14">
        <f>IFERROR(__xludf.DUMMYFUNCTION("""COMPUTED_VALUE"""),0.383413907436353)</f>
        <v>0.3834139074</v>
      </c>
      <c r="Y1380" s="14">
        <f>IFERROR(__xludf.DUMMYFUNCTION("""COMPUTED_VALUE"""),0.0199555794200969)</f>
        <v>0.01995557942</v>
      </c>
      <c r="Z1380" s="14">
        <f>IFERROR(__xludf.DUMMYFUNCTION("""COMPUTED_VALUE"""),0.695313836143924)</f>
        <v>0.6953138361</v>
      </c>
      <c r="AA1380" s="14">
        <f>IFERROR(__xludf.DUMMYFUNCTION("""COMPUTED_VALUE"""),2.25912981154707)</f>
        <v>2.259129812</v>
      </c>
      <c r="AB1380" s="14">
        <f>IFERROR(__xludf.DUMMYFUNCTION("""COMPUTED_VALUE"""),7.99954747551862)</f>
        <v>7.999547476</v>
      </c>
      <c r="AC1380" s="14">
        <f>IFERROR(__xludf.DUMMYFUNCTION("""COMPUTED_VALUE"""),16.6784254816552)</f>
        <v>16.67842548</v>
      </c>
      <c r="AD1380" s="14">
        <f>IFERROR(__xludf.DUMMYFUNCTION("""COMPUTED_VALUE"""),1.80069227210301)</f>
        <v>1.800692272</v>
      </c>
      <c r="AE1380" s="14">
        <f>IFERROR(__xludf.DUMMYFUNCTION("""COMPUTED_VALUE"""),0.638761034167564)</f>
        <v>0.6387610342</v>
      </c>
    </row>
    <row r="1381">
      <c r="A1381" s="11">
        <f>IFERROR(__xludf.DUMMYFUNCTION("""COMPUTED_VALUE"""),1989.0)</f>
        <v>1989</v>
      </c>
      <c r="B1381" s="11">
        <f>IFERROR(__xludf.DUMMYFUNCTION("""COMPUTED_VALUE"""),2.1471553464561)</f>
        <v>2.147155346</v>
      </c>
      <c r="C1381" s="11">
        <f>IFERROR(__xludf.DUMMYFUNCTION("""COMPUTED_VALUE"""),0.135183923786575)</f>
        <v>0.1351839238</v>
      </c>
      <c r="D1381" s="14">
        <f>IFERROR(__xludf.DUMMYFUNCTION("""COMPUTED_VALUE"""),0.35902982566293)</f>
        <v>0.3590298257</v>
      </c>
      <c r="E1381" s="14">
        <f>IFERROR(__xludf.DUMMYFUNCTION("""COMPUTED_VALUE"""),1.32702471914193)</f>
        <v>1.327024719</v>
      </c>
      <c r="F1381" s="14">
        <f>IFERROR(__xludf.DUMMYFUNCTION("""COMPUTED_VALUE"""),0.249122195673402)</f>
        <v>0.2491221957</v>
      </c>
      <c r="G1381" s="14">
        <f>IFERROR(__xludf.DUMMYFUNCTION("""COMPUTED_VALUE"""),0.508195649395625)</f>
        <v>0.5081956494</v>
      </c>
      <c r="H1381" s="14">
        <f>IFERROR(__xludf.DUMMYFUNCTION("""COMPUTED_VALUE"""),0.0957451956083229)</f>
        <v>0.09574519561</v>
      </c>
      <c r="I1381" s="14">
        <f>IFERROR(__xludf.DUMMYFUNCTION("""COMPUTED_VALUE"""),2.11838162595677)</f>
        <v>2.118381626</v>
      </c>
      <c r="J1381" s="14">
        <f>IFERROR(__xludf.DUMMYFUNCTION("""COMPUTED_VALUE"""),2.11985669257887)</f>
        <v>2.119856693</v>
      </c>
      <c r="K1381" s="14">
        <f>IFERROR(__xludf.DUMMYFUNCTION("""COMPUTED_VALUE"""),0.24144440631664)</f>
        <v>0.2414444063</v>
      </c>
      <c r="L1381" s="14">
        <f>IFERROR(__xludf.DUMMYFUNCTION("""COMPUTED_VALUE"""),0.480600939200329)</f>
        <v>0.4806009392</v>
      </c>
      <c r="M1381" s="14">
        <f>IFERROR(__xludf.DUMMYFUNCTION("""COMPUTED_VALUE"""),2.47878368153175)</f>
        <v>2.478783682</v>
      </c>
      <c r="N1381" s="14">
        <f>IFERROR(__xludf.DUMMYFUNCTION("""COMPUTED_VALUE"""),4.68990835596518)</f>
        <v>4.689908356</v>
      </c>
      <c r="O1381" s="14">
        <f>IFERROR(__xludf.DUMMYFUNCTION("""COMPUTED_VALUE"""),0.243832926176583)</f>
        <v>0.2438329262</v>
      </c>
      <c r="P1381" s="14">
        <f>IFERROR(__xludf.DUMMYFUNCTION("""COMPUTED_VALUE"""),0.0347215583828835)</f>
        <v>0.03472155838</v>
      </c>
      <c r="Q1381" s="14">
        <f>IFERROR(__xludf.DUMMYFUNCTION("""COMPUTED_VALUE"""),0.461300704229738)</f>
        <v>0.4613007042</v>
      </c>
      <c r="R1381" s="14">
        <f>IFERROR(__xludf.DUMMYFUNCTION("""COMPUTED_VALUE"""),0.424371383552299)</f>
        <v>0.4243713836</v>
      </c>
      <c r="S1381" s="14">
        <f>IFERROR(__xludf.DUMMYFUNCTION("""COMPUTED_VALUE"""),0.215625888259318)</f>
        <v>0.2156258883</v>
      </c>
      <c r="T1381" s="14">
        <f>IFERROR(__xludf.DUMMYFUNCTION("""COMPUTED_VALUE"""),1.80246941660196)</f>
        <v>1.802469417</v>
      </c>
      <c r="U1381" s="14">
        <f>IFERROR(__xludf.DUMMYFUNCTION("""COMPUTED_VALUE"""),2.74909360065759)</f>
        <v>2.749093601</v>
      </c>
      <c r="V1381" s="14">
        <f>IFERROR(__xludf.DUMMYFUNCTION("""COMPUTED_VALUE"""),0.64302165749272)</f>
        <v>0.6430216575</v>
      </c>
      <c r="W1381" s="14">
        <f>IFERROR(__xludf.DUMMYFUNCTION("""COMPUTED_VALUE"""),7.08307466382017)</f>
        <v>7.083074664</v>
      </c>
      <c r="X1381" s="14">
        <f>IFERROR(__xludf.DUMMYFUNCTION("""COMPUTED_VALUE"""),0.321358065331244)</f>
        <v>0.3213580653</v>
      </c>
      <c r="Y1381" s="14">
        <f>IFERROR(__xludf.DUMMYFUNCTION("""COMPUTED_VALUE"""),0.0147358481397671)</f>
        <v>0.01473584814</v>
      </c>
      <c r="Z1381" s="14">
        <f>IFERROR(__xludf.DUMMYFUNCTION("""COMPUTED_VALUE"""),0.838279926477861)</f>
        <v>0.8382799265</v>
      </c>
      <c r="AA1381" s="14">
        <f>IFERROR(__xludf.DUMMYFUNCTION("""COMPUTED_VALUE"""),2.82149025516629)</f>
        <v>2.821490255</v>
      </c>
      <c r="AB1381" s="14">
        <f>IFERROR(__xludf.DUMMYFUNCTION("""COMPUTED_VALUE"""),7.59289715091927)</f>
        <v>7.592897151</v>
      </c>
      <c r="AC1381" s="14">
        <f>IFERROR(__xludf.DUMMYFUNCTION("""COMPUTED_VALUE"""),16.6089632672459)</f>
        <v>16.60896327</v>
      </c>
      <c r="AD1381" s="14">
        <f>IFERROR(__xludf.DUMMYFUNCTION("""COMPUTED_VALUE"""),1.29163322782647)</f>
        <v>1.291633228</v>
      </c>
      <c r="AE1381" s="14">
        <f>IFERROR(__xludf.DUMMYFUNCTION("""COMPUTED_VALUE"""),0.5077257058725)</f>
        <v>0.5077257059</v>
      </c>
    </row>
    <row r="1382">
      <c r="A1382" s="11">
        <f>IFERROR(__xludf.DUMMYFUNCTION("""COMPUTED_VALUE"""),1990.0)</f>
        <v>1990</v>
      </c>
      <c r="B1382" s="11">
        <f>IFERROR(__xludf.DUMMYFUNCTION("""COMPUTED_VALUE"""),2.44407977383453)</f>
        <v>2.444079774</v>
      </c>
      <c r="C1382" s="11">
        <f>IFERROR(__xludf.DUMMYFUNCTION("""COMPUTED_VALUE"""),0.142864182707565)</f>
        <v>0.1428641827</v>
      </c>
      <c r="D1382" s="14">
        <f>IFERROR(__xludf.DUMMYFUNCTION("""COMPUTED_VALUE"""),0.375265091656294)</f>
        <v>0.3752650917</v>
      </c>
      <c r="E1382" s="14">
        <f>IFERROR(__xludf.DUMMYFUNCTION("""COMPUTED_VALUE"""),1.41997112673285)</f>
        <v>1.419971127</v>
      </c>
      <c r="F1382" s="14">
        <f>IFERROR(__xludf.DUMMYFUNCTION("""COMPUTED_VALUE"""),0.25358324201955)</f>
        <v>0.253583242</v>
      </c>
      <c r="G1382" s="14">
        <f>IFERROR(__xludf.DUMMYFUNCTION("""COMPUTED_VALUE"""),0.124727456467725)</f>
        <v>0.1247274565</v>
      </c>
      <c r="H1382" s="14">
        <f>IFERROR(__xludf.DUMMYFUNCTION("""COMPUTED_VALUE"""),0.0983652830140884)</f>
        <v>0.09836528301</v>
      </c>
      <c r="I1382" s="14">
        <f>IFERROR(__xludf.DUMMYFUNCTION("""COMPUTED_VALUE"""),1.99403820462599)</f>
        <v>1.994038205</v>
      </c>
      <c r="J1382" s="14">
        <f>IFERROR(__xludf.DUMMYFUNCTION("""COMPUTED_VALUE"""),2.35174244970782)</f>
        <v>2.35174245</v>
      </c>
      <c r="K1382" s="14">
        <f>IFERROR(__xludf.DUMMYFUNCTION("""COMPUTED_VALUE"""),0.259745825459077)</f>
        <v>0.2597458255</v>
      </c>
      <c r="L1382" s="14">
        <f>IFERROR(__xludf.DUMMYFUNCTION("""COMPUTED_VALUE"""),0.552168355789566)</f>
        <v>0.5521683558</v>
      </c>
      <c r="M1382" s="14">
        <f>IFERROR(__xludf.DUMMYFUNCTION("""COMPUTED_VALUE"""),1.83481517368423)</f>
        <v>1.834815174</v>
      </c>
      <c r="N1382" s="14">
        <f>IFERROR(__xludf.DUMMYFUNCTION("""COMPUTED_VALUE"""),4.92033117326411)</f>
        <v>4.920331173</v>
      </c>
      <c r="O1382" s="14">
        <f>IFERROR(__xludf.DUMMYFUNCTION("""COMPUTED_VALUE"""),0.164288553266993)</f>
        <v>0.1642885533</v>
      </c>
      <c r="P1382" s="14">
        <f>IFERROR(__xludf.DUMMYFUNCTION("""COMPUTED_VALUE"""),0.0480914016486066)</f>
        <v>0.04809140165</v>
      </c>
      <c r="Q1382" s="14">
        <f>IFERROR(__xludf.DUMMYFUNCTION("""COMPUTED_VALUE"""),0.638928621902917)</f>
        <v>0.6389286219</v>
      </c>
      <c r="R1382" s="14">
        <f>IFERROR(__xludf.DUMMYFUNCTION("""COMPUTED_VALUE"""),0.482213194803587)</f>
        <v>0.4822131948</v>
      </c>
      <c r="S1382" s="14">
        <f>IFERROR(__xludf.DUMMYFUNCTION("""COMPUTED_VALUE"""),0.245405156339921)</f>
        <v>0.2454051563</v>
      </c>
      <c r="T1382" s="14">
        <f>IFERROR(__xludf.DUMMYFUNCTION("""COMPUTED_VALUE"""),2.14917470203429)</f>
        <v>2.149174702</v>
      </c>
      <c r="U1382" s="14">
        <f>IFERROR(__xludf.DUMMYFUNCTION("""COMPUTED_VALUE"""),1.90500129497391)</f>
        <v>1.905001295</v>
      </c>
      <c r="V1382" s="14">
        <f>IFERROR(__xludf.DUMMYFUNCTION("""COMPUTED_VALUE"""),0.788792214954465)</f>
        <v>0.788792215</v>
      </c>
      <c r="W1382" s="14">
        <f>IFERROR(__xludf.DUMMYFUNCTION("""COMPUTED_VALUE"""),7.93174124068069)</f>
        <v>7.931741241</v>
      </c>
      <c r="X1382" s="14">
        <f>IFERROR(__xludf.DUMMYFUNCTION("""COMPUTED_VALUE"""),0.267126209971293)</f>
        <v>0.26712621</v>
      </c>
      <c r="Y1382" s="14">
        <f>IFERROR(__xludf.DUMMYFUNCTION("""COMPUTED_VALUE"""),0.0189107425398632)</f>
        <v>0.01891074254</v>
      </c>
      <c r="Z1382" s="14">
        <f>IFERROR(__xludf.DUMMYFUNCTION("""COMPUTED_VALUE"""),0.586573089863864)</f>
        <v>0.5865730899</v>
      </c>
      <c r="AA1382" s="14">
        <f>IFERROR(__xludf.DUMMYFUNCTION("""COMPUTED_VALUE"""),1.57147216564493)</f>
        <v>1.571472166</v>
      </c>
      <c r="AB1382" s="14">
        <f>IFERROR(__xludf.DUMMYFUNCTION("""COMPUTED_VALUE"""),5.30855343049734)</f>
        <v>5.30855343</v>
      </c>
      <c r="AC1382" s="14">
        <f>IFERROR(__xludf.DUMMYFUNCTION("""COMPUTED_VALUE"""),18.5691882635123)</f>
        <v>18.56918826</v>
      </c>
      <c r="AD1382" s="14">
        <f>IFERROR(__xludf.DUMMYFUNCTION("""COMPUTED_VALUE"""),1.01259474213317)</f>
        <v>1.012594742</v>
      </c>
      <c r="AE1382" s="14">
        <f>IFERROR(__xludf.DUMMYFUNCTION("""COMPUTED_VALUE"""),0.707865536460956)</f>
        <v>0.7078655365</v>
      </c>
    </row>
    <row r="1383">
      <c r="A1383" s="11">
        <f>IFERROR(__xludf.DUMMYFUNCTION("""COMPUTED_VALUE"""),1991.0)</f>
        <v>1991</v>
      </c>
      <c r="B1383" s="11">
        <f>IFERROR(__xludf.DUMMYFUNCTION("""COMPUTED_VALUE"""),2.88094381996151)</f>
        <v>2.88094382</v>
      </c>
      <c r="C1383" s="11">
        <f>IFERROR(__xludf.DUMMYFUNCTION("""COMPUTED_VALUE"""),0.141561575493637)</f>
        <v>0.1415615755</v>
      </c>
      <c r="D1383" s="14">
        <f>IFERROR(__xludf.DUMMYFUNCTION("""COMPUTED_VALUE"""),0.661211416469115)</f>
        <v>0.6612114165</v>
      </c>
      <c r="E1383" s="14">
        <f>IFERROR(__xludf.DUMMYFUNCTION("""COMPUTED_VALUE"""),1.5774781011978)</f>
        <v>1.577478101</v>
      </c>
      <c r="F1383" s="14">
        <f>IFERROR(__xludf.DUMMYFUNCTION("""COMPUTED_VALUE"""),0.23464788023202)</f>
        <v>0.2346478802</v>
      </c>
      <c r="G1383" s="14">
        <f>IFERROR(__xludf.DUMMYFUNCTION("""COMPUTED_VALUE"""),0.0277234104684625)</f>
        <v>0.02772341047</v>
      </c>
      <c r="H1383" s="14">
        <f>IFERROR(__xludf.DUMMYFUNCTION("""COMPUTED_VALUE"""),0.100916017684465)</f>
        <v>0.1009160177</v>
      </c>
      <c r="I1383" s="14">
        <f>IFERROR(__xludf.DUMMYFUNCTION("""COMPUTED_VALUE"""),2.31714475329741)</f>
        <v>2.317144753</v>
      </c>
      <c r="J1383" s="14">
        <f>IFERROR(__xludf.DUMMYFUNCTION("""COMPUTED_VALUE"""),2.53454730845461)</f>
        <v>2.534547308</v>
      </c>
      <c r="K1383" s="14">
        <f>IFERROR(__xludf.DUMMYFUNCTION("""COMPUTED_VALUE"""),0.204853473024154)</f>
        <v>0.204853473</v>
      </c>
      <c r="L1383" s="14">
        <f>IFERROR(__xludf.DUMMYFUNCTION("""COMPUTED_VALUE"""),0.53788231179)</f>
        <v>0.5378823118</v>
      </c>
      <c r="M1383" s="14">
        <f>IFERROR(__xludf.DUMMYFUNCTION("""COMPUTED_VALUE"""),1.40517820334017)</f>
        <v>1.405178203</v>
      </c>
      <c r="N1383" s="14">
        <f>IFERROR(__xludf.DUMMYFUNCTION("""COMPUTED_VALUE"""),5.80332688818082)</f>
        <v>5.803326888</v>
      </c>
      <c r="O1383" s="14">
        <f>IFERROR(__xludf.DUMMYFUNCTION("""COMPUTED_VALUE"""),0.168321500394567)</f>
        <v>0.1683215004</v>
      </c>
      <c r="P1383" s="14">
        <f>IFERROR(__xludf.DUMMYFUNCTION("""COMPUTED_VALUE"""),0.0555400669783187)</f>
        <v>0.05554006698</v>
      </c>
      <c r="Q1383" s="14">
        <f>IFERROR(__xludf.DUMMYFUNCTION("""COMPUTED_VALUE"""),0.737889461283377)</f>
        <v>0.7378894613</v>
      </c>
      <c r="R1383" s="14">
        <f>IFERROR(__xludf.DUMMYFUNCTION("""COMPUTED_VALUE"""),0.6052383149219)</f>
        <v>0.6052383149</v>
      </c>
      <c r="S1383" s="14">
        <f>IFERROR(__xludf.DUMMYFUNCTION("""COMPUTED_VALUE"""),0.198897255692511)</f>
        <v>0.1988972557</v>
      </c>
      <c r="T1383" s="14">
        <f>IFERROR(__xludf.DUMMYFUNCTION("""COMPUTED_VALUE"""),2.04344881804341)</f>
        <v>2.043448818</v>
      </c>
      <c r="U1383" s="14">
        <f>IFERROR(__xludf.DUMMYFUNCTION("""COMPUTED_VALUE"""),0.79618182496843)</f>
        <v>0.796181825</v>
      </c>
      <c r="V1383" s="14">
        <f>IFERROR(__xludf.DUMMYFUNCTION("""COMPUTED_VALUE"""),0.918132401994427)</f>
        <v>0.918132402</v>
      </c>
      <c r="W1383" s="14">
        <f>IFERROR(__xludf.DUMMYFUNCTION("""COMPUTED_VALUE"""),8.38535422870219)</f>
        <v>8.385354229</v>
      </c>
      <c r="X1383" s="14">
        <f>IFERROR(__xludf.DUMMYFUNCTION("""COMPUTED_VALUE"""),0.276441059002039)</f>
        <v>0.276441059</v>
      </c>
      <c r="Y1383" s="14">
        <f>IFERROR(__xludf.DUMMYFUNCTION("""COMPUTED_VALUE"""),0.0261046134765201)</f>
        <v>0.02610461348</v>
      </c>
      <c r="Z1383" s="14">
        <f>IFERROR(__xludf.DUMMYFUNCTION("""COMPUTED_VALUE"""),0.638712736014532)</f>
        <v>0.638712736</v>
      </c>
      <c r="AA1383" s="14">
        <f>IFERROR(__xludf.DUMMYFUNCTION("""COMPUTED_VALUE"""),1.99195723353628)</f>
        <v>1.991957234</v>
      </c>
      <c r="AB1383" s="14">
        <f>IFERROR(__xludf.DUMMYFUNCTION("""COMPUTED_VALUE"""),3.63408915252208)</f>
        <v>3.634089153</v>
      </c>
      <c r="AC1383" s="14">
        <f>IFERROR(__xludf.DUMMYFUNCTION("""COMPUTED_VALUE"""),19.6138636954817)</f>
        <v>19.6138637</v>
      </c>
      <c r="AD1383" s="14">
        <f>IFERROR(__xludf.DUMMYFUNCTION("""COMPUTED_VALUE"""),0.96024315434841)</f>
        <v>0.9602431543</v>
      </c>
      <c r="AE1383" s="14">
        <f>IFERROR(__xludf.DUMMYFUNCTION("""COMPUTED_VALUE"""),0.616686028950599)</f>
        <v>0.616686029</v>
      </c>
    </row>
    <row r="1384">
      <c r="A1384" s="11">
        <f>IFERROR(__xludf.DUMMYFUNCTION("""COMPUTED_VALUE"""),1992.0)</f>
        <v>1992</v>
      </c>
      <c r="B1384" s="11">
        <f>IFERROR(__xludf.DUMMYFUNCTION("""COMPUTED_VALUE"""),3.13504839280203)</f>
        <v>3.135048393</v>
      </c>
      <c r="C1384" s="11">
        <f>IFERROR(__xludf.DUMMYFUNCTION("""COMPUTED_VALUE"""),0.13906219113564)</f>
        <v>0.1390621911</v>
      </c>
      <c r="D1384" s="14">
        <f>IFERROR(__xludf.DUMMYFUNCTION("""COMPUTED_VALUE"""),0.592721106562868)</f>
        <v>0.5927211066</v>
      </c>
      <c r="E1384" s="14">
        <f>IFERROR(__xludf.DUMMYFUNCTION("""COMPUTED_VALUE"""),1.7502243619693)</f>
        <v>1.750224362</v>
      </c>
      <c r="F1384" s="14">
        <f>IFERROR(__xludf.DUMMYFUNCTION("""COMPUTED_VALUE"""),0.200412438611681)</f>
        <v>0.2004124386</v>
      </c>
      <c r="G1384" s="14">
        <f>IFERROR(__xludf.DUMMYFUNCTION("""COMPUTED_VALUE"""),0.0455245286479072)</f>
        <v>0.04552452865</v>
      </c>
      <c r="H1384" s="14">
        <f>IFERROR(__xludf.DUMMYFUNCTION("""COMPUTED_VALUE"""),0.0734376566490496)</f>
        <v>0.07343765665</v>
      </c>
      <c r="I1384" s="14">
        <f>IFERROR(__xludf.DUMMYFUNCTION("""COMPUTED_VALUE"""),2.29123956845996)</f>
        <v>2.291239568</v>
      </c>
      <c r="J1384" s="14">
        <f>IFERROR(__xludf.DUMMYFUNCTION("""COMPUTED_VALUE"""),2.53441446271827)</f>
        <v>2.534414463</v>
      </c>
      <c r="K1384" s="14">
        <f>IFERROR(__xludf.DUMMYFUNCTION("""COMPUTED_VALUE"""),0.369643386171403)</f>
        <v>0.3696433862</v>
      </c>
      <c r="L1384" s="14">
        <f>IFERROR(__xludf.DUMMYFUNCTION("""COMPUTED_VALUE"""),0.629605024058444)</f>
        <v>0.6296050241</v>
      </c>
      <c r="M1384" s="14">
        <f>IFERROR(__xludf.DUMMYFUNCTION("""COMPUTED_VALUE"""),1.31669092432226)</f>
        <v>1.316690924</v>
      </c>
      <c r="N1384" s="14">
        <f>IFERROR(__xludf.DUMMYFUNCTION("""COMPUTED_VALUE"""),6.08167229958081)</f>
        <v>6.0816723</v>
      </c>
      <c r="O1384" s="14">
        <f>IFERROR(__xludf.DUMMYFUNCTION("""COMPUTED_VALUE"""),0.125894862068568)</f>
        <v>0.1258948621</v>
      </c>
      <c r="P1384" s="14">
        <f>IFERROR(__xludf.DUMMYFUNCTION("""COMPUTED_VALUE"""),0.0611738656723338)</f>
        <v>0.06117386567</v>
      </c>
      <c r="Q1384" s="14">
        <f>IFERROR(__xludf.DUMMYFUNCTION("""COMPUTED_VALUE"""),0.812738501075292)</f>
        <v>0.8127385011</v>
      </c>
      <c r="R1384" s="14">
        <f>IFERROR(__xludf.DUMMYFUNCTION("""COMPUTED_VALUE"""),0.655384338318819)</f>
        <v>0.6553843383</v>
      </c>
      <c r="S1384" s="14">
        <f>IFERROR(__xludf.DUMMYFUNCTION("""COMPUTED_VALUE"""),0.167466422711161)</f>
        <v>0.1674664227</v>
      </c>
      <c r="T1384" s="14">
        <f>IFERROR(__xludf.DUMMYFUNCTION("""COMPUTED_VALUE"""),1.90126095229842)</f>
        <v>1.901260952</v>
      </c>
      <c r="U1384" s="14">
        <f>IFERROR(__xludf.DUMMYFUNCTION("""COMPUTED_VALUE"""),0.431781585912173)</f>
        <v>0.4317815859</v>
      </c>
      <c r="V1384" s="14">
        <f>IFERROR(__xludf.DUMMYFUNCTION("""COMPUTED_VALUE"""),0.93996025115321)</f>
        <v>0.9399602512</v>
      </c>
      <c r="W1384" s="14">
        <f>IFERROR(__xludf.DUMMYFUNCTION("""COMPUTED_VALUE"""),8.45156745746069)</f>
        <v>8.451567457</v>
      </c>
      <c r="X1384" s="14">
        <f>IFERROR(__xludf.DUMMYFUNCTION("""COMPUTED_VALUE"""),0.225215040781929)</f>
        <v>0.2252150408</v>
      </c>
      <c r="Y1384" s="14">
        <f>IFERROR(__xludf.DUMMYFUNCTION("""COMPUTED_VALUE"""),0.036541277730537)</f>
        <v>0.03654127773</v>
      </c>
      <c r="Z1384" s="14">
        <f>IFERROR(__xludf.DUMMYFUNCTION("""COMPUTED_VALUE"""),0.690783089725017)</f>
        <v>0.6907830897</v>
      </c>
      <c r="AA1384" s="14">
        <f>IFERROR(__xludf.DUMMYFUNCTION("""COMPUTED_VALUE"""),2.50667967607389)</f>
        <v>2.506679676</v>
      </c>
      <c r="AB1384" s="14">
        <f>IFERROR(__xludf.DUMMYFUNCTION("""COMPUTED_VALUE"""),3.09734517109038)</f>
        <v>3.097345171</v>
      </c>
      <c r="AC1384" s="14">
        <f>IFERROR(__xludf.DUMMYFUNCTION("""COMPUTED_VALUE"""),19.8071099050701)</f>
        <v>19.80710991</v>
      </c>
      <c r="AD1384" s="14">
        <f>IFERROR(__xludf.DUMMYFUNCTION("""COMPUTED_VALUE"""),0.952238229357538)</f>
        <v>0.9522382294</v>
      </c>
      <c r="AE1384" s="14">
        <f>IFERROR(__xludf.DUMMYFUNCTION("""COMPUTED_VALUE"""),0.456097459366779)</f>
        <v>0.4560974594</v>
      </c>
    </row>
    <row r="1385">
      <c r="A1385" s="11">
        <f>IFERROR(__xludf.DUMMYFUNCTION("""COMPUTED_VALUE"""),1993.0)</f>
        <v>1993</v>
      </c>
      <c r="B1385" s="11">
        <f>IFERROR(__xludf.DUMMYFUNCTION("""COMPUTED_VALUE"""),3.16597343099633)</f>
        <v>3.165973431</v>
      </c>
      <c r="C1385" s="11">
        <f>IFERROR(__xludf.DUMMYFUNCTION("""COMPUTED_VALUE"""),0.209342878025637)</f>
        <v>0.209342878</v>
      </c>
      <c r="D1385" s="14">
        <f>IFERROR(__xludf.DUMMYFUNCTION("""COMPUTED_VALUE"""),0.643942640264331)</f>
        <v>0.6439426403</v>
      </c>
      <c r="E1385" s="14">
        <f>IFERROR(__xludf.DUMMYFUNCTION("""COMPUTED_VALUE"""),1.84015665976705)</f>
        <v>1.84015666</v>
      </c>
      <c r="F1385" s="14">
        <f>IFERROR(__xludf.DUMMYFUNCTION("""COMPUTED_VALUE"""),0.219151962334486)</f>
        <v>0.2191519623</v>
      </c>
      <c r="G1385" s="14">
        <f>IFERROR(__xludf.DUMMYFUNCTION("""COMPUTED_VALUE"""),0.104770324407515)</f>
        <v>0.1047703244</v>
      </c>
      <c r="H1385" s="14">
        <f>IFERROR(__xludf.DUMMYFUNCTION("""COMPUTED_VALUE"""),0.0932472891264014)</f>
        <v>0.09324728913</v>
      </c>
      <c r="I1385" s="14">
        <f>IFERROR(__xludf.DUMMYFUNCTION("""COMPUTED_VALUE"""),2.30380461596371)</f>
        <v>2.303804616</v>
      </c>
      <c r="J1385" s="14">
        <f>IFERROR(__xludf.DUMMYFUNCTION("""COMPUTED_VALUE"""),2.73255268880991)</f>
        <v>2.732552689</v>
      </c>
      <c r="K1385" s="14">
        <f>IFERROR(__xludf.DUMMYFUNCTION("""COMPUTED_VALUE"""),0.331254655030411)</f>
        <v>0.331254655</v>
      </c>
      <c r="L1385" s="14">
        <f>IFERROR(__xludf.DUMMYFUNCTION("""COMPUTED_VALUE"""),0.711439135086646)</f>
        <v>0.7114391351</v>
      </c>
      <c r="M1385" s="14">
        <f>IFERROR(__xludf.DUMMYFUNCTION("""COMPUTED_VALUE"""),1.306294974074)</f>
        <v>1.306294974</v>
      </c>
      <c r="N1385" s="14">
        <f>IFERROR(__xludf.DUMMYFUNCTION("""COMPUTED_VALUE"""),6.17689259388084)</f>
        <v>6.176892594</v>
      </c>
      <c r="O1385" s="14">
        <f>IFERROR(__xludf.DUMMYFUNCTION("""COMPUTED_VALUE"""),0.17102538319659)</f>
        <v>0.1710253832</v>
      </c>
      <c r="P1385" s="14">
        <f>IFERROR(__xludf.DUMMYFUNCTION("""COMPUTED_VALUE"""),0.101625766766986)</f>
        <v>0.1016257668</v>
      </c>
      <c r="Q1385" s="14">
        <f>IFERROR(__xludf.DUMMYFUNCTION("""COMPUTED_VALUE"""),0.822244840205619)</f>
        <v>0.8222448402</v>
      </c>
      <c r="R1385" s="14">
        <f>IFERROR(__xludf.DUMMYFUNCTION("""COMPUTED_VALUE"""),0.707114546920796)</f>
        <v>0.7071145469</v>
      </c>
      <c r="S1385" s="14">
        <f>IFERROR(__xludf.DUMMYFUNCTION("""COMPUTED_VALUE"""),0.157221475826801)</f>
        <v>0.1572214758</v>
      </c>
      <c r="T1385" s="14">
        <f>IFERROR(__xludf.DUMMYFUNCTION("""COMPUTED_VALUE"""),1.97416028583248)</f>
        <v>1.974160286</v>
      </c>
      <c r="U1385" s="14">
        <f>IFERROR(__xludf.DUMMYFUNCTION("""COMPUTED_VALUE"""),0.487659055249201)</f>
        <v>0.4876590552</v>
      </c>
      <c r="V1385" s="14">
        <f>IFERROR(__xludf.DUMMYFUNCTION("""COMPUTED_VALUE"""),1.06140263696788)</f>
        <v>1.061402637</v>
      </c>
      <c r="W1385" s="14">
        <f>IFERROR(__xludf.DUMMYFUNCTION("""COMPUTED_VALUE"""),7.88298437759021)</f>
        <v>7.882984378</v>
      </c>
      <c r="X1385" s="14">
        <f>IFERROR(__xludf.DUMMYFUNCTION("""COMPUTED_VALUE"""),0.326075089917015)</f>
        <v>0.3260750899</v>
      </c>
      <c r="Y1385" s="14">
        <f>IFERROR(__xludf.DUMMYFUNCTION("""COMPUTED_VALUE"""),0.200275555257039)</f>
        <v>0.2002755553</v>
      </c>
      <c r="Z1385" s="14">
        <f>IFERROR(__xludf.DUMMYFUNCTION("""COMPUTED_VALUE"""),0.700132579264331)</f>
        <v>0.7001325793</v>
      </c>
      <c r="AA1385" s="14">
        <f>IFERROR(__xludf.DUMMYFUNCTION("""COMPUTED_VALUE"""),1.84876457080704)</f>
        <v>1.848764571</v>
      </c>
      <c r="AB1385" s="14">
        <f>IFERROR(__xludf.DUMMYFUNCTION("""COMPUTED_VALUE"""),3.39926442779479)</f>
        <v>3.399264428</v>
      </c>
      <c r="AC1385" s="14">
        <f>IFERROR(__xludf.DUMMYFUNCTION("""COMPUTED_VALUE"""),20.2876374854089)</f>
        <v>20.28763749</v>
      </c>
      <c r="AD1385" s="14">
        <f>IFERROR(__xludf.DUMMYFUNCTION("""COMPUTED_VALUE"""),1.00343960095046)</f>
        <v>1.003439601</v>
      </c>
      <c r="AE1385" s="14">
        <f>IFERROR(__xludf.DUMMYFUNCTION("""COMPUTED_VALUE"""),0.606502059252652)</f>
        <v>0.6065020593</v>
      </c>
    </row>
    <row r="1386">
      <c r="A1386" s="11">
        <f>IFERROR(__xludf.DUMMYFUNCTION("""COMPUTED_VALUE"""),1994.0)</f>
        <v>1994</v>
      </c>
      <c r="B1386" s="11">
        <f>IFERROR(__xludf.DUMMYFUNCTION("""COMPUTED_VALUE"""),3.25816757581662)</f>
        <v>3.258167576</v>
      </c>
      <c r="C1386" s="11">
        <f>IFERROR(__xludf.DUMMYFUNCTION("""COMPUTED_VALUE"""),0.212279608725784)</f>
        <v>0.2122796087</v>
      </c>
      <c r="D1386" s="14">
        <f>IFERROR(__xludf.DUMMYFUNCTION("""COMPUTED_VALUE"""),0.669167073610243)</f>
        <v>0.6691670736</v>
      </c>
      <c r="E1386" s="14">
        <f>IFERROR(__xludf.DUMMYFUNCTION("""COMPUTED_VALUE"""),1.90841786593099)</f>
        <v>1.908417866</v>
      </c>
      <c r="F1386" s="14">
        <f>IFERROR(__xludf.DUMMYFUNCTION("""COMPUTED_VALUE"""),0.233262122327226)</f>
        <v>0.2332621223</v>
      </c>
      <c r="G1386" s="14">
        <f>IFERROR(__xludf.DUMMYFUNCTION("""COMPUTED_VALUE"""),0.0639137832134333)</f>
        <v>0.06391378321</v>
      </c>
      <c r="H1386" s="14">
        <f>IFERROR(__xludf.DUMMYFUNCTION("""COMPUTED_VALUE"""),0.106448966459995)</f>
        <v>0.1064489665</v>
      </c>
      <c r="I1386" s="14">
        <f>IFERROR(__xludf.DUMMYFUNCTION("""COMPUTED_VALUE"""),2.30711673576613)</f>
        <v>2.307116736</v>
      </c>
      <c r="J1386" s="14">
        <f>IFERROR(__xludf.DUMMYFUNCTION("""COMPUTED_VALUE"""),2.77175672845931)</f>
        <v>2.771756728</v>
      </c>
      <c r="K1386" s="14">
        <f>IFERROR(__xludf.DUMMYFUNCTION("""COMPUTED_VALUE"""),0.32953174289823)</f>
        <v>0.3295317429</v>
      </c>
      <c r="L1386" s="14">
        <f>IFERROR(__xludf.DUMMYFUNCTION("""COMPUTED_VALUE"""),0.715315897214327)</f>
        <v>0.7153158972</v>
      </c>
      <c r="M1386" s="14">
        <f>IFERROR(__xludf.DUMMYFUNCTION("""COMPUTED_VALUE"""),0.750956239607822)</f>
        <v>0.7509562396</v>
      </c>
      <c r="N1386" s="14">
        <f>IFERROR(__xludf.DUMMYFUNCTION("""COMPUTED_VALUE"""),6.30545839516208)</f>
        <v>6.305458395</v>
      </c>
      <c r="O1386" s="14">
        <f>IFERROR(__xludf.DUMMYFUNCTION("""COMPUTED_VALUE"""),0.0917204744203493)</f>
        <v>0.09172047442</v>
      </c>
      <c r="P1386" s="14">
        <f>IFERROR(__xludf.DUMMYFUNCTION("""COMPUTED_VALUE"""),0.158952398092863)</f>
        <v>0.1589523981</v>
      </c>
      <c r="Q1386" s="14">
        <f>IFERROR(__xludf.DUMMYFUNCTION("""COMPUTED_VALUE"""),0.957273374773233)</f>
        <v>0.9572733748</v>
      </c>
      <c r="R1386" s="14">
        <f>IFERROR(__xludf.DUMMYFUNCTION("""COMPUTED_VALUE"""),0.740174083579329)</f>
        <v>0.7401740836</v>
      </c>
      <c r="S1386" s="14">
        <f>IFERROR(__xludf.DUMMYFUNCTION("""COMPUTED_VALUE"""),0.146446787665003)</f>
        <v>0.1464467877</v>
      </c>
      <c r="T1386" s="14">
        <f>IFERROR(__xludf.DUMMYFUNCTION("""COMPUTED_VALUE"""),1.99666615605435)</f>
        <v>1.996666156</v>
      </c>
      <c r="U1386" s="14">
        <f>IFERROR(__xludf.DUMMYFUNCTION("""COMPUTED_VALUE"""),0.444845828571874)</f>
        <v>0.4448458286</v>
      </c>
      <c r="V1386" s="14">
        <f>IFERROR(__xludf.DUMMYFUNCTION("""COMPUTED_VALUE"""),0.996720333249369)</f>
        <v>0.9967203332</v>
      </c>
      <c r="W1386" s="14">
        <f>IFERROR(__xludf.DUMMYFUNCTION("""COMPUTED_VALUE"""),8.23245015586558)</f>
        <v>8.232450156</v>
      </c>
      <c r="X1386" s="14">
        <f>IFERROR(__xludf.DUMMYFUNCTION("""COMPUTED_VALUE"""),0.343126672345277)</f>
        <v>0.3431266723</v>
      </c>
      <c r="Y1386" s="14">
        <f>IFERROR(__xludf.DUMMYFUNCTION("""COMPUTED_VALUE"""),0.238631571118758)</f>
        <v>0.2386315711</v>
      </c>
      <c r="Z1386" s="14">
        <f>IFERROR(__xludf.DUMMYFUNCTION("""COMPUTED_VALUE"""),0.724323517882101)</f>
        <v>0.7243235179</v>
      </c>
      <c r="AA1386" s="14">
        <f>IFERROR(__xludf.DUMMYFUNCTION("""COMPUTED_VALUE"""),1.75322097259033)</f>
        <v>1.753220973</v>
      </c>
      <c r="AB1386" s="14">
        <f>IFERROR(__xludf.DUMMYFUNCTION("""COMPUTED_VALUE"""),2.74534750702428)</f>
        <v>2.745347507</v>
      </c>
      <c r="AC1386" s="14">
        <f>IFERROR(__xludf.DUMMYFUNCTION("""COMPUTED_VALUE"""),21.0238472366766)</f>
        <v>21.02384724</v>
      </c>
      <c r="AD1386" s="14">
        <f>IFERROR(__xludf.DUMMYFUNCTION("""COMPUTED_VALUE"""),1.05078450886552)</f>
        <v>1.050784509</v>
      </c>
      <c r="AE1386" s="14">
        <f>IFERROR(__xludf.DUMMYFUNCTION("""COMPUTED_VALUE"""),0.626202936349295)</f>
        <v>0.6262029363</v>
      </c>
    </row>
    <row r="1387">
      <c r="A1387" s="11">
        <f>IFERROR(__xludf.DUMMYFUNCTION("""COMPUTED_VALUE"""),1995.0)</f>
        <v>1995</v>
      </c>
      <c r="B1387" s="11">
        <f>IFERROR(__xludf.DUMMYFUNCTION("""COMPUTED_VALUE"""),3.09773081047685)</f>
        <v>3.09773081</v>
      </c>
      <c r="C1387" s="11">
        <f>IFERROR(__xludf.DUMMYFUNCTION("""COMPUTED_VALUE"""),0.241221641919154)</f>
        <v>0.2412216419</v>
      </c>
      <c r="D1387" s="14">
        <f>IFERROR(__xludf.DUMMYFUNCTION("""COMPUTED_VALUE"""),0.739539621787494)</f>
        <v>0.7395396218</v>
      </c>
      <c r="E1387" s="14">
        <f>IFERROR(__xludf.DUMMYFUNCTION("""COMPUTED_VALUE"""),1.87417843888791)</f>
        <v>1.874178439</v>
      </c>
      <c r="F1387" s="14">
        <f>IFERROR(__xludf.DUMMYFUNCTION("""COMPUTED_VALUE"""),0.228699739460934)</f>
        <v>0.2286997395</v>
      </c>
      <c r="G1387" s="14">
        <f>IFERROR(__xludf.DUMMYFUNCTION("""COMPUTED_VALUE"""),0.0795793949700429)</f>
        <v>0.07957939497</v>
      </c>
      <c r="H1387" s="14">
        <f>IFERROR(__xludf.DUMMYFUNCTION("""COMPUTED_VALUE"""),0.118614921705679)</f>
        <v>0.1186149217</v>
      </c>
      <c r="I1387" s="14">
        <f>IFERROR(__xludf.DUMMYFUNCTION("""COMPUTED_VALUE"""),2.36821747610952)</f>
        <v>2.368217476</v>
      </c>
      <c r="J1387" s="14">
        <f>IFERROR(__xludf.DUMMYFUNCTION("""COMPUTED_VALUE"""),2.79524259298846)</f>
        <v>2.795242593</v>
      </c>
      <c r="K1387" s="14">
        <f>IFERROR(__xludf.DUMMYFUNCTION("""COMPUTED_VALUE"""),0.328220390772637)</f>
        <v>0.3282203908</v>
      </c>
      <c r="L1387" s="14">
        <f>IFERROR(__xludf.DUMMYFUNCTION("""COMPUTED_VALUE"""),0.842992727587051)</f>
        <v>0.8429927276</v>
      </c>
      <c r="M1387" s="14">
        <f>IFERROR(__xludf.DUMMYFUNCTION("""COMPUTED_VALUE"""),0.570232412038613)</f>
        <v>0.570232412</v>
      </c>
      <c r="N1387" s="14">
        <f>IFERROR(__xludf.DUMMYFUNCTION("""COMPUTED_VALUE"""),6.24909121715093)</f>
        <v>6.249091217</v>
      </c>
      <c r="O1387" s="14">
        <f>IFERROR(__xludf.DUMMYFUNCTION("""COMPUTED_VALUE"""),0.100706154035685)</f>
        <v>0.100706154</v>
      </c>
      <c r="P1387" s="14">
        <f>IFERROR(__xludf.DUMMYFUNCTION("""COMPUTED_VALUE"""),0.15817665943302)</f>
        <v>0.1581766594</v>
      </c>
      <c r="Q1387" s="14">
        <f>IFERROR(__xludf.DUMMYFUNCTION("""COMPUTED_VALUE"""),1.01525021903544)</f>
        <v>1.015250219</v>
      </c>
      <c r="R1387" s="14">
        <f>IFERROR(__xludf.DUMMYFUNCTION("""COMPUTED_VALUE"""),0.783142930564557)</f>
        <v>0.7831429306</v>
      </c>
      <c r="S1387" s="14">
        <f>IFERROR(__xludf.DUMMYFUNCTION("""COMPUTED_VALUE"""),0.144242126316961)</f>
        <v>0.1442421263</v>
      </c>
      <c r="T1387" s="14">
        <f>IFERROR(__xludf.DUMMYFUNCTION("""COMPUTED_VALUE"""),2.03905071098254)</f>
        <v>2.039050711</v>
      </c>
      <c r="U1387" s="14">
        <f>IFERROR(__xludf.DUMMYFUNCTION("""COMPUTED_VALUE"""),0.601576145350712)</f>
        <v>0.6015761454</v>
      </c>
      <c r="V1387" s="14">
        <f>IFERROR(__xludf.DUMMYFUNCTION("""COMPUTED_VALUE"""),0.894869647537241)</f>
        <v>0.8948696475</v>
      </c>
      <c r="W1387" s="14">
        <f>IFERROR(__xludf.DUMMYFUNCTION("""COMPUTED_VALUE"""),8.37800646322158)</f>
        <v>8.378006463</v>
      </c>
      <c r="X1387" s="14">
        <f>IFERROR(__xludf.DUMMYFUNCTION("""COMPUTED_VALUE"""),0.328081405566926)</f>
        <v>0.3280814056</v>
      </c>
      <c r="Y1387" s="14">
        <f>IFERROR(__xludf.DUMMYFUNCTION("""COMPUTED_VALUE"""),0.225983079012911)</f>
        <v>0.225983079</v>
      </c>
      <c r="Z1387" s="14">
        <f>IFERROR(__xludf.DUMMYFUNCTION("""COMPUTED_VALUE"""),0.635012622981503)</f>
        <v>0.635012623</v>
      </c>
      <c r="AA1387" s="14">
        <f>IFERROR(__xludf.DUMMYFUNCTION("""COMPUTED_VALUE"""),2.24040741714474)</f>
        <v>2.240407417</v>
      </c>
      <c r="AB1387" s="14">
        <f>IFERROR(__xludf.DUMMYFUNCTION("""COMPUTED_VALUE"""),2.75513309726718)</f>
        <v>2.755133097</v>
      </c>
      <c r="AC1387" s="14">
        <f>IFERROR(__xludf.DUMMYFUNCTION("""COMPUTED_VALUE"""),21.1998568683819)</f>
        <v>21.19985687</v>
      </c>
      <c r="AD1387" s="14">
        <f>IFERROR(__xludf.DUMMYFUNCTION("""COMPUTED_VALUE"""),1.0749575853052)</f>
        <v>1.074957585</v>
      </c>
      <c r="AE1387" s="14">
        <f>IFERROR(__xludf.DUMMYFUNCTION("""COMPUTED_VALUE"""),0.540555264751392)</f>
        <v>0.5405552648</v>
      </c>
    </row>
    <row r="1388">
      <c r="A1388" s="11">
        <f>IFERROR(__xludf.DUMMYFUNCTION("""COMPUTED_VALUE"""),1996.0)</f>
        <v>1996</v>
      </c>
      <c r="B1388" s="11">
        <f>IFERROR(__xludf.DUMMYFUNCTION("""COMPUTED_VALUE"""),2.93903527425896)</f>
        <v>2.939035274</v>
      </c>
      <c r="C1388" s="11">
        <f>IFERROR(__xludf.DUMMYFUNCTION("""COMPUTED_VALUE"""),0.239706028849185)</f>
        <v>0.2397060288</v>
      </c>
      <c r="D1388" s="14">
        <f>IFERROR(__xludf.DUMMYFUNCTION("""COMPUTED_VALUE"""),0.645259978778878)</f>
        <v>0.6452599788</v>
      </c>
      <c r="E1388" s="14">
        <f>IFERROR(__xludf.DUMMYFUNCTION("""COMPUTED_VALUE"""),1.77634680551874)</f>
        <v>1.776346806</v>
      </c>
      <c r="F1388" s="14">
        <f>IFERROR(__xludf.DUMMYFUNCTION("""COMPUTED_VALUE"""),0.195548711021082)</f>
        <v>0.195548711</v>
      </c>
      <c r="G1388" s="14">
        <f>IFERROR(__xludf.DUMMYFUNCTION("""COMPUTED_VALUE"""),0.0595519704441964)</f>
        <v>0.05955197044</v>
      </c>
      <c r="H1388" s="14">
        <f>IFERROR(__xludf.DUMMYFUNCTION("""COMPUTED_VALUE"""),0.124231260659833)</f>
        <v>0.1242312607</v>
      </c>
      <c r="I1388" s="14">
        <f>IFERROR(__xludf.DUMMYFUNCTION("""COMPUTED_VALUE"""),2.18683466977385)</f>
        <v>2.18683467</v>
      </c>
      <c r="J1388" s="14">
        <f>IFERROR(__xludf.DUMMYFUNCTION("""COMPUTED_VALUE"""),2.67072795570632)</f>
        <v>2.670727956</v>
      </c>
      <c r="K1388" s="14">
        <f>IFERROR(__xludf.DUMMYFUNCTION("""COMPUTED_VALUE"""),0.313730528474772)</f>
        <v>0.3137305285</v>
      </c>
      <c r="L1388" s="14">
        <f>IFERROR(__xludf.DUMMYFUNCTION("""COMPUTED_VALUE"""),0.832353214639969)</f>
        <v>0.8323532146</v>
      </c>
      <c r="M1388" s="14">
        <f>IFERROR(__xludf.DUMMYFUNCTION("""COMPUTED_VALUE"""),0.378566490850541)</f>
        <v>0.3785664909</v>
      </c>
      <c r="N1388" s="14">
        <f>IFERROR(__xludf.DUMMYFUNCTION("""COMPUTED_VALUE"""),5.87328853990028)</f>
        <v>5.87328854</v>
      </c>
      <c r="O1388" s="14">
        <f>IFERROR(__xludf.DUMMYFUNCTION("""COMPUTED_VALUE"""),0.073356219170182)</f>
        <v>0.07335621917</v>
      </c>
      <c r="P1388" s="14">
        <f>IFERROR(__xludf.DUMMYFUNCTION("""COMPUTED_VALUE"""),0.11525173750511)</f>
        <v>0.1152517375</v>
      </c>
      <c r="Q1388" s="14">
        <f>IFERROR(__xludf.DUMMYFUNCTION("""COMPUTED_VALUE"""),0.88158821922231)</f>
        <v>0.8815882192</v>
      </c>
      <c r="R1388" s="14">
        <f>IFERROR(__xludf.DUMMYFUNCTION("""COMPUTED_VALUE"""),0.747418595867468)</f>
        <v>0.7474185959</v>
      </c>
      <c r="S1388" s="14">
        <f>IFERROR(__xludf.DUMMYFUNCTION("""COMPUTED_VALUE"""),0.129580293588731)</f>
        <v>0.1295802936</v>
      </c>
      <c r="T1388" s="14">
        <f>IFERROR(__xludf.DUMMYFUNCTION("""COMPUTED_VALUE"""),1.95249260059647)</f>
        <v>1.952492601</v>
      </c>
      <c r="U1388" s="14">
        <f>IFERROR(__xludf.DUMMYFUNCTION("""COMPUTED_VALUE"""),0.615736993354515)</f>
        <v>0.6157369934</v>
      </c>
      <c r="V1388" s="14">
        <f>IFERROR(__xludf.DUMMYFUNCTION("""COMPUTED_VALUE"""),0.805970978704528)</f>
        <v>0.8059709787</v>
      </c>
      <c r="W1388" s="14">
        <f>IFERROR(__xludf.DUMMYFUNCTION("""COMPUTED_VALUE"""),8.0038037992448)</f>
        <v>8.003803799</v>
      </c>
      <c r="X1388" s="14">
        <f>IFERROR(__xludf.DUMMYFUNCTION("""COMPUTED_VALUE"""),0.309079027213115)</f>
        <v>0.3090790272</v>
      </c>
      <c r="Y1388" s="14">
        <f>IFERROR(__xludf.DUMMYFUNCTION("""COMPUTED_VALUE"""),0.264464537027145)</f>
        <v>0.264464537</v>
      </c>
      <c r="Z1388" s="14">
        <f>IFERROR(__xludf.DUMMYFUNCTION("""COMPUTED_VALUE"""),0.655766722681533)</f>
        <v>0.6557667227</v>
      </c>
      <c r="AA1388" s="14">
        <f>IFERROR(__xludf.DUMMYFUNCTION("""COMPUTED_VALUE"""),2.2089258211542)</f>
        <v>2.208925821</v>
      </c>
      <c r="AB1388" s="14">
        <f>IFERROR(__xludf.DUMMYFUNCTION("""COMPUTED_VALUE"""),2.34829520768146)</f>
        <v>2.348295208</v>
      </c>
      <c r="AC1388" s="14">
        <f>IFERROR(__xludf.DUMMYFUNCTION("""COMPUTED_VALUE"""),20.1142902620518)</f>
        <v>20.11429026</v>
      </c>
      <c r="AD1388" s="14">
        <f>IFERROR(__xludf.DUMMYFUNCTION("""COMPUTED_VALUE"""),0.912004506648916)</f>
        <v>0.9120045066</v>
      </c>
      <c r="AE1388" s="14">
        <f>IFERROR(__xludf.DUMMYFUNCTION("""COMPUTED_VALUE"""),0.507466889832437)</f>
        <v>0.5074668898</v>
      </c>
    </row>
    <row r="1389">
      <c r="A1389" s="11">
        <f>IFERROR(__xludf.DUMMYFUNCTION("""COMPUTED_VALUE"""),1997.0)</f>
        <v>1997</v>
      </c>
      <c r="B1389" s="11">
        <f>IFERROR(__xludf.DUMMYFUNCTION("""COMPUTED_VALUE"""),2.78113446506157)</f>
        <v>2.781134465</v>
      </c>
      <c r="C1389" s="11">
        <f>IFERROR(__xludf.DUMMYFUNCTION("""COMPUTED_VALUE"""),0.256295957508114)</f>
        <v>0.2562959575</v>
      </c>
      <c r="D1389" s="14">
        <f>IFERROR(__xludf.DUMMYFUNCTION("""COMPUTED_VALUE"""),0.586862968097555)</f>
        <v>0.5868629681</v>
      </c>
      <c r="E1389" s="14">
        <f>IFERROR(__xludf.DUMMYFUNCTION("""COMPUTED_VALUE"""),1.7689563234278)</f>
        <v>1.768956323</v>
      </c>
      <c r="F1389" s="14">
        <f>IFERROR(__xludf.DUMMYFUNCTION("""COMPUTED_VALUE"""),0.217694301264435)</f>
        <v>0.2176943013</v>
      </c>
      <c r="G1389" s="14">
        <f>IFERROR(__xludf.DUMMYFUNCTION("""COMPUTED_VALUE"""),0.0953916899035385)</f>
        <v>0.0953916899</v>
      </c>
      <c r="H1389" s="14">
        <f>IFERROR(__xludf.DUMMYFUNCTION("""COMPUTED_VALUE"""),0.120708548160231)</f>
        <v>0.1207085482</v>
      </c>
      <c r="I1389" s="14">
        <f>IFERROR(__xludf.DUMMYFUNCTION("""COMPUTED_VALUE"""),2.12309162875838)</f>
        <v>2.123091629</v>
      </c>
      <c r="J1389" s="14">
        <f>IFERROR(__xludf.DUMMYFUNCTION("""COMPUTED_VALUE"""),2.84150035959537)</f>
        <v>2.84150036</v>
      </c>
      <c r="K1389" s="14">
        <f>IFERROR(__xludf.DUMMYFUNCTION("""COMPUTED_VALUE"""),0.327149911627445)</f>
        <v>0.3271499116</v>
      </c>
      <c r="L1389" s="14">
        <f>IFERROR(__xludf.DUMMYFUNCTION("""COMPUTED_VALUE"""),0.807516147356856)</f>
        <v>0.8075161474</v>
      </c>
      <c r="M1389" s="14">
        <f>IFERROR(__xludf.DUMMYFUNCTION("""COMPUTED_VALUE"""),0.323512100286619)</f>
        <v>0.3235121003</v>
      </c>
      <c r="N1389" s="14">
        <f>IFERROR(__xludf.DUMMYFUNCTION("""COMPUTED_VALUE"""),5.65858227739606)</f>
        <v>5.658582277</v>
      </c>
      <c r="O1389" s="14">
        <f>IFERROR(__xludf.DUMMYFUNCTION("""COMPUTED_VALUE"""),0.0725810296430151)</f>
        <v>0.07258102964</v>
      </c>
      <c r="P1389" s="14">
        <f>IFERROR(__xludf.DUMMYFUNCTION("""COMPUTED_VALUE"""),0.121581716910437)</f>
        <v>0.1215817169</v>
      </c>
      <c r="Q1389" s="14">
        <f>IFERROR(__xludf.DUMMYFUNCTION("""COMPUTED_VALUE"""),0.823126523562937)</f>
        <v>0.8231265236</v>
      </c>
      <c r="R1389" s="14">
        <f>IFERROR(__xludf.DUMMYFUNCTION("""COMPUTED_VALUE"""),0.754356183576106)</f>
        <v>0.7543561836</v>
      </c>
      <c r="S1389" s="14">
        <f>IFERROR(__xludf.DUMMYFUNCTION("""COMPUTED_VALUE"""),0.121805642887301)</f>
        <v>0.1218056429</v>
      </c>
      <c r="T1389" s="14">
        <f>IFERROR(__xludf.DUMMYFUNCTION("""COMPUTED_VALUE"""),1.93280721491547)</f>
        <v>1.932807215</v>
      </c>
      <c r="U1389" s="14">
        <f>IFERROR(__xludf.DUMMYFUNCTION("""COMPUTED_VALUE"""),0.336741702114758)</f>
        <v>0.3367417021</v>
      </c>
      <c r="V1389" s="14">
        <f>IFERROR(__xludf.DUMMYFUNCTION("""COMPUTED_VALUE"""),0.764905921837046)</f>
        <v>0.7649059218</v>
      </c>
      <c r="W1389" s="14">
        <f>IFERROR(__xludf.DUMMYFUNCTION("""COMPUTED_VALUE"""),7.50334502343186)</f>
        <v>7.503345023</v>
      </c>
      <c r="X1389" s="14">
        <f>IFERROR(__xludf.DUMMYFUNCTION("""COMPUTED_VALUE"""),0.30356232743696)</f>
        <v>0.3035623274</v>
      </c>
      <c r="Y1389" s="14">
        <f>IFERROR(__xludf.DUMMYFUNCTION("""COMPUTED_VALUE"""),0.274759928380136)</f>
        <v>0.2747599284</v>
      </c>
      <c r="Z1389" s="14">
        <f>IFERROR(__xludf.DUMMYFUNCTION("""COMPUTED_VALUE"""),0.793227832441716)</f>
        <v>0.7932278324</v>
      </c>
      <c r="AA1389" s="14">
        <f>IFERROR(__xludf.DUMMYFUNCTION("""COMPUTED_VALUE"""),2.67296540068131)</f>
        <v>2.672965401</v>
      </c>
      <c r="AB1389" s="14">
        <f>IFERROR(__xludf.DUMMYFUNCTION("""COMPUTED_VALUE"""),2.20044067126459)</f>
        <v>2.200440671</v>
      </c>
      <c r="AC1389" s="14">
        <f>IFERROR(__xludf.DUMMYFUNCTION("""COMPUTED_VALUE"""),19.8247572105816)</f>
        <v>19.82475721</v>
      </c>
      <c r="AD1389" s="14">
        <f>IFERROR(__xludf.DUMMYFUNCTION("""COMPUTED_VALUE"""),1.06865182187969)</f>
        <v>1.068651822</v>
      </c>
      <c r="AE1389" s="14">
        <f>IFERROR(__xludf.DUMMYFUNCTION("""COMPUTED_VALUE"""),0.562512889176909)</f>
        <v>0.5625128892</v>
      </c>
    </row>
    <row r="1390">
      <c r="A1390" s="11">
        <f>IFERROR(__xludf.DUMMYFUNCTION("""COMPUTED_VALUE"""),1998.0)</f>
        <v>1998</v>
      </c>
      <c r="B1390" s="11">
        <f>IFERROR(__xludf.DUMMYFUNCTION("""COMPUTED_VALUE"""),2.92184875982747)</f>
        <v>2.92184876</v>
      </c>
      <c r="C1390" s="11">
        <f>IFERROR(__xludf.DUMMYFUNCTION("""COMPUTED_VALUE"""),0.239286873114265)</f>
        <v>0.2392868731</v>
      </c>
      <c r="D1390" s="14">
        <f>IFERROR(__xludf.DUMMYFUNCTION("""COMPUTED_VALUE"""),0.574266012706237)</f>
        <v>0.5742660127</v>
      </c>
      <c r="E1390" s="14">
        <f>IFERROR(__xludf.DUMMYFUNCTION("""COMPUTED_VALUE"""),1.86688879906471)</f>
        <v>1.866888799</v>
      </c>
      <c r="F1390" s="14">
        <f>IFERROR(__xludf.DUMMYFUNCTION("""COMPUTED_VALUE"""),0.228857782203423)</f>
        <v>0.2288577822</v>
      </c>
      <c r="G1390" s="14">
        <f>IFERROR(__xludf.DUMMYFUNCTION("""COMPUTED_VALUE"""),0.0715880786969944)</f>
        <v>0.0715880787</v>
      </c>
      <c r="H1390" s="14">
        <f>IFERROR(__xludf.DUMMYFUNCTION("""COMPUTED_VALUE"""),0.162568919364366)</f>
        <v>0.1625689194</v>
      </c>
      <c r="I1390" s="14">
        <f>IFERROR(__xludf.DUMMYFUNCTION("""COMPUTED_VALUE"""),2.19455858875018)</f>
        <v>2.194558589</v>
      </c>
      <c r="J1390" s="14">
        <f>IFERROR(__xludf.DUMMYFUNCTION("""COMPUTED_VALUE"""),2.84455633157499)</f>
        <v>2.844556332</v>
      </c>
      <c r="K1390" s="14">
        <f>IFERROR(__xludf.DUMMYFUNCTION("""COMPUTED_VALUE"""),0.317090972029677)</f>
        <v>0.317090972</v>
      </c>
      <c r="L1390" s="14">
        <f>IFERROR(__xludf.DUMMYFUNCTION("""COMPUTED_VALUE"""),0.845364376467524)</f>
        <v>0.8453643765</v>
      </c>
      <c r="M1390" s="14">
        <f>IFERROR(__xludf.DUMMYFUNCTION("""COMPUTED_VALUE"""),0.305593350656601)</f>
        <v>0.3055933507</v>
      </c>
      <c r="N1390" s="14">
        <f>IFERROR(__xludf.DUMMYFUNCTION("""COMPUTED_VALUE"""),5.89920205341433)</f>
        <v>5.899202053</v>
      </c>
      <c r="O1390" s="14">
        <f>IFERROR(__xludf.DUMMYFUNCTION("""COMPUTED_VALUE"""),0.0747444485378058)</f>
        <v>0.07474444854</v>
      </c>
      <c r="P1390" s="14">
        <f>IFERROR(__xludf.DUMMYFUNCTION("""COMPUTED_VALUE"""),0.119832970343052)</f>
        <v>0.1198329703</v>
      </c>
      <c r="Q1390" s="14">
        <f>IFERROR(__xludf.DUMMYFUNCTION("""COMPUTED_VALUE"""),0.77031101519332)</f>
        <v>0.7703110152</v>
      </c>
      <c r="R1390" s="14">
        <f>IFERROR(__xludf.DUMMYFUNCTION("""COMPUTED_VALUE"""),0.782794704836674)</f>
        <v>0.7827947048</v>
      </c>
      <c r="S1390" s="14">
        <f>IFERROR(__xludf.DUMMYFUNCTION("""COMPUTED_VALUE"""),0.114424892435931)</f>
        <v>0.1144248924</v>
      </c>
      <c r="T1390" s="14">
        <f>IFERROR(__xludf.DUMMYFUNCTION("""COMPUTED_VALUE"""),1.95627672654288)</f>
        <v>1.956276727</v>
      </c>
      <c r="U1390" s="14">
        <f>IFERROR(__xludf.DUMMYFUNCTION("""COMPUTED_VALUE"""),0.336743060587335)</f>
        <v>0.3367430606</v>
      </c>
      <c r="V1390" s="14">
        <f>IFERROR(__xludf.DUMMYFUNCTION("""COMPUTED_VALUE"""),0.862372523629253)</f>
        <v>0.8623725236</v>
      </c>
      <c r="W1390" s="14">
        <f>IFERROR(__xludf.DUMMYFUNCTION("""COMPUTED_VALUE"""),7.45287674018884)</f>
        <v>7.45287674</v>
      </c>
      <c r="X1390" s="14">
        <f>IFERROR(__xludf.DUMMYFUNCTION("""COMPUTED_VALUE"""),0.336296205596558)</f>
        <v>0.3362962056</v>
      </c>
      <c r="Y1390" s="14">
        <f>IFERROR(__xludf.DUMMYFUNCTION("""COMPUTED_VALUE"""),0.289838784022886)</f>
        <v>0.289838784</v>
      </c>
      <c r="Z1390" s="14">
        <f>IFERROR(__xludf.DUMMYFUNCTION("""COMPUTED_VALUE"""),0.883912945495253)</f>
        <v>0.8839129455</v>
      </c>
      <c r="AA1390" s="14">
        <f>IFERROR(__xludf.DUMMYFUNCTION("""COMPUTED_VALUE"""),2.69228009509898)</f>
        <v>2.692280095</v>
      </c>
      <c r="AB1390" s="14">
        <f>IFERROR(__xludf.DUMMYFUNCTION("""COMPUTED_VALUE"""),2.23891858547082)</f>
        <v>2.238918585</v>
      </c>
      <c r="AC1390" s="14">
        <f>IFERROR(__xludf.DUMMYFUNCTION("""COMPUTED_VALUE"""),20.129554203663)</f>
        <v>20.1295542</v>
      </c>
      <c r="AD1390" s="14">
        <f>IFERROR(__xludf.DUMMYFUNCTION("""COMPUTED_VALUE"""),1.11395344139552)</f>
        <v>1.113953441</v>
      </c>
      <c r="AE1390" s="14">
        <f>IFERROR(__xludf.DUMMYFUNCTION("""COMPUTED_VALUE"""),0.600827539286437)</f>
        <v>0.6008275393</v>
      </c>
    </row>
    <row r="1391">
      <c r="A1391" s="11">
        <f>IFERROR(__xludf.DUMMYFUNCTION("""COMPUTED_VALUE"""),1999.0)</f>
        <v>1999</v>
      </c>
      <c r="B1391" s="11">
        <f>IFERROR(__xludf.DUMMYFUNCTION("""COMPUTED_VALUE"""),3.46232922435443)</f>
        <v>3.462329224</v>
      </c>
      <c r="C1391" s="11">
        <f>IFERROR(__xludf.DUMMYFUNCTION("""COMPUTED_VALUE"""),0.244780101479379)</f>
        <v>0.2447801015</v>
      </c>
      <c r="D1391" s="14">
        <f>IFERROR(__xludf.DUMMYFUNCTION("""COMPUTED_VALUE"""),0.670490102112332)</f>
        <v>0.6704901021</v>
      </c>
      <c r="E1391" s="14">
        <f>IFERROR(__xludf.DUMMYFUNCTION("""COMPUTED_VALUE"""),2.11515621841522)</f>
        <v>2.115156218</v>
      </c>
      <c r="F1391" s="14">
        <f>IFERROR(__xludf.DUMMYFUNCTION("""COMPUTED_VALUE"""),0.223492326923442)</f>
        <v>0.2234923269</v>
      </c>
      <c r="G1391" s="14">
        <f>IFERROR(__xludf.DUMMYFUNCTION("""COMPUTED_VALUE"""),0.0693510948451243)</f>
        <v>0.06935109485</v>
      </c>
      <c r="H1391" s="14">
        <f>IFERROR(__xludf.DUMMYFUNCTION("""COMPUTED_VALUE"""),0.183443425836344)</f>
        <v>0.1834434258</v>
      </c>
      <c r="I1391" s="14">
        <f>IFERROR(__xludf.DUMMYFUNCTION("""COMPUTED_VALUE"""),2.40580173593606)</f>
        <v>2.405801736</v>
      </c>
      <c r="J1391" s="14">
        <f>IFERROR(__xludf.DUMMYFUNCTION("""COMPUTED_VALUE"""),3.21962048720463)</f>
        <v>3.219620487</v>
      </c>
      <c r="K1391" s="14">
        <f>IFERROR(__xludf.DUMMYFUNCTION("""COMPUTED_VALUE"""),0.393487063953444)</f>
        <v>0.393487064</v>
      </c>
      <c r="L1391" s="14">
        <f>IFERROR(__xludf.DUMMYFUNCTION("""COMPUTED_VALUE"""),0.917519776266689)</f>
        <v>0.9175197763</v>
      </c>
      <c r="M1391" s="14">
        <f>IFERROR(__xludf.DUMMYFUNCTION("""COMPUTED_VALUE"""),0.248451841295451)</f>
        <v>0.2484518413</v>
      </c>
      <c r="N1391" s="14">
        <f>IFERROR(__xludf.DUMMYFUNCTION("""COMPUTED_VALUE"""),6.7559349390509)</f>
        <v>6.755934939</v>
      </c>
      <c r="O1391" s="14">
        <f>IFERROR(__xludf.DUMMYFUNCTION("""COMPUTED_VALUE"""),0.0712405673245192)</f>
        <v>0.07124056732</v>
      </c>
      <c r="P1391" s="14">
        <f>IFERROR(__xludf.DUMMYFUNCTION("""COMPUTED_VALUE"""),0.122913362056909)</f>
        <v>0.1229133621</v>
      </c>
      <c r="Q1391" s="14">
        <f>IFERROR(__xludf.DUMMYFUNCTION("""COMPUTED_VALUE"""),0.857904397413497)</f>
        <v>0.8579043974</v>
      </c>
      <c r="R1391" s="14">
        <f>IFERROR(__xludf.DUMMYFUNCTION("""COMPUTED_VALUE"""),0.887803978760407)</f>
        <v>0.8878039788</v>
      </c>
      <c r="S1391" s="14">
        <f>IFERROR(__xludf.DUMMYFUNCTION("""COMPUTED_VALUE"""),0.113572987160652)</f>
        <v>0.1135729872</v>
      </c>
      <c r="T1391" s="14">
        <f>IFERROR(__xludf.DUMMYFUNCTION("""COMPUTED_VALUE"""),2.14733136427789)</f>
        <v>2.147331364</v>
      </c>
      <c r="U1391" s="14">
        <f>IFERROR(__xludf.DUMMYFUNCTION("""COMPUTED_VALUE"""),0.229981196611447)</f>
        <v>0.2299811966</v>
      </c>
      <c r="V1391" s="14">
        <f>IFERROR(__xludf.DUMMYFUNCTION("""COMPUTED_VALUE"""),0.9167270035877)</f>
        <v>0.9167270036</v>
      </c>
      <c r="W1391" s="14">
        <f>IFERROR(__xludf.DUMMYFUNCTION("""COMPUTED_VALUE"""),7.89575508986267)</f>
        <v>7.89575509</v>
      </c>
      <c r="X1391" s="14">
        <f>IFERROR(__xludf.DUMMYFUNCTION("""COMPUTED_VALUE"""),0.406291937927364)</f>
        <v>0.4062919379</v>
      </c>
      <c r="Y1391" s="14">
        <f>IFERROR(__xludf.DUMMYFUNCTION("""COMPUTED_VALUE"""),0.300993611721668)</f>
        <v>0.3009936117</v>
      </c>
      <c r="Z1391" s="14">
        <f>IFERROR(__xludf.DUMMYFUNCTION("""COMPUTED_VALUE"""),0.937899288562832)</f>
        <v>0.9378992886</v>
      </c>
      <c r="AA1391" s="14">
        <f>IFERROR(__xludf.DUMMYFUNCTION("""COMPUTED_VALUE"""),3.56452629186287)</f>
        <v>3.564526292</v>
      </c>
      <c r="AB1391" s="14">
        <f>IFERROR(__xludf.DUMMYFUNCTION("""COMPUTED_VALUE"""),2.08696284497176)</f>
        <v>2.086962845</v>
      </c>
      <c r="AC1391" s="14">
        <f>IFERROR(__xludf.DUMMYFUNCTION("""COMPUTED_VALUE"""),21.8252654889323)</f>
        <v>21.82526549</v>
      </c>
      <c r="AD1391" s="14">
        <f>IFERROR(__xludf.DUMMYFUNCTION("""COMPUTED_VALUE"""),1.06164620696785)</f>
        <v>1.061646207</v>
      </c>
      <c r="AE1391" s="14">
        <f>IFERROR(__xludf.DUMMYFUNCTION("""COMPUTED_VALUE"""),0.564178882096993)</f>
        <v>0.5641788821</v>
      </c>
    </row>
    <row r="1392">
      <c r="A1392" s="11">
        <f>IFERROR(__xludf.DUMMYFUNCTION("""COMPUTED_VALUE"""),2000.0)</f>
        <v>2000</v>
      </c>
      <c r="B1392" s="11">
        <f>IFERROR(__xludf.DUMMYFUNCTION("""COMPUTED_VALUE"""),2.80405565942438)</f>
        <v>2.804055659</v>
      </c>
      <c r="C1392" s="11">
        <f>IFERROR(__xludf.DUMMYFUNCTION("""COMPUTED_VALUE"""),0.209695060183779)</f>
        <v>0.2096950602</v>
      </c>
      <c r="D1392" s="14">
        <f>IFERROR(__xludf.DUMMYFUNCTION("""COMPUTED_VALUE"""),0.659226469851448)</f>
        <v>0.6592264699</v>
      </c>
      <c r="E1392" s="14">
        <f>IFERROR(__xludf.DUMMYFUNCTION("""COMPUTED_VALUE"""),2.16194045812263)</f>
        <v>2.161940458</v>
      </c>
      <c r="F1392" s="14">
        <f>IFERROR(__xludf.DUMMYFUNCTION("""COMPUTED_VALUE"""),0.204782772906078)</f>
        <v>0.2047827729</v>
      </c>
      <c r="G1392" s="14">
        <f>IFERROR(__xludf.DUMMYFUNCTION("""COMPUTED_VALUE"""),0.0477047155812722)</f>
        <v>0.04770471558</v>
      </c>
      <c r="H1392" s="14">
        <f>IFERROR(__xludf.DUMMYFUNCTION("""COMPUTED_VALUE"""),0.202387318213592)</f>
        <v>0.2023873182</v>
      </c>
      <c r="I1392" s="14">
        <f>IFERROR(__xludf.DUMMYFUNCTION("""COMPUTED_VALUE"""),2.36366298158445)</f>
        <v>2.363662982</v>
      </c>
      <c r="J1392" s="14">
        <f>IFERROR(__xludf.DUMMYFUNCTION("""COMPUTED_VALUE"""),3.30969737574951)</f>
        <v>3.309697376</v>
      </c>
      <c r="K1392" s="14">
        <f>IFERROR(__xludf.DUMMYFUNCTION("""COMPUTED_VALUE"""),0.380420010591321)</f>
        <v>0.3804200106</v>
      </c>
      <c r="L1392" s="14">
        <f>IFERROR(__xludf.DUMMYFUNCTION("""COMPUTED_VALUE"""),0.924082889798268)</f>
        <v>0.9240828898</v>
      </c>
      <c r="M1392" s="14">
        <f>IFERROR(__xludf.DUMMYFUNCTION("""COMPUTED_VALUE"""),0.262242765398608)</f>
        <v>0.2622427654</v>
      </c>
      <c r="N1392" s="14">
        <f>IFERROR(__xludf.DUMMYFUNCTION("""COMPUTED_VALUE"""),6.08127448750743)</f>
        <v>6.081274488</v>
      </c>
      <c r="O1392" s="14">
        <f>IFERROR(__xludf.DUMMYFUNCTION("""COMPUTED_VALUE"""),0.0630347329702806)</f>
        <v>0.06303473297</v>
      </c>
      <c r="P1392" s="14">
        <f>IFERROR(__xludf.DUMMYFUNCTION("""COMPUTED_VALUE"""),0.11664781395248)</f>
        <v>0.116647814</v>
      </c>
      <c r="Q1392" s="14">
        <f>IFERROR(__xludf.DUMMYFUNCTION("""COMPUTED_VALUE"""),0.785447987525279)</f>
        <v>0.7854479875</v>
      </c>
      <c r="R1392" s="14">
        <f>IFERROR(__xludf.DUMMYFUNCTION("""COMPUTED_VALUE"""),0.913555846498597)</f>
        <v>0.9135558465</v>
      </c>
      <c r="S1392" s="14">
        <f>IFERROR(__xludf.DUMMYFUNCTION("""COMPUTED_VALUE"""),0.111232830904875)</f>
        <v>0.1112328309</v>
      </c>
      <c r="T1392" s="14">
        <f>IFERROR(__xludf.DUMMYFUNCTION("""COMPUTED_VALUE"""),2.14153274662115)</f>
        <v>2.141532747</v>
      </c>
      <c r="U1392" s="14">
        <f>IFERROR(__xludf.DUMMYFUNCTION("""COMPUTED_VALUE"""),0.190023025648454)</f>
        <v>0.1900230256</v>
      </c>
      <c r="V1392" s="14">
        <f>IFERROR(__xludf.DUMMYFUNCTION("""COMPUTED_VALUE"""),0.804333266329761)</f>
        <v>0.8043332663</v>
      </c>
      <c r="W1392" s="14">
        <f>IFERROR(__xludf.DUMMYFUNCTION("""COMPUTED_VALUE"""),7.94913233213157)</f>
        <v>7.949132332</v>
      </c>
      <c r="X1392" s="14">
        <f>IFERROR(__xludf.DUMMYFUNCTION("""COMPUTED_VALUE"""),0.363078385030749)</f>
        <v>0.363078385</v>
      </c>
      <c r="Y1392" s="14">
        <f>IFERROR(__xludf.DUMMYFUNCTION("""COMPUTED_VALUE"""),0.298483793867464)</f>
        <v>0.2984837939</v>
      </c>
      <c r="Z1392" s="14">
        <f>IFERROR(__xludf.DUMMYFUNCTION("""COMPUTED_VALUE"""),0.890167838342959)</f>
        <v>0.8901678383</v>
      </c>
      <c r="AA1392" s="14">
        <f>IFERROR(__xludf.DUMMYFUNCTION("""COMPUTED_VALUE"""),4.26534761160213)</f>
        <v>4.265347612</v>
      </c>
      <c r="AB1392" s="14">
        <f>IFERROR(__xludf.DUMMYFUNCTION("""COMPUTED_VALUE"""),1.73158065019561)</f>
        <v>1.73158065</v>
      </c>
      <c r="AC1392" s="14">
        <f>IFERROR(__xludf.DUMMYFUNCTION("""COMPUTED_VALUE"""),21.7509208985982)</f>
        <v>21.7509209</v>
      </c>
      <c r="AD1392" s="14">
        <f>IFERROR(__xludf.DUMMYFUNCTION("""COMPUTED_VALUE"""),0.805497025566246)</f>
        <v>0.8054970256</v>
      </c>
      <c r="AE1392" s="14">
        <f>IFERROR(__xludf.DUMMYFUNCTION("""COMPUTED_VALUE"""),0.601709933506054)</f>
        <v>0.6017099335</v>
      </c>
    </row>
    <row r="1393">
      <c r="A1393" s="11">
        <f>IFERROR(__xludf.DUMMYFUNCTION("""COMPUTED_VALUE"""),2001.0)</f>
        <v>2001</v>
      </c>
      <c r="B1393" s="11">
        <f>IFERROR(__xludf.DUMMYFUNCTION("""COMPUTED_VALUE"""),2.74178709319381)</f>
        <v>2.741787093</v>
      </c>
      <c r="C1393" s="11">
        <f>IFERROR(__xludf.DUMMYFUNCTION("""COMPUTED_VALUE"""),0.204928568839537)</f>
        <v>0.2049285688</v>
      </c>
      <c r="D1393" s="14">
        <f>IFERROR(__xludf.DUMMYFUNCTION("""COMPUTED_VALUE"""),0.674632638875778)</f>
        <v>0.6746326389</v>
      </c>
      <c r="E1393" s="14">
        <f>IFERROR(__xludf.DUMMYFUNCTION("""COMPUTED_VALUE"""),2.13769259116602)</f>
        <v>2.137692591</v>
      </c>
      <c r="F1393" s="14">
        <f>IFERROR(__xludf.DUMMYFUNCTION("""COMPUTED_VALUE"""),0.190361071670332)</f>
        <v>0.1903610717</v>
      </c>
      <c r="G1393" s="14">
        <f>IFERROR(__xludf.DUMMYFUNCTION("""COMPUTED_VALUE"""),0.0764241118106132)</f>
        <v>0.07642411181</v>
      </c>
      <c r="H1393" s="14">
        <f>IFERROR(__xludf.DUMMYFUNCTION("""COMPUTED_VALUE"""),0.190788108788626)</f>
        <v>0.1907881088</v>
      </c>
      <c r="I1393" s="14">
        <f>IFERROR(__xludf.DUMMYFUNCTION("""COMPUTED_VALUE"""),2.4476456546869)</f>
        <v>2.447645655</v>
      </c>
      <c r="J1393" s="14">
        <f>IFERROR(__xludf.DUMMYFUNCTION("""COMPUTED_VALUE"""),3.48685260816441)</f>
        <v>3.486852608</v>
      </c>
      <c r="K1393" s="14">
        <f>IFERROR(__xludf.DUMMYFUNCTION("""COMPUTED_VALUE"""),0.374174113702173)</f>
        <v>0.3741741137</v>
      </c>
      <c r="L1393" s="14">
        <f>IFERROR(__xludf.DUMMYFUNCTION("""COMPUTED_VALUE"""),0.95553218101721)</f>
        <v>0.955532181</v>
      </c>
      <c r="M1393" s="14">
        <f>IFERROR(__xludf.DUMMYFUNCTION("""COMPUTED_VALUE"""),0.211457251086594)</f>
        <v>0.2114572511</v>
      </c>
      <c r="N1393" s="14">
        <f>IFERROR(__xludf.DUMMYFUNCTION("""COMPUTED_VALUE"""),6.16495728085366)</f>
        <v>6.164957281</v>
      </c>
      <c r="O1393" s="14">
        <f>IFERROR(__xludf.DUMMYFUNCTION("""COMPUTED_VALUE"""),0.0641645911998202)</f>
        <v>0.0641645912</v>
      </c>
      <c r="P1393" s="14">
        <f>IFERROR(__xludf.DUMMYFUNCTION("""COMPUTED_VALUE"""),0.0998312549781269)</f>
        <v>0.09983125498</v>
      </c>
      <c r="Q1393" s="14">
        <f>IFERROR(__xludf.DUMMYFUNCTION("""COMPUTED_VALUE"""),0.789361284837142)</f>
        <v>0.7893612848</v>
      </c>
      <c r="R1393" s="14">
        <f>IFERROR(__xludf.DUMMYFUNCTION("""COMPUTED_VALUE"""),0.975524532972941)</f>
        <v>0.975524533</v>
      </c>
      <c r="S1393" s="14">
        <f>IFERROR(__xludf.DUMMYFUNCTION("""COMPUTED_VALUE"""),0.146718979639761)</f>
        <v>0.1467189796</v>
      </c>
      <c r="T1393" s="14">
        <f>IFERROR(__xludf.DUMMYFUNCTION("""COMPUTED_VALUE"""),2.1260913931352)</f>
        <v>2.126091393</v>
      </c>
      <c r="U1393" s="14">
        <f>IFERROR(__xludf.DUMMYFUNCTION("""COMPUTED_VALUE"""),0.208465891692773)</f>
        <v>0.2084658917</v>
      </c>
      <c r="V1393" s="14">
        <f>IFERROR(__xludf.DUMMYFUNCTION("""COMPUTED_VALUE"""),0.792274987016127)</f>
        <v>0.792274987</v>
      </c>
      <c r="W1393" s="14">
        <f>IFERROR(__xludf.DUMMYFUNCTION("""COMPUTED_VALUE"""),8.16520463077483)</f>
        <v>8.165204631</v>
      </c>
      <c r="X1393" s="14">
        <f>IFERROR(__xludf.DUMMYFUNCTION("""COMPUTED_VALUE"""),0.334162558863183)</f>
        <v>0.3341625589</v>
      </c>
      <c r="Y1393" s="14">
        <f>IFERROR(__xludf.DUMMYFUNCTION("""COMPUTED_VALUE"""),0.408042657916452)</f>
        <v>0.4080426579</v>
      </c>
      <c r="Z1393" s="14">
        <f>IFERROR(__xludf.DUMMYFUNCTION("""COMPUTED_VALUE"""),0.905270517574356)</f>
        <v>0.9052705176</v>
      </c>
      <c r="AA1393" s="14">
        <f>IFERROR(__xludf.DUMMYFUNCTION("""COMPUTED_VALUE"""),5.31808401718817)</f>
        <v>5.318084017</v>
      </c>
      <c r="AB1393" s="14">
        <f>IFERROR(__xludf.DUMMYFUNCTION("""COMPUTED_VALUE"""),1.72247638525068)</f>
        <v>1.722476385</v>
      </c>
      <c r="AC1393" s="14">
        <f>IFERROR(__xludf.DUMMYFUNCTION("""COMPUTED_VALUE"""),22.3921442883675)</f>
        <v>22.39214429</v>
      </c>
      <c r="AD1393" s="14">
        <f>IFERROR(__xludf.DUMMYFUNCTION("""COMPUTED_VALUE"""),0.827801980597702)</f>
        <v>0.8278019806</v>
      </c>
      <c r="AE1393" s="14">
        <f>IFERROR(__xludf.DUMMYFUNCTION("""COMPUTED_VALUE"""),0.744386700271484)</f>
        <v>0.7443867003</v>
      </c>
    </row>
    <row r="1394">
      <c r="A1394" s="11">
        <f>IFERROR(__xludf.DUMMYFUNCTION("""COMPUTED_VALUE"""),2002.0)</f>
        <v>2002</v>
      </c>
      <c r="B1394" s="11">
        <f>IFERROR(__xludf.DUMMYFUNCTION("""COMPUTED_VALUE"""),2.27138870048097)</f>
        <v>2.2713887</v>
      </c>
      <c r="C1394" s="11">
        <f>IFERROR(__xludf.DUMMYFUNCTION("""COMPUTED_VALUE"""),0.189656145309624)</f>
        <v>0.1896561453</v>
      </c>
      <c r="D1394" s="14">
        <f>IFERROR(__xludf.DUMMYFUNCTION("""COMPUTED_VALUE"""),0.509661626440251)</f>
        <v>0.5096616264</v>
      </c>
      <c r="E1394" s="14">
        <f>IFERROR(__xludf.DUMMYFUNCTION("""COMPUTED_VALUE"""),1.88267626846122)</f>
        <v>1.882676268</v>
      </c>
      <c r="F1394" s="14">
        <f>IFERROR(__xludf.DUMMYFUNCTION("""COMPUTED_VALUE"""),0.182512636992074)</f>
        <v>0.182512637</v>
      </c>
      <c r="G1394" s="14">
        <f>IFERROR(__xludf.DUMMYFUNCTION("""COMPUTED_VALUE"""),0.0530643195168731)</f>
        <v>0.05306431952</v>
      </c>
      <c r="H1394" s="14">
        <f>IFERROR(__xludf.DUMMYFUNCTION("""COMPUTED_VALUE"""),0.155057452259974)</f>
        <v>0.1550574523</v>
      </c>
      <c r="I1394" s="14">
        <f>IFERROR(__xludf.DUMMYFUNCTION("""COMPUTED_VALUE"""),2.19793485535829)</f>
        <v>2.197934855</v>
      </c>
      <c r="J1394" s="14">
        <f>IFERROR(__xludf.DUMMYFUNCTION("""COMPUTED_VALUE"""),2.91396926335604)</f>
        <v>2.913969263</v>
      </c>
      <c r="K1394" s="14">
        <f>IFERROR(__xludf.DUMMYFUNCTION("""COMPUTED_VALUE"""),0.306009218847177)</f>
        <v>0.3060092188</v>
      </c>
      <c r="L1394" s="14">
        <f>IFERROR(__xludf.DUMMYFUNCTION("""COMPUTED_VALUE"""),0.805739470352617)</f>
        <v>0.8057394704</v>
      </c>
      <c r="M1394" s="14">
        <f>IFERROR(__xludf.DUMMYFUNCTION("""COMPUTED_VALUE"""),0.205485581343293)</f>
        <v>0.2054855813</v>
      </c>
      <c r="N1394" s="14">
        <f>IFERROR(__xludf.DUMMYFUNCTION("""COMPUTED_VALUE"""),5.28322253661596)</f>
        <v>5.283222537</v>
      </c>
      <c r="O1394" s="14">
        <f>IFERROR(__xludf.DUMMYFUNCTION("""COMPUTED_VALUE"""),0.0502151215575739)</f>
        <v>0.05021512156</v>
      </c>
      <c r="P1394" s="14">
        <f>IFERROR(__xludf.DUMMYFUNCTION("""COMPUTED_VALUE"""),0.0805077297789019)</f>
        <v>0.08050772978</v>
      </c>
      <c r="Q1394" s="14">
        <f>IFERROR(__xludf.DUMMYFUNCTION("""COMPUTED_VALUE"""),0.652531566936166)</f>
        <v>0.6525315669</v>
      </c>
      <c r="R1394" s="14">
        <f>IFERROR(__xludf.DUMMYFUNCTION("""COMPUTED_VALUE"""),0.813898980776701)</f>
        <v>0.8138989808</v>
      </c>
      <c r="S1394" s="14">
        <f>IFERROR(__xludf.DUMMYFUNCTION("""COMPUTED_VALUE"""),0.103956957525991)</f>
        <v>0.1039569575</v>
      </c>
      <c r="T1394" s="14">
        <f>IFERROR(__xludf.DUMMYFUNCTION("""COMPUTED_VALUE"""),1.90845634984155)</f>
        <v>1.90845635</v>
      </c>
      <c r="U1394" s="14">
        <f>IFERROR(__xludf.DUMMYFUNCTION("""COMPUTED_VALUE"""),0.164619994892919)</f>
        <v>0.1646199949</v>
      </c>
      <c r="V1394" s="14">
        <f>IFERROR(__xludf.DUMMYFUNCTION("""COMPUTED_VALUE"""),0.63256120552121)</f>
        <v>0.6325612055</v>
      </c>
      <c r="W1394" s="14">
        <f>IFERROR(__xludf.DUMMYFUNCTION("""COMPUTED_VALUE"""),7.09194742235367)</f>
        <v>7.091947422</v>
      </c>
      <c r="X1394" s="14">
        <f>IFERROR(__xludf.DUMMYFUNCTION("""COMPUTED_VALUE"""),0.286841331308963)</f>
        <v>0.2868413313</v>
      </c>
      <c r="Y1394" s="14">
        <f>IFERROR(__xludf.DUMMYFUNCTION("""COMPUTED_VALUE"""),1.03558473939052)</f>
        <v>1.035584739</v>
      </c>
      <c r="Z1394" s="14">
        <f>IFERROR(__xludf.DUMMYFUNCTION("""COMPUTED_VALUE"""),0.868453074359239)</f>
        <v>0.8684530744</v>
      </c>
      <c r="AA1394" s="14">
        <f>IFERROR(__xludf.DUMMYFUNCTION("""COMPUTED_VALUE"""),2.63497645013537)</f>
        <v>2.63497645</v>
      </c>
      <c r="AB1394" s="14">
        <f>IFERROR(__xludf.DUMMYFUNCTION("""COMPUTED_VALUE"""),1.34736882879082)</f>
        <v>1.347368829</v>
      </c>
      <c r="AC1394" s="14">
        <f>IFERROR(__xludf.DUMMYFUNCTION("""COMPUTED_VALUE"""),19.841962190755)</f>
        <v>19.84196219</v>
      </c>
      <c r="AD1394" s="14">
        <f>IFERROR(__xludf.DUMMYFUNCTION("""COMPUTED_VALUE"""),0.587142480171199)</f>
        <v>0.5871424802</v>
      </c>
      <c r="AE1394" s="14">
        <f>IFERROR(__xludf.DUMMYFUNCTION("""COMPUTED_VALUE"""),0.522681063028782)</f>
        <v>0.522681063</v>
      </c>
    </row>
    <row r="1395">
      <c r="A1395" s="11">
        <f>IFERROR(__xludf.DUMMYFUNCTION("""COMPUTED_VALUE"""),2003.0)</f>
        <v>2003</v>
      </c>
      <c r="B1395" s="11">
        <f>IFERROR(__xludf.DUMMYFUNCTION("""COMPUTED_VALUE"""),2.36876916045601)</f>
        <v>2.36876916</v>
      </c>
      <c r="C1395" s="11">
        <f>IFERROR(__xludf.DUMMYFUNCTION("""COMPUTED_VALUE"""),0.205207273772716)</f>
        <v>0.2052072738</v>
      </c>
      <c r="D1395" s="14">
        <f>IFERROR(__xludf.DUMMYFUNCTION("""COMPUTED_VALUE"""),0.465899071685656)</f>
        <v>0.4658990717</v>
      </c>
      <c r="E1395" s="14">
        <f>IFERROR(__xludf.DUMMYFUNCTION("""COMPUTED_VALUE"""),1.89534654695372)</f>
        <v>1.895346547</v>
      </c>
      <c r="F1395" s="14">
        <f>IFERROR(__xludf.DUMMYFUNCTION("""COMPUTED_VALUE"""),0.20240558233151)</f>
        <v>0.2024055823</v>
      </c>
      <c r="G1395" s="14">
        <f>IFERROR(__xludf.DUMMYFUNCTION("""COMPUTED_VALUE"""),0.0539655730402505)</f>
        <v>0.05396557304</v>
      </c>
      <c r="H1395" s="14">
        <f>IFERROR(__xludf.DUMMYFUNCTION("""COMPUTED_VALUE"""),0.150815562413374)</f>
        <v>0.1508155624</v>
      </c>
      <c r="I1395" s="14">
        <f>IFERROR(__xludf.DUMMYFUNCTION("""COMPUTED_VALUE"""),2.16498137901299)</f>
        <v>2.164981379</v>
      </c>
      <c r="J1395" s="14">
        <f>IFERROR(__xludf.DUMMYFUNCTION("""COMPUTED_VALUE"""),2.63322094259698)</f>
        <v>2.633220943</v>
      </c>
      <c r="K1395" s="14">
        <f>IFERROR(__xludf.DUMMYFUNCTION("""COMPUTED_VALUE"""),0.287537540745402)</f>
        <v>0.2875375407</v>
      </c>
      <c r="L1395" s="14">
        <f>IFERROR(__xludf.DUMMYFUNCTION("""COMPUTED_VALUE"""),0.796707283399211)</f>
        <v>0.7967072834</v>
      </c>
      <c r="M1395" s="14">
        <f>IFERROR(__xludf.DUMMYFUNCTION("""COMPUTED_VALUE"""),0.189074854306026)</f>
        <v>0.1890748543</v>
      </c>
      <c r="N1395" s="14">
        <f>IFERROR(__xludf.DUMMYFUNCTION("""COMPUTED_VALUE"""),5.26216322911255)</f>
        <v>5.262163229</v>
      </c>
      <c r="O1395" s="14">
        <f>IFERROR(__xludf.DUMMYFUNCTION("""COMPUTED_VALUE"""),0.0592321876072065)</f>
        <v>0.05923218761</v>
      </c>
      <c r="P1395" s="14">
        <f>IFERROR(__xludf.DUMMYFUNCTION("""COMPUTED_VALUE"""),0.0910080973226729)</f>
        <v>0.09100809732</v>
      </c>
      <c r="Q1395" s="14">
        <f>IFERROR(__xludf.DUMMYFUNCTION("""COMPUTED_VALUE"""),0.566510853189058)</f>
        <v>0.5665108532</v>
      </c>
      <c r="R1395" s="14">
        <f>IFERROR(__xludf.DUMMYFUNCTION("""COMPUTED_VALUE"""),0.728412689643543)</f>
        <v>0.7284126896</v>
      </c>
      <c r="S1395" s="14">
        <f>IFERROR(__xludf.DUMMYFUNCTION("""COMPUTED_VALUE"""),0.0992253019922977)</f>
        <v>0.09922530199</v>
      </c>
      <c r="T1395" s="14">
        <f>IFERROR(__xludf.DUMMYFUNCTION("""COMPUTED_VALUE"""),1.79099779689391)</f>
        <v>1.790997797</v>
      </c>
      <c r="U1395" s="14">
        <f>IFERROR(__xludf.DUMMYFUNCTION("""COMPUTED_VALUE"""),0.989423466124293)</f>
        <v>0.9894234661</v>
      </c>
      <c r="V1395" s="14">
        <f>IFERROR(__xludf.DUMMYFUNCTION("""COMPUTED_VALUE"""),0.647464540718077)</f>
        <v>0.6474645407</v>
      </c>
      <c r="W1395" s="14">
        <f>IFERROR(__xludf.DUMMYFUNCTION("""COMPUTED_VALUE"""),6.5855647434991)</f>
        <v>6.585564743</v>
      </c>
      <c r="X1395" s="14">
        <f>IFERROR(__xludf.DUMMYFUNCTION("""COMPUTED_VALUE"""),0.316202653516207)</f>
        <v>0.3162026535</v>
      </c>
      <c r="Y1395" s="14">
        <f>IFERROR(__xludf.DUMMYFUNCTION("""COMPUTED_VALUE"""),1.27060188560371)</f>
        <v>1.270601886</v>
      </c>
      <c r="Z1395" s="14">
        <f>IFERROR(__xludf.DUMMYFUNCTION("""COMPUTED_VALUE"""),1.07543795334203)</f>
        <v>1.075437953</v>
      </c>
      <c r="AA1395" s="14">
        <f>IFERROR(__xludf.DUMMYFUNCTION("""COMPUTED_VALUE"""),2.41876358621131)</f>
        <v>2.418763586</v>
      </c>
      <c r="AB1395" s="14">
        <f>IFERROR(__xludf.DUMMYFUNCTION("""COMPUTED_VALUE"""),2.40033312174111)</f>
        <v>2.400333122</v>
      </c>
      <c r="AC1395" s="14">
        <f>IFERROR(__xludf.DUMMYFUNCTION("""COMPUTED_VALUE"""),19.368209731017)</f>
        <v>19.36820973</v>
      </c>
      <c r="AD1395" s="14">
        <f>IFERROR(__xludf.DUMMYFUNCTION("""COMPUTED_VALUE"""),0.792434387147131)</f>
        <v>0.7924343871</v>
      </c>
      <c r="AE1395" s="14">
        <f>IFERROR(__xludf.DUMMYFUNCTION("""COMPUTED_VALUE"""),0.604258754557556)</f>
        <v>0.6042587546</v>
      </c>
    </row>
    <row r="1396">
      <c r="A1396" s="11">
        <f>IFERROR(__xludf.DUMMYFUNCTION("""COMPUTED_VALUE"""),2004.0)</f>
        <v>2004</v>
      </c>
      <c r="B1396" s="11">
        <f>IFERROR(__xludf.DUMMYFUNCTION("""COMPUTED_VALUE"""),2.32266306105917)</f>
        <v>2.322663061</v>
      </c>
      <c r="C1396" s="11">
        <f>IFERROR(__xludf.DUMMYFUNCTION("""COMPUTED_VALUE"""),0.208586133602061)</f>
        <v>0.2085861336</v>
      </c>
      <c r="D1396" s="14">
        <f>IFERROR(__xludf.DUMMYFUNCTION("""COMPUTED_VALUE"""),0.401099790577216)</f>
        <v>0.4010997906</v>
      </c>
      <c r="E1396" s="14">
        <f>IFERROR(__xludf.DUMMYFUNCTION("""COMPUTED_VALUE"""),1.74275769115267)</f>
        <v>1.742757691</v>
      </c>
      <c r="F1396" s="14">
        <f>IFERROR(__xludf.DUMMYFUNCTION("""COMPUTED_VALUE"""),0.186908452574093)</f>
        <v>0.1869084526</v>
      </c>
      <c r="G1396" s="14">
        <f>IFERROR(__xludf.DUMMYFUNCTION("""COMPUTED_VALUE"""),0.0600618574236033)</f>
        <v>0.06006185742</v>
      </c>
      <c r="H1396" s="14">
        <f>IFERROR(__xludf.DUMMYFUNCTION("""COMPUTED_VALUE"""),0.1430807800125)</f>
        <v>0.14308078</v>
      </c>
      <c r="I1396" s="14">
        <f>IFERROR(__xludf.DUMMYFUNCTION("""COMPUTED_VALUE"""),1.98633804495098)</f>
        <v>1.986338045</v>
      </c>
      <c r="J1396" s="14">
        <f>IFERROR(__xludf.DUMMYFUNCTION("""COMPUTED_VALUE"""),2.54007001761106)</f>
        <v>2.540070018</v>
      </c>
      <c r="K1396" s="14">
        <f>IFERROR(__xludf.DUMMYFUNCTION("""COMPUTED_VALUE"""),0.306089053127933)</f>
        <v>0.3060890531</v>
      </c>
      <c r="L1396" s="14">
        <f>IFERROR(__xludf.DUMMYFUNCTION("""COMPUTED_VALUE"""),0.686631306500537)</f>
        <v>0.6866313065</v>
      </c>
      <c r="M1396" s="14">
        <f>IFERROR(__xludf.DUMMYFUNCTION("""COMPUTED_VALUE"""),0.615235204733717)</f>
        <v>0.6152352047</v>
      </c>
      <c r="N1396" s="14">
        <f>IFERROR(__xludf.DUMMYFUNCTION("""COMPUTED_VALUE"""),4.99306707233424)</f>
        <v>4.993067072</v>
      </c>
      <c r="O1396" s="14">
        <f>IFERROR(__xludf.DUMMYFUNCTION("""COMPUTED_VALUE"""),0.0539995492908254)</f>
        <v>0.05399954929</v>
      </c>
      <c r="P1396" s="14">
        <f>IFERROR(__xludf.DUMMYFUNCTION("""COMPUTED_VALUE"""),0.0898215844652507)</f>
        <v>0.08982158447</v>
      </c>
      <c r="Q1396" s="14">
        <f>IFERROR(__xludf.DUMMYFUNCTION("""COMPUTED_VALUE"""),0.496252743001023)</f>
        <v>0.496252743</v>
      </c>
      <c r="R1396" s="14">
        <f>IFERROR(__xludf.DUMMYFUNCTION("""COMPUTED_VALUE"""),0.684065966324079)</f>
        <v>0.6840659663</v>
      </c>
      <c r="S1396" s="14">
        <f>IFERROR(__xludf.DUMMYFUNCTION("""COMPUTED_VALUE"""),0.0893690072387651)</f>
        <v>0.08936900724</v>
      </c>
      <c r="T1396" s="14">
        <f>IFERROR(__xludf.DUMMYFUNCTION("""COMPUTED_VALUE"""),1.65126884579078)</f>
        <v>1.651268846</v>
      </c>
      <c r="U1396" s="14">
        <f>IFERROR(__xludf.DUMMYFUNCTION("""COMPUTED_VALUE"""),0.388956869265153)</f>
        <v>0.3889568693</v>
      </c>
      <c r="V1396" s="14">
        <f>IFERROR(__xludf.DUMMYFUNCTION("""COMPUTED_VALUE"""),0.640234282925473)</f>
        <v>0.6402342829</v>
      </c>
      <c r="W1396" s="14">
        <f>IFERROR(__xludf.DUMMYFUNCTION("""COMPUTED_VALUE"""),5.85120566071794)</f>
        <v>5.851205661</v>
      </c>
      <c r="X1396" s="14">
        <f>IFERROR(__xludf.DUMMYFUNCTION("""COMPUTED_VALUE"""),0.323162440550595)</f>
        <v>0.3231624406</v>
      </c>
      <c r="Y1396" s="14">
        <f>IFERROR(__xludf.DUMMYFUNCTION("""COMPUTED_VALUE"""),0.978522546457257)</f>
        <v>0.9785225465</v>
      </c>
      <c r="Z1396" s="14">
        <f>IFERROR(__xludf.DUMMYFUNCTION("""COMPUTED_VALUE"""),1.00741407087651)</f>
        <v>1.007414071</v>
      </c>
      <c r="AA1396" s="14">
        <f>IFERROR(__xludf.DUMMYFUNCTION("""COMPUTED_VALUE"""),1.57734438937671)</f>
        <v>1.577344389</v>
      </c>
      <c r="AB1396" s="14">
        <f>IFERROR(__xludf.DUMMYFUNCTION("""COMPUTED_VALUE"""),2.36319882795653)</f>
        <v>2.363198828</v>
      </c>
      <c r="AC1396" s="14">
        <f>IFERROR(__xludf.DUMMYFUNCTION("""COMPUTED_VALUE"""),17.6665625345741)</f>
        <v>17.66656253</v>
      </c>
      <c r="AD1396" s="14">
        <f>IFERROR(__xludf.DUMMYFUNCTION("""COMPUTED_VALUE"""),0.921782906692642)</f>
        <v>0.9217829067</v>
      </c>
      <c r="AE1396" s="14">
        <f>IFERROR(__xludf.DUMMYFUNCTION("""COMPUTED_VALUE"""),0.647250567943044)</f>
        <v>0.6472505679</v>
      </c>
    </row>
    <row r="1397">
      <c r="A1397" s="11">
        <f>IFERROR(__xludf.DUMMYFUNCTION("""COMPUTED_VALUE"""),2005.0)</f>
        <v>2005</v>
      </c>
      <c r="B1397" s="11">
        <f>IFERROR(__xludf.DUMMYFUNCTION("""COMPUTED_VALUE"""),2.43718144310059)</f>
        <v>2.437181443</v>
      </c>
      <c r="C1397" s="11">
        <f>IFERROR(__xludf.DUMMYFUNCTION("""COMPUTED_VALUE"""),0.217161260938343)</f>
        <v>0.2171612609</v>
      </c>
      <c r="D1397" s="14">
        <f>IFERROR(__xludf.DUMMYFUNCTION("""COMPUTED_VALUE"""),0.467626106043242)</f>
        <v>0.467626106</v>
      </c>
      <c r="E1397" s="14">
        <f>IFERROR(__xludf.DUMMYFUNCTION("""COMPUTED_VALUE"""),1.79538489513491)</f>
        <v>1.795384895</v>
      </c>
      <c r="F1397" s="14">
        <f>IFERROR(__xludf.DUMMYFUNCTION("""COMPUTED_VALUE"""),0.20397241132323)</f>
        <v>0.2039724113</v>
      </c>
      <c r="G1397" s="14">
        <f>IFERROR(__xludf.DUMMYFUNCTION("""COMPUTED_VALUE"""),0.0615279881414345)</f>
        <v>0.06152798814</v>
      </c>
      <c r="H1397" s="14">
        <f>IFERROR(__xludf.DUMMYFUNCTION("""COMPUTED_VALUE"""),0.156843995618162)</f>
        <v>0.1568439956</v>
      </c>
      <c r="I1397" s="14">
        <f>IFERROR(__xludf.DUMMYFUNCTION("""COMPUTED_VALUE"""),2.02889715095205)</f>
        <v>2.028897151</v>
      </c>
      <c r="J1397" s="14">
        <f>IFERROR(__xludf.DUMMYFUNCTION("""COMPUTED_VALUE"""),2.85793190710685)</f>
        <v>2.857931907</v>
      </c>
      <c r="K1397" s="14">
        <f>IFERROR(__xludf.DUMMYFUNCTION("""COMPUTED_VALUE"""),0.357103301544042)</f>
        <v>0.3571033015</v>
      </c>
      <c r="L1397" s="14">
        <f>IFERROR(__xludf.DUMMYFUNCTION("""COMPUTED_VALUE"""),0.776437795176917)</f>
        <v>0.7764377952</v>
      </c>
      <c r="M1397" s="14">
        <f>IFERROR(__xludf.DUMMYFUNCTION("""COMPUTED_VALUE"""),0.667165567712702)</f>
        <v>0.6671655677</v>
      </c>
      <c r="N1397" s="14">
        <f>IFERROR(__xludf.DUMMYFUNCTION("""COMPUTED_VALUE"""),5.16860837881259)</f>
        <v>5.168608379</v>
      </c>
      <c r="O1397" s="14">
        <f>IFERROR(__xludf.DUMMYFUNCTION("""COMPUTED_VALUE"""),0.0973319665107132)</f>
        <v>0.09733196651</v>
      </c>
      <c r="P1397" s="14">
        <f>IFERROR(__xludf.DUMMYFUNCTION("""COMPUTED_VALUE"""),0.125137537072081)</f>
        <v>0.1251375371</v>
      </c>
      <c r="Q1397" s="14">
        <f>IFERROR(__xludf.DUMMYFUNCTION("""COMPUTED_VALUE"""),0.491009290829001)</f>
        <v>0.4910092908</v>
      </c>
      <c r="R1397" s="14">
        <f>IFERROR(__xludf.DUMMYFUNCTION("""COMPUTED_VALUE"""),0.702529784759953)</f>
        <v>0.7025297848</v>
      </c>
      <c r="S1397" s="14">
        <f>IFERROR(__xludf.DUMMYFUNCTION("""COMPUTED_VALUE"""),0.0885698479022335)</f>
        <v>0.0885698479</v>
      </c>
      <c r="T1397" s="14">
        <f>IFERROR(__xludf.DUMMYFUNCTION("""COMPUTED_VALUE"""),1.74967596137666)</f>
        <v>1.749675961</v>
      </c>
      <c r="U1397" s="14">
        <f>IFERROR(__xludf.DUMMYFUNCTION("""COMPUTED_VALUE"""),0.851327683806159)</f>
        <v>0.8513276838</v>
      </c>
      <c r="V1397" s="14">
        <f>IFERROR(__xludf.DUMMYFUNCTION("""COMPUTED_VALUE"""),0.687422388874606)</f>
        <v>0.6874223889</v>
      </c>
      <c r="W1397" s="14">
        <f>IFERROR(__xludf.DUMMYFUNCTION("""COMPUTED_VALUE"""),5.61542962424661)</f>
        <v>5.615429624</v>
      </c>
      <c r="X1397" s="14">
        <f>IFERROR(__xludf.DUMMYFUNCTION("""COMPUTED_VALUE"""),0.339026830465738)</f>
        <v>0.3390268305</v>
      </c>
      <c r="Y1397" s="14">
        <f>IFERROR(__xludf.DUMMYFUNCTION("""COMPUTED_VALUE"""),0.782044707750431)</f>
        <v>0.7820447078</v>
      </c>
      <c r="Z1397" s="14">
        <f>IFERROR(__xludf.DUMMYFUNCTION("""COMPUTED_VALUE"""),1.07541591648545)</f>
        <v>1.075415916</v>
      </c>
      <c r="AA1397" s="14">
        <f>IFERROR(__xludf.DUMMYFUNCTION("""COMPUTED_VALUE"""),2.21083210394581)</f>
        <v>2.210832104</v>
      </c>
      <c r="AB1397" s="14">
        <f>IFERROR(__xludf.DUMMYFUNCTION("""COMPUTED_VALUE"""),3.26925328332654)</f>
        <v>3.269253283</v>
      </c>
      <c r="AC1397" s="14">
        <f>IFERROR(__xludf.DUMMYFUNCTION("""COMPUTED_VALUE"""),18.4083610921152)</f>
        <v>18.40836109</v>
      </c>
      <c r="AD1397" s="14">
        <f>IFERROR(__xludf.DUMMYFUNCTION("""COMPUTED_VALUE"""),1.25287324668979)</f>
        <v>1.252873247</v>
      </c>
      <c r="AE1397" s="14">
        <f>IFERROR(__xludf.DUMMYFUNCTION("""COMPUTED_VALUE"""),0.961194144692435)</f>
        <v>0.9611941447</v>
      </c>
    </row>
    <row r="1398">
      <c r="A1398" s="11">
        <f>IFERROR(__xludf.DUMMYFUNCTION("""COMPUTED_VALUE"""),2006.0)</f>
        <v>2006</v>
      </c>
      <c r="B1398" s="11">
        <f>IFERROR(__xludf.DUMMYFUNCTION("""COMPUTED_VALUE"""),2.50917538913654)</f>
        <v>2.509175389</v>
      </c>
      <c r="C1398" s="11">
        <f>IFERROR(__xludf.DUMMYFUNCTION("""COMPUTED_VALUE"""),0.281996567281716)</f>
        <v>0.2819965673</v>
      </c>
      <c r="D1398" s="14">
        <f>IFERROR(__xludf.DUMMYFUNCTION("""COMPUTED_VALUE"""),0.451879871132849)</f>
        <v>0.4518798711</v>
      </c>
      <c r="E1398" s="14">
        <f>IFERROR(__xludf.DUMMYFUNCTION("""COMPUTED_VALUE"""),1.80950226537395)</f>
        <v>1.809502265</v>
      </c>
      <c r="F1398" s="14">
        <f>IFERROR(__xludf.DUMMYFUNCTION("""COMPUTED_VALUE"""),0.222223108508477)</f>
        <v>0.2222231085</v>
      </c>
      <c r="G1398" s="14">
        <f>IFERROR(__xludf.DUMMYFUNCTION("""COMPUTED_VALUE"""),0.0738940434854716)</f>
        <v>0.07389404349</v>
      </c>
      <c r="H1398" s="14">
        <f>IFERROR(__xludf.DUMMYFUNCTION("""COMPUTED_VALUE"""),0.164029405966996)</f>
        <v>0.164029406</v>
      </c>
      <c r="I1398" s="14">
        <f>IFERROR(__xludf.DUMMYFUNCTION("""COMPUTED_VALUE"""),1.98661850085726)</f>
        <v>1.986618501</v>
      </c>
      <c r="J1398" s="14">
        <f>IFERROR(__xludf.DUMMYFUNCTION("""COMPUTED_VALUE"""),3.0640000217761)</f>
        <v>3.064000022</v>
      </c>
      <c r="K1398" s="14">
        <f>IFERROR(__xludf.DUMMYFUNCTION("""COMPUTED_VALUE"""),0.39439301690383)</f>
        <v>0.3943930169</v>
      </c>
      <c r="L1398" s="14">
        <f>IFERROR(__xludf.DUMMYFUNCTION("""COMPUTED_VALUE"""),0.87364521197202)</f>
        <v>0.873645212</v>
      </c>
      <c r="M1398" s="14">
        <f>IFERROR(__xludf.DUMMYFUNCTION("""COMPUTED_VALUE"""),0.852637335985896)</f>
        <v>0.852637336</v>
      </c>
      <c r="N1398" s="14">
        <f>IFERROR(__xludf.DUMMYFUNCTION("""COMPUTED_VALUE"""),5.19707382514332)</f>
        <v>5.197073825</v>
      </c>
      <c r="O1398" s="14">
        <f>IFERROR(__xludf.DUMMYFUNCTION("""COMPUTED_VALUE"""),0.0905284544184435)</f>
        <v>0.09052845442</v>
      </c>
      <c r="P1398" s="14">
        <f>IFERROR(__xludf.DUMMYFUNCTION("""COMPUTED_VALUE"""),0.1406322490501)</f>
        <v>0.1406322491</v>
      </c>
      <c r="Q1398" s="14">
        <f>IFERROR(__xludf.DUMMYFUNCTION("""COMPUTED_VALUE"""),0.507514006018629)</f>
        <v>0.507514006</v>
      </c>
      <c r="R1398" s="14">
        <f>IFERROR(__xludf.DUMMYFUNCTION("""COMPUTED_VALUE"""),0.701279935149513)</f>
        <v>0.7012799351</v>
      </c>
      <c r="S1398" s="14">
        <f>IFERROR(__xludf.DUMMYFUNCTION("""COMPUTED_VALUE"""),0.08546642077898)</f>
        <v>0.08546642078</v>
      </c>
      <c r="T1398" s="14">
        <f>IFERROR(__xludf.DUMMYFUNCTION("""COMPUTED_VALUE"""),1.76256169668793)</f>
        <v>1.762561697</v>
      </c>
      <c r="U1398" s="14">
        <f>IFERROR(__xludf.DUMMYFUNCTION("""COMPUTED_VALUE"""),0.48054262561641)</f>
        <v>0.4805426256</v>
      </c>
      <c r="V1398" s="14">
        <f>IFERROR(__xludf.DUMMYFUNCTION("""COMPUTED_VALUE"""),0.718497583195286)</f>
        <v>0.7184975832</v>
      </c>
      <c r="W1398" s="14">
        <f>IFERROR(__xludf.DUMMYFUNCTION("""COMPUTED_VALUE"""),5.89770146651995)</f>
        <v>5.897701467</v>
      </c>
      <c r="X1398" s="14">
        <f>IFERROR(__xludf.DUMMYFUNCTION("""COMPUTED_VALUE"""),0.319799179176612)</f>
        <v>0.3197991792</v>
      </c>
      <c r="Y1398" s="14">
        <f>IFERROR(__xludf.DUMMYFUNCTION("""COMPUTED_VALUE"""),0.618477882613653)</f>
        <v>0.6184778826</v>
      </c>
      <c r="Z1398" s="14">
        <f>IFERROR(__xludf.DUMMYFUNCTION("""COMPUTED_VALUE"""),1.11237482053964)</f>
        <v>1.112374821</v>
      </c>
      <c r="AA1398" s="14">
        <f>IFERROR(__xludf.DUMMYFUNCTION("""COMPUTED_VALUE"""),1.87305645403455)</f>
        <v>1.873056454</v>
      </c>
      <c r="AB1398" s="14">
        <f>IFERROR(__xludf.DUMMYFUNCTION("""COMPUTED_VALUE"""),3.40192989595988)</f>
        <v>3.401929896</v>
      </c>
      <c r="AC1398" s="14">
        <f>IFERROR(__xludf.DUMMYFUNCTION("""COMPUTED_VALUE"""),19.1734182374744)</f>
        <v>19.17341824</v>
      </c>
      <c r="AD1398" s="14">
        <f>IFERROR(__xludf.DUMMYFUNCTION("""COMPUTED_VALUE"""),1.58452825727704)</f>
        <v>1.584528257</v>
      </c>
      <c r="AE1398" s="14">
        <f>IFERROR(__xludf.DUMMYFUNCTION("""COMPUTED_VALUE"""),1.06852264315432)</f>
        <v>1.068522643</v>
      </c>
    </row>
    <row r="1399">
      <c r="A1399" s="11">
        <f>IFERROR(__xludf.DUMMYFUNCTION("""COMPUTED_VALUE"""),2007.0)</f>
        <v>2007</v>
      </c>
      <c r="B1399" s="11">
        <f>IFERROR(__xludf.DUMMYFUNCTION("""COMPUTED_VALUE"""),2.69692436463669)</f>
        <v>2.696924365</v>
      </c>
      <c r="C1399" s="11">
        <f>IFERROR(__xludf.DUMMYFUNCTION("""COMPUTED_VALUE"""),0.349167889701351)</f>
        <v>0.3491678897</v>
      </c>
      <c r="D1399" s="14">
        <f>IFERROR(__xludf.DUMMYFUNCTION("""COMPUTED_VALUE"""),0.510240486746307)</f>
        <v>0.5102404867</v>
      </c>
      <c r="E1399" s="14">
        <f>IFERROR(__xludf.DUMMYFUNCTION("""COMPUTED_VALUE"""),1.89274467922989)</f>
        <v>1.892744679</v>
      </c>
      <c r="F1399" s="14">
        <f>IFERROR(__xludf.DUMMYFUNCTION("""COMPUTED_VALUE"""),0.236289205498617)</f>
        <v>0.2362892055</v>
      </c>
      <c r="G1399" s="14">
        <f>IFERROR(__xludf.DUMMYFUNCTION("""COMPUTED_VALUE"""),0.0755932893829257)</f>
        <v>0.07559328938</v>
      </c>
      <c r="H1399" s="14">
        <f>IFERROR(__xludf.DUMMYFUNCTION("""COMPUTED_VALUE"""),0.176823329433976)</f>
        <v>0.1768233294</v>
      </c>
      <c r="I1399" s="14">
        <f>IFERROR(__xludf.DUMMYFUNCTION("""COMPUTED_VALUE"""),2.0021717660892)</f>
        <v>2.002171766</v>
      </c>
      <c r="J1399" s="14">
        <f>IFERROR(__xludf.DUMMYFUNCTION("""COMPUTED_VALUE"""),3.20616057419101)</f>
        <v>3.206160574</v>
      </c>
      <c r="K1399" s="14">
        <f>IFERROR(__xludf.DUMMYFUNCTION("""COMPUTED_VALUE"""),0.442292623196718)</f>
        <v>0.4422926232</v>
      </c>
      <c r="L1399" s="14">
        <f>IFERROR(__xludf.DUMMYFUNCTION("""COMPUTED_VALUE"""),0.936365273918497)</f>
        <v>0.9363652739</v>
      </c>
      <c r="M1399" s="14">
        <f>IFERROR(__xludf.DUMMYFUNCTION("""COMPUTED_VALUE"""),1.33653292914013)</f>
        <v>1.336532929</v>
      </c>
      <c r="N1399" s="14">
        <f>IFERROR(__xludf.DUMMYFUNCTION("""COMPUTED_VALUE"""),5.42867152021052)</f>
        <v>5.42867152</v>
      </c>
      <c r="O1399" s="14">
        <f>IFERROR(__xludf.DUMMYFUNCTION("""COMPUTED_VALUE"""),0.138675371683347)</f>
        <v>0.1386753717</v>
      </c>
      <c r="P1399" s="14">
        <f>IFERROR(__xludf.DUMMYFUNCTION("""COMPUTED_VALUE"""),0.14809389459232)</f>
        <v>0.1480938946</v>
      </c>
      <c r="Q1399" s="14">
        <f>IFERROR(__xludf.DUMMYFUNCTION("""COMPUTED_VALUE"""),0.566481542555101)</f>
        <v>0.5664815426</v>
      </c>
      <c r="R1399" s="14">
        <f>IFERROR(__xludf.DUMMYFUNCTION("""COMPUTED_VALUE"""),0.729575389484626)</f>
        <v>0.7295753895</v>
      </c>
      <c r="S1399" s="14">
        <f>IFERROR(__xludf.DUMMYFUNCTION("""COMPUTED_VALUE"""),0.0856713923704984)</f>
        <v>0.08567139237</v>
      </c>
      <c r="T1399" s="14">
        <f>IFERROR(__xludf.DUMMYFUNCTION("""COMPUTED_VALUE"""),1.82041604381129)</f>
        <v>1.820416044</v>
      </c>
      <c r="U1399" s="14">
        <f>IFERROR(__xludf.DUMMYFUNCTION("""COMPUTED_VALUE"""),0.278024245824225)</f>
        <v>0.2780242458</v>
      </c>
      <c r="V1399" s="14">
        <f>IFERROR(__xludf.DUMMYFUNCTION("""COMPUTED_VALUE"""),0.751516014441846)</f>
        <v>0.7515160144</v>
      </c>
      <c r="W1399" s="14">
        <f>IFERROR(__xludf.DUMMYFUNCTION("""COMPUTED_VALUE"""),7.18765899189452)</f>
        <v>7.187658992</v>
      </c>
      <c r="X1399" s="14">
        <f>IFERROR(__xludf.DUMMYFUNCTION("""COMPUTED_VALUE"""),0.456815782794325)</f>
        <v>0.4568157828</v>
      </c>
      <c r="Y1399" s="14">
        <f>IFERROR(__xludf.DUMMYFUNCTION("""COMPUTED_VALUE"""),0.457440350702825)</f>
        <v>0.4574403507</v>
      </c>
      <c r="Z1399" s="14">
        <f>IFERROR(__xludf.DUMMYFUNCTION("""COMPUTED_VALUE"""),1.13779655181217)</f>
        <v>1.137796552</v>
      </c>
      <c r="AA1399" s="14">
        <f>IFERROR(__xludf.DUMMYFUNCTION("""COMPUTED_VALUE"""),2.08474010185882)</f>
        <v>2.084740102</v>
      </c>
      <c r="AB1399" s="14">
        <f>IFERROR(__xludf.DUMMYFUNCTION("""COMPUTED_VALUE"""),4.08975934518485)</f>
        <v>4.089759345</v>
      </c>
      <c r="AC1399" s="14">
        <f>IFERROR(__xludf.DUMMYFUNCTION("""COMPUTED_VALUE"""),20.8806502283659)</f>
        <v>20.88065023</v>
      </c>
      <c r="AD1399" s="14">
        <f>IFERROR(__xludf.DUMMYFUNCTION("""COMPUTED_VALUE"""),1.80411772635989)</f>
        <v>1.804117726</v>
      </c>
      <c r="AE1399" s="14">
        <f>IFERROR(__xludf.DUMMYFUNCTION("""COMPUTED_VALUE"""),0.975491384268947)</f>
        <v>0.9754913843</v>
      </c>
    </row>
    <row r="1400">
      <c r="A1400" s="11">
        <f>IFERROR(__xludf.DUMMYFUNCTION("""COMPUTED_VALUE"""),2008.0)</f>
        <v>2008</v>
      </c>
      <c r="B1400" s="11">
        <f>IFERROR(__xludf.DUMMYFUNCTION("""COMPUTED_VALUE"""),2.66439966623086)</f>
        <v>2.664399666</v>
      </c>
      <c r="C1400" s="11">
        <f>IFERROR(__xludf.DUMMYFUNCTION("""COMPUTED_VALUE"""),0.396276633557117)</f>
        <v>0.3962766336</v>
      </c>
      <c r="D1400" s="14">
        <f>IFERROR(__xludf.DUMMYFUNCTION("""COMPUTED_VALUE"""),0.559033148398323)</f>
        <v>0.5590331484</v>
      </c>
      <c r="E1400" s="14">
        <f>IFERROR(__xludf.DUMMYFUNCTION("""COMPUTED_VALUE"""),1.96239499875311)</f>
        <v>1.962394999</v>
      </c>
      <c r="F1400" s="14">
        <f>IFERROR(__xludf.DUMMYFUNCTION("""COMPUTED_VALUE"""),0.237905497884278)</f>
        <v>0.2379054979</v>
      </c>
      <c r="G1400" s="14">
        <f>IFERROR(__xludf.DUMMYFUNCTION("""COMPUTED_VALUE"""),0.0852742170327872)</f>
        <v>0.08527421703</v>
      </c>
      <c r="H1400" s="14">
        <f>IFERROR(__xludf.DUMMYFUNCTION("""COMPUTED_VALUE"""),0.168468312429542)</f>
        <v>0.1684683124</v>
      </c>
      <c r="I1400" s="14">
        <f>IFERROR(__xludf.DUMMYFUNCTION("""COMPUTED_VALUE"""),2.03545162422917)</f>
        <v>2.035451624</v>
      </c>
      <c r="J1400" s="14">
        <f>IFERROR(__xludf.DUMMYFUNCTION("""COMPUTED_VALUE"""),3.37383135930142)</f>
        <v>3.373831359</v>
      </c>
      <c r="K1400" s="14">
        <f>IFERROR(__xludf.DUMMYFUNCTION("""COMPUTED_VALUE"""),0.539968768176282)</f>
        <v>0.5399687682</v>
      </c>
      <c r="L1400" s="14">
        <f>IFERROR(__xludf.DUMMYFUNCTION("""COMPUTED_VALUE"""),0.994412973274662)</f>
        <v>0.9944129733</v>
      </c>
      <c r="M1400" s="14">
        <f>IFERROR(__xludf.DUMMYFUNCTION("""COMPUTED_VALUE"""),1.85724238236106)</f>
        <v>1.857242382</v>
      </c>
      <c r="N1400" s="14">
        <f>IFERROR(__xludf.DUMMYFUNCTION("""COMPUTED_VALUE"""),5.48780906339034)</f>
        <v>5.487809063</v>
      </c>
      <c r="O1400" s="14">
        <f>IFERROR(__xludf.DUMMYFUNCTION("""COMPUTED_VALUE"""),0.0918328410148723)</f>
        <v>0.09183284101</v>
      </c>
      <c r="P1400" s="14">
        <f>IFERROR(__xludf.DUMMYFUNCTION("""COMPUTED_VALUE"""),0.173788060644438)</f>
        <v>0.1737880606</v>
      </c>
      <c r="Q1400" s="14">
        <f>IFERROR(__xludf.DUMMYFUNCTION("""COMPUTED_VALUE"""),0.634112742574472)</f>
        <v>0.6341127426</v>
      </c>
      <c r="R1400" s="14">
        <f>IFERROR(__xludf.DUMMYFUNCTION("""COMPUTED_VALUE"""),0.787957772930309)</f>
        <v>0.7879577729</v>
      </c>
      <c r="S1400" s="14">
        <f>IFERROR(__xludf.DUMMYFUNCTION("""COMPUTED_VALUE"""),0.090523670202329)</f>
        <v>0.0905236702</v>
      </c>
      <c r="T1400" s="14">
        <f>IFERROR(__xludf.DUMMYFUNCTION("""COMPUTED_VALUE"""),1.9700361078487)</f>
        <v>1.970036108</v>
      </c>
      <c r="U1400" s="14">
        <f>IFERROR(__xludf.DUMMYFUNCTION("""COMPUTED_VALUE"""),0.228285902846799)</f>
        <v>0.2282859028</v>
      </c>
      <c r="V1400" s="14">
        <f>IFERROR(__xludf.DUMMYFUNCTION("""COMPUTED_VALUE"""),0.773339344538261)</f>
        <v>0.7733393445</v>
      </c>
      <c r="W1400" s="14">
        <f>IFERROR(__xludf.DUMMYFUNCTION("""COMPUTED_VALUE"""),7.45324634302831)</f>
        <v>7.453246343</v>
      </c>
      <c r="X1400" s="14">
        <f>IFERROR(__xludf.DUMMYFUNCTION("""COMPUTED_VALUE"""),0.683599065561913)</f>
        <v>0.6835990656</v>
      </c>
      <c r="Y1400" s="14">
        <f>IFERROR(__xludf.DUMMYFUNCTION("""COMPUTED_VALUE"""),0.368630218000629)</f>
        <v>0.368630218</v>
      </c>
      <c r="Z1400" s="14">
        <f>IFERROR(__xludf.DUMMYFUNCTION("""COMPUTED_VALUE"""),1.16500387811405)</f>
        <v>1.165003878</v>
      </c>
      <c r="AA1400" s="14">
        <f>IFERROR(__xludf.DUMMYFUNCTION("""COMPUTED_VALUE"""),2.01547937471286)</f>
        <v>2.015479375</v>
      </c>
      <c r="AB1400" s="14">
        <f>IFERROR(__xludf.DUMMYFUNCTION("""COMPUTED_VALUE"""),5.09930597378636)</f>
        <v>5.099305974</v>
      </c>
      <c r="AC1400" s="14">
        <f>IFERROR(__xludf.DUMMYFUNCTION("""COMPUTED_VALUE"""),21.7096765135007)</f>
        <v>21.70967651</v>
      </c>
      <c r="AD1400" s="14">
        <f>IFERROR(__xludf.DUMMYFUNCTION("""COMPUTED_VALUE"""),2.15307156496892)</f>
        <v>2.153071565</v>
      </c>
      <c r="AE1400" s="14">
        <f>IFERROR(__xludf.DUMMYFUNCTION("""COMPUTED_VALUE"""),0.848704456774765)</f>
        <v>0.8487044568</v>
      </c>
    </row>
    <row r="1401">
      <c r="A1401" s="11">
        <f>IFERROR(__xludf.DUMMYFUNCTION("""COMPUTED_VALUE"""),2009.0)</f>
        <v>2009</v>
      </c>
      <c r="B1401" s="11">
        <f>IFERROR(__xludf.DUMMYFUNCTION("""COMPUTED_VALUE"""),3.15003210498031)</f>
        <v>3.150032105</v>
      </c>
      <c r="C1401" s="11">
        <f>IFERROR(__xludf.DUMMYFUNCTION("""COMPUTED_VALUE"""),0.510411742013139)</f>
        <v>0.510411742</v>
      </c>
      <c r="D1401" s="14">
        <f>IFERROR(__xludf.DUMMYFUNCTION("""COMPUTED_VALUE"""),0.689048592526543)</f>
        <v>0.6890485925</v>
      </c>
      <c r="E1401" s="14">
        <f>IFERROR(__xludf.DUMMYFUNCTION("""COMPUTED_VALUE"""),2.37174815136425)</f>
        <v>2.371748151</v>
      </c>
      <c r="F1401" s="14">
        <f>IFERROR(__xludf.DUMMYFUNCTION("""COMPUTED_VALUE"""),0.289465386320847)</f>
        <v>0.2894653863</v>
      </c>
      <c r="G1401" s="14">
        <f>IFERROR(__xludf.DUMMYFUNCTION("""COMPUTED_VALUE"""),0.126999575528308)</f>
        <v>0.1269995755</v>
      </c>
      <c r="H1401" s="14">
        <f>IFERROR(__xludf.DUMMYFUNCTION("""COMPUTED_VALUE"""),0.206248151544321)</f>
        <v>0.2062481515</v>
      </c>
      <c r="I1401" s="14">
        <f>IFERROR(__xludf.DUMMYFUNCTION("""COMPUTED_VALUE"""),2.40546443574886)</f>
        <v>2.405464436</v>
      </c>
      <c r="J1401" s="14">
        <f>IFERROR(__xludf.DUMMYFUNCTION("""COMPUTED_VALUE"""),3.80999962793811)</f>
        <v>3.809999628</v>
      </c>
      <c r="K1401" s="14">
        <f>IFERROR(__xludf.DUMMYFUNCTION("""COMPUTED_VALUE"""),0.603714211983509)</f>
        <v>0.603714212</v>
      </c>
      <c r="L1401" s="14">
        <f>IFERROR(__xludf.DUMMYFUNCTION("""COMPUTED_VALUE"""),1.20885333733865)</f>
        <v>1.208853337</v>
      </c>
      <c r="M1401" s="14">
        <f>IFERROR(__xludf.DUMMYFUNCTION("""COMPUTED_VALUE"""),1.64282105025245)</f>
        <v>1.64282105</v>
      </c>
      <c r="N1401" s="14">
        <f>IFERROR(__xludf.DUMMYFUNCTION("""COMPUTED_VALUE"""),6.45830778578436)</f>
        <v>6.458307786</v>
      </c>
      <c r="O1401" s="14">
        <f>IFERROR(__xludf.DUMMYFUNCTION("""COMPUTED_VALUE"""),0.103371486364576)</f>
        <v>0.1033714864</v>
      </c>
      <c r="P1401" s="14">
        <f>IFERROR(__xludf.DUMMYFUNCTION("""COMPUTED_VALUE"""),0.197058320305484)</f>
        <v>0.1970583203</v>
      </c>
      <c r="Q1401" s="14">
        <f>IFERROR(__xludf.DUMMYFUNCTION("""COMPUTED_VALUE"""),0.847111435503241)</f>
        <v>0.8471114355</v>
      </c>
      <c r="R1401" s="14">
        <f>IFERROR(__xludf.DUMMYFUNCTION("""COMPUTED_VALUE"""),0.902811245055187)</f>
        <v>0.9028112451</v>
      </c>
      <c r="S1401" s="14">
        <f>IFERROR(__xludf.DUMMYFUNCTION("""COMPUTED_VALUE"""),0.127036713476017)</f>
        <v>0.1270367135</v>
      </c>
      <c r="T1401" s="14">
        <f>IFERROR(__xludf.DUMMYFUNCTION("""COMPUTED_VALUE"""),2.58085636276935)</f>
        <v>2.580856363</v>
      </c>
      <c r="U1401" s="14">
        <f>IFERROR(__xludf.DUMMYFUNCTION("""COMPUTED_VALUE"""),0.225215859255372)</f>
        <v>0.2252158593</v>
      </c>
      <c r="V1401" s="14">
        <f>IFERROR(__xludf.DUMMYFUNCTION("""COMPUTED_VALUE"""),0.832600537187116)</f>
        <v>0.8326005372</v>
      </c>
      <c r="W1401" s="14">
        <f>IFERROR(__xludf.DUMMYFUNCTION("""COMPUTED_VALUE"""),8.83054647749482)</f>
        <v>8.830546477</v>
      </c>
      <c r="X1401" s="14">
        <f>IFERROR(__xludf.DUMMYFUNCTION("""COMPUTED_VALUE"""),0.617234208112189)</f>
        <v>0.6172342081</v>
      </c>
      <c r="Y1401" s="14">
        <f>IFERROR(__xludf.DUMMYFUNCTION("""COMPUTED_VALUE"""),0.398414546049386)</f>
        <v>0.398414546</v>
      </c>
      <c r="Z1401" s="14">
        <f>IFERROR(__xludf.DUMMYFUNCTION("""COMPUTED_VALUE"""),1.38537371633097)</f>
        <v>1.385373716</v>
      </c>
      <c r="AA1401" s="14">
        <f>IFERROR(__xludf.DUMMYFUNCTION("""COMPUTED_VALUE"""),2.25533130787075)</f>
        <v>2.255331308</v>
      </c>
      <c r="AB1401" s="14">
        <f>IFERROR(__xludf.DUMMYFUNCTION("""COMPUTED_VALUE"""),5.21951456648154)</f>
        <v>5.219514566</v>
      </c>
      <c r="AC1401" s="14">
        <f>IFERROR(__xludf.DUMMYFUNCTION("""COMPUTED_VALUE"""),25.9314126004414)</f>
        <v>25.9314126</v>
      </c>
      <c r="AD1401" s="14">
        <f>IFERROR(__xludf.DUMMYFUNCTION("""COMPUTED_VALUE"""),2.50387238696864)</f>
        <v>2.503872387</v>
      </c>
      <c r="AE1401" s="14">
        <f>IFERROR(__xludf.DUMMYFUNCTION("""COMPUTED_VALUE"""),1.04292529029561)</f>
        <v>1.04292529</v>
      </c>
    </row>
    <row r="1402">
      <c r="A1402" s="11">
        <f>IFERROR(__xludf.DUMMYFUNCTION("""COMPUTED_VALUE"""),2010.0)</f>
        <v>2010</v>
      </c>
      <c r="B1402" s="11">
        <f>IFERROR(__xludf.DUMMYFUNCTION("""COMPUTED_VALUE"""),2.94750955018514)</f>
        <v>2.94750955</v>
      </c>
      <c r="C1402" s="11">
        <f>IFERROR(__xludf.DUMMYFUNCTION("""COMPUTED_VALUE"""),0.520247516453483)</f>
        <v>0.5202475165</v>
      </c>
      <c r="D1402" s="14">
        <f>IFERROR(__xludf.DUMMYFUNCTION("""COMPUTED_VALUE"""),0.909066790849425)</f>
        <v>0.9090667908</v>
      </c>
      <c r="E1402" s="14">
        <f>IFERROR(__xludf.DUMMYFUNCTION("""COMPUTED_VALUE"""),2.24890858472346)</f>
        <v>2.248908585</v>
      </c>
      <c r="F1402" s="14">
        <f>IFERROR(__xludf.DUMMYFUNCTION("""COMPUTED_VALUE"""),0.269822609921411)</f>
        <v>0.2698226099</v>
      </c>
      <c r="G1402" s="14">
        <f>IFERROR(__xludf.DUMMYFUNCTION("""COMPUTED_VALUE"""),0.227039106002937)</f>
        <v>0.227039106</v>
      </c>
      <c r="H1402" s="14">
        <f>IFERROR(__xludf.DUMMYFUNCTION("""COMPUTED_VALUE"""),0.206793401316504)</f>
        <v>0.2067934013</v>
      </c>
      <c r="I1402" s="14">
        <f>IFERROR(__xludf.DUMMYFUNCTION("""COMPUTED_VALUE"""),2.37834107467209)</f>
        <v>2.378341075</v>
      </c>
      <c r="J1402" s="14">
        <f>IFERROR(__xludf.DUMMYFUNCTION("""COMPUTED_VALUE"""),3.48812956054585)</f>
        <v>3.488129561</v>
      </c>
      <c r="K1402" s="14">
        <f>IFERROR(__xludf.DUMMYFUNCTION("""COMPUTED_VALUE"""),0.495620910207351)</f>
        <v>0.4956209102</v>
      </c>
      <c r="L1402" s="14">
        <f>IFERROR(__xludf.DUMMYFUNCTION("""COMPUTED_VALUE"""),1.15325165046777)</f>
        <v>1.15325165</v>
      </c>
      <c r="M1402" s="14">
        <f>IFERROR(__xludf.DUMMYFUNCTION("""COMPUTED_VALUE"""),1.92577879957479)</f>
        <v>1.9257788</v>
      </c>
      <c r="N1402" s="14">
        <f>IFERROR(__xludf.DUMMYFUNCTION("""COMPUTED_VALUE"""),6.19765678837581)</f>
        <v>6.197656788</v>
      </c>
      <c r="O1402" s="14">
        <f>IFERROR(__xludf.DUMMYFUNCTION("""COMPUTED_VALUE"""),0.113019911356371)</f>
        <v>0.1130199114</v>
      </c>
      <c r="P1402" s="14">
        <f>IFERROR(__xludf.DUMMYFUNCTION("""COMPUTED_VALUE"""),0.184114431992099)</f>
        <v>0.184114432</v>
      </c>
      <c r="Q1402" s="14">
        <f>IFERROR(__xludf.DUMMYFUNCTION("""COMPUTED_VALUE"""),0.839372709227616)</f>
        <v>0.8393727092</v>
      </c>
      <c r="R1402" s="14">
        <f>IFERROR(__xludf.DUMMYFUNCTION("""COMPUTED_VALUE"""),0.871806163518575)</f>
        <v>0.8718061635</v>
      </c>
      <c r="S1402" s="14">
        <f>IFERROR(__xludf.DUMMYFUNCTION("""COMPUTED_VALUE"""),0.124834069276533)</f>
        <v>0.1248340693</v>
      </c>
      <c r="T1402" s="14">
        <f>IFERROR(__xludf.DUMMYFUNCTION("""COMPUTED_VALUE"""),2.52593312225193)</f>
        <v>2.525933122</v>
      </c>
      <c r="U1402" s="14">
        <f>IFERROR(__xludf.DUMMYFUNCTION("""COMPUTED_VALUE"""),0.279087549829586)</f>
        <v>0.2790875498</v>
      </c>
      <c r="V1402" s="14">
        <f>IFERROR(__xludf.DUMMYFUNCTION("""COMPUTED_VALUE"""),0.826336889373487)</f>
        <v>0.8263368894</v>
      </c>
      <c r="W1402" s="14">
        <f>IFERROR(__xludf.DUMMYFUNCTION("""COMPUTED_VALUE"""),8.41209150218817)</f>
        <v>8.412091502</v>
      </c>
      <c r="X1402" s="14">
        <f>IFERROR(__xludf.DUMMYFUNCTION("""COMPUTED_VALUE"""),0.622283472004678)</f>
        <v>0.622283472</v>
      </c>
      <c r="Y1402" s="14">
        <f>IFERROR(__xludf.DUMMYFUNCTION("""COMPUTED_VALUE"""),0.285002296584542)</f>
        <v>0.2850022966</v>
      </c>
      <c r="Z1402" s="14">
        <f>IFERROR(__xludf.DUMMYFUNCTION("""COMPUTED_VALUE"""),1.33854600554749)</f>
        <v>1.338546006</v>
      </c>
      <c r="AA1402" s="14">
        <f>IFERROR(__xludf.DUMMYFUNCTION("""COMPUTED_VALUE"""),1.59069773167205)</f>
        <v>1.590697732</v>
      </c>
      <c r="AB1402" s="14">
        <f>IFERROR(__xludf.DUMMYFUNCTION("""COMPUTED_VALUE"""),5.7177131812187)</f>
        <v>5.717713181</v>
      </c>
      <c r="AC1402" s="14">
        <f>IFERROR(__xludf.DUMMYFUNCTION("""COMPUTED_VALUE"""),24.7640475901848)</f>
        <v>24.76404759</v>
      </c>
      <c r="AD1402" s="14">
        <f>IFERROR(__xludf.DUMMYFUNCTION("""COMPUTED_VALUE"""),2.55050434245033)</f>
        <v>2.550504342</v>
      </c>
      <c r="AE1402" s="14">
        <f>IFERROR(__xludf.DUMMYFUNCTION("""COMPUTED_VALUE"""),0.935975539257669)</f>
        <v>0.9359755393</v>
      </c>
    </row>
    <row r="1403">
      <c r="A1403" s="11">
        <f>IFERROR(__xludf.DUMMYFUNCTION("""COMPUTED_VALUE"""),2011.0)</f>
        <v>2011</v>
      </c>
      <c r="B1403" s="11">
        <f>IFERROR(__xludf.DUMMYFUNCTION("""COMPUTED_VALUE"""),2.90777863598195)</f>
        <v>2.907778636</v>
      </c>
      <c r="C1403" s="11">
        <f>IFERROR(__xludf.DUMMYFUNCTION("""COMPUTED_VALUE"""),0.592376592148648)</f>
        <v>0.5923765921</v>
      </c>
      <c r="D1403" s="14">
        <f>IFERROR(__xludf.DUMMYFUNCTION("""COMPUTED_VALUE"""),0.920404212129387)</f>
        <v>0.9204042121</v>
      </c>
      <c r="E1403" s="14">
        <f>IFERROR(__xludf.DUMMYFUNCTION("""COMPUTED_VALUE"""),2.33914973035098)</f>
        <v>2.33914973</v>
      </c>
      <c r="F1403" s="14">
        <f>IFERROR(__xludf.DUMMYFUNCTION("""COMPUTED_VALUE"""),0.267019808386573)</f>
        <v>0.2670198084</v>
      </c>
      <c r="G1403" s="14">
        <f>IFERROR(__xludf.DUMMYFUNCTION("""COMPUTED_VALUE"""),0.239648743347799)</f>
        <v>0.2396487433</v>
      </c>
      <c r="H1403" s="14">
        <f>IFERROR(__xludf.DUMMYFUNCTION("""COMPUTED_VALUE"""),0.21060460856473)</f>
        <v>0.2106046086</v>
      </c>
      <c r="I1403" s="14">
        <f>IFERROR(__xludf.DUMMYFUNCTION("""COMPUTED_VALUE"""),2.39659922600497)</f>
        <v>2.396599226</v>
      </c>
      <c r="J1403" s="14">
        <f>IFERROR(__xludf.DUMMYFUNCTION("""COMPUTED_VALUE"""),3.79508143173662)</f>
        <v>3.795081432</v>
      </c>
      <c r="K1403" s="14">
        <f>IFERROR(__xludf.DUMMYFUNCTION("""COMPUTED_VALUE"""),0.533993238017419)</f>
        <v>0.533993238</v>
      </c>
      <c r="L1403" s="14">
        <f>IFERROR(__xludf.DUMMYFUNCTION("""COMPUTED_VALUE"""),1.17579132661573)</f>
        <v>1.175791327</v>
      </c>
      <c r="M1403" s="14">
        <f>IFERROR(__xludf.DUMMYFUNCTION("""COMPUTED_VALUE"""),2.14082342650323)</f>
        <v>2.140823427</v>
      </c>
      <c r="N1403" s="14">
        <f>IFERROR(__xludf.DUMMYFUNCTION("""COMPUTED_VALUE"""),6.2306996134201)</f>
        <v>6.230699613</v>
      </c>
      <c r="O1403" s="14">
        <f>IFERROR(__xludf.DUMMYFUNCTION("""COMPUTED_VALUE"""),0.106799671204601)</f>
        <v>0.1067996712</v>
      </c>
      <c r="P1403" s="14">
        <f>IFERROR(__xludf.DUMMYFUNCTION("""COMPUTED_VALUE"""),0.267985633941978)</f>
        <v>0.2679856339</v>
      </c>
      <c r="Q1403" s="14">
        <f>IFERROR(__xludf.DUMMYFUNCTION("""COMPUTED_VALUE"""),0.808764763067436)</f>
        <v>0.8087647631</v>
      </c>
      <c r="R1403" s="14">
        <f>IFERROR(__xludf.DUMMYFUNCTION("""COMPUTED_VALUE"""),0.926321751433171)</f>
        <v>0.9263217514</v>
      </c>
      <c r="S1403" s="14">
        <f>IFERROR(__xludf.DUMMYFUNCTION("""COMPUTED_VALUE"""),0.13278916375936)</f>
        <v>0.1327891638</v>
      </c>
      <c r="T1403" s="14">
        <f>IFERROR(__xludf.DUMMYFUNCTION("""COMPUTED_VALUE"""),2.63952082092299)</f>
        <v>2.639520821</v>
      </c>
      <c r="U1403" s="14">
        <f>IFERROR(__xludf.DUMMYFUNCTION("""COMPUTED_VALUE"""),0.296290603884198)</f>
        <v>0.2962906039</v>
      </c>
      <c r="V1403" s="14">
        <f>IFERROR(__xludf.DUMMYFUNCTION("""COMPUTED_VALUE"""),0.809814222834028)</f>
        <v>0.8098142228</v>
      </c>
      <c r="W1403" s="14">
        <f>IFERROR(__xludf.DUMMYFUNCTION("""COMPUTED_VALUE"""),8.69429912387795)</f>
        <v>8.694299124</v>
      </c>
      <c r="X1403" s="14">
        <f>IFERROR(__xludf.DUMMYFUNCTION("""COMPUTED_VALUE"""),0.527024819315639)</f>
        <v>0.5270248193</v>
      </c>
      <c r="Y1403" s="14">
        <f>IFERROR(__xludf.DUMMYFUNCTION("""COMPUTED_VALUE"""),0.268481186689189)</f>
        <v>0.2684811867</v>
      </c>
      <c r="Z1403" s="14">
        <f>IFERROR(__xludf.DUMMYFUNCTION("""COMPUTED_VALUE"""),1.2981177965911)</f>
        <v>1.298117797</v>
      </c>
      <c r="AA1403" s="14">
        <f>IFERROR(__xludf.DUMMYFUNCTION("""COMPUTED_VALUE"""),2.08939040094036)</f>
        <v>2.089390401</v>
      </c>
      <c r="AB1403" s="14">
        <f>IFERROR(__xludf.DUMMYFUNCTION("""COMPUTED_VALUE"""),6.07026267691545)</f>
        <v>6.070262677</v>
      </c>
      <c r="AC1403" s="14">
        <f>IFERROR(__xludf.DUMMYFUNCTION("""COMPUTED_VALUE"""),25.6163463695942)</f>
        <v>25.61634637</v>
      </c>
      <c r="AD1403" s="14">
        <f>IFERROR(__xludf.DUMMYFUNCTION("""COMPUTED_VALUE"""),2.75967541265998)</f>
        <v>2.759675413</v>
      </c>
      <c r="AE1403" s="14">
        <f>IFERROR(__xludf.DUMMYFUNCTION("""COMPUTED_VALUE"""),0.862152709960091)</f>
        <v>0.86215271</v>
      </c>
    </row>
    <row r="1404">
      <c r="A1404" s="11">
        <f>IFERROR(__xludf.DUMMYFUNCTION("""COMPUTED_VALUE"""),2012.0)</f>
        <v>2012</v>
      </c>
      <c r="B1404" s="11">
        <f>IFERROR(__xludf.DUMMYFUNCTION("""COMPUTED_VALUE"""),2.87155145028602)</f>
        <v>2.87155145</v>
      </c>
      <c r="C1404" s="11">
        <f>IFERROR(__xludf.DUMMYFUNCTION("""COMPUTED_VALUE"""),0.549946802605142)</f>
        <v>0.5499468026</v>
      </c>
      <c r="D1404" s="14">
        <f>IFERROR(__xludf.DUMMYFUNCTION("""COMPUTED_VALUE"""),0.864368635182414)</f>
        <v>0.8643686352</v>
      </c>
      <c r="E1404" s="14">
        <f>IFERROR(__xludf.DUMMYFUNCTION("""COMPUTED_VALUE"""),2.47746457595547)</f>
        <v>2.477464576</v>
      </c>
      <c r="F1404" s="14">
        <f>IFERROR(__xludf.DUMMYFUNCTION("""COMPUTED_VALUE"""),0.290250621373112)</f>
        <v>0.2902506214</v>
      </c>
      <c r="G1404" s="14">
        <f>IFERROR(__xludf.DUMMYFUNCTION("""COMPUTED_VALUE"""),0.243859872864445)</f>
        <v>0.2438598729</v>
      </c>
      <c r="H1404" s="14">
        <f>IFERROR(__xludf.DUMMYFUNCTION("""COMPUTED_VALUE"""),0.219391165294935)</f>
        <v>0.2193911653</v>
      </c>
      <c r="I1404" s="14">
        <f>IFERROR(__xludf.DUMMYFUNCTION("""COMPUTED_VALUE"""),2.50234453879113)</f>
        <v>2.502344539</v>
      </c>
      <c r="J1404" s="14">
        <f>IFERROR(__xludf.DUMMYFUNCTION("""COMPUTED_VALUE"""),3.7857832290915)</f>
        <v>3.785783229</v>
      </c>
      <c r="K1404" s="14">
        <f>IFERROR(__xludf.DUMMYFUNCTION("""COMPUTED_VALUE"""),0.552274899587658)</f>
        <v>0.5522748996</v>
      </c>
      <c r="L1404" s="14">
        <f>IFERROR(__xludf.DUMMYFUNCTION("""COMPUTED_VALUE"""),1.22036220820971)</f>
        <v>1.220362208</v>
      </c>
      <c r="M1404" s="14">
        <f>IFERROR(__xludf.DUMMYFUNCTION("""COMPUTED_VALUE"""),2.27528737263334)</f>
        <v>2.275287373</v>
      </c>
      <c r="N1404" s="14">
        <f>IFERROR(__xludf.DUMMYFUNCTION("""COMPUTED_VALUE"""),6.37354153401644)</f>
        <v>6.373541534</v>
      </c>
      <c r="O1404" s="14">
        <f>IFERROR(__xludf.DUMMYFUNCTION("""COMPUTED_VALUE"""),0.114741987019433)</f>
        <v>0.114741987</v>
      </c>
      <c r="P1404" s="14">
        <f>IFERROR(__xludf.DUMMYFUNCTION("""COMPUTED_VALUE"""),0.283833890458772)</f>
        <v>0.2838338905</v>
      </c>
      <c r="Q1404" s="14">
        <f>IFERROR(__xludf.DUMMYFUNCTION("""COMPUTED_VALUE"""),0.865388817959243)</f>
        <v>0.865388818</v>
      </c>
      <c r="R1404" s="14">
        <f>IFERROR(__xludf.DUMMYFUNCTION("""COMPUTED_VALUE"""),0.999645544939294)</f>
        <v>0.9996455449</v>
      </c>
      <c r="S1404" s="14">
        <f>IFERROR(__xludf.DUMMYFUNCTION("""COMPUTED_VALUE"""),0.14684640913013)</f>
        <v>0.1468464091</v>
      </c>
      <c r="T1404" s="14">
        <f>IFERROR(__xludf.DUMMYFUNCTION("""COMPUTED_VALUE"""),2.86079783039664)</f>
        <v>2.86079783</v>
      </c>
      <c r="U1404" s="14">
        <f>IFERROR(__xludf.DUMMYFUNCTION("""COMPUTED_VALUE"""),0.243325926071235)</f>
        <v>0.2433259261</v>
      </c>
      <c r="V1404" s="14">
        <f>IFERROR(__xludf.DUMMYFUNCTION("""COMPUTED_VALUE"""),0.843077373443594)</f>
        <v>0.8430773734</v>
      </c>
      <c r="W1404" s="14">
        <f>IFERROR(__xludf.DUMMYFUNCTION("""COMPUTED_VALUE"""),9.85252065200945)</f>
        <v>9.852520652</v>
      </c>
      <c r="X1404" s="14">
        <f>IFERROR(__xludf.DUMMYFUNCTION("""COMPUTED_VALUE"""),0.466310013118507)</f>
        <v>0.4663100131</v>
      </c>
      <c r="Y1404" s="14">
        <f>IFERROR(__xludf.DUMMYFUNCTION("""COMPUTED_VALUE"""),0.254669584923563)</f>
        <v>0.2546695849</v>
      </c>
      <c r="Z1404" s="14">
        <f>IFERROR(__xludf.DUMMYFUNCTION("""COMPUTED_VALUE"""),1.20952500230108)</f>
        <v>1.209525002</v>
      </c>
      <c r="AA1404" s="14">
        <f>IFERROR(__xludf.DUMMYFUNCTION("""COMPUTED_VALUE"""),2.03367343623061)</f>
        <v>2.033673436</v>
      </c>
      <c r="AB1404" s="14">
        <f>IFERROR(__xludf.DUMMYFUNCTION("""COMPUTED_VALUE"""),5.8035798910798)</f>
        <v>5.803579891</v>
      </c>
      <c r="AC1404" s="14">
        <f>IFERROR(__xludf.DUMMYFUNCTION("""COMPUTED_VALUE"""),27.0684219147899)</f>
        <v>27.06842191</v>
      </c>
      <c r="AD1404" s="14">
        <f>IFERROR(__xludf.DUMMYFUNCTION("""COMPUTED_VALUE"""),2.46005471937284)</f>
        <v>2.460054719</v>
      </c>
      <c r="AE1404" s="14">
        <f>IFERROR(__xludf.DUMMYFUNCTION("""COMPUTED_VALUE"""),0.791920216867545)</f>
        <v>0.7919202169</v>
      </c>
    </row>
    <row r="1405">
      <c r="A1405" s="11">
        <f>IFERROR(__xludf.DUMMYFUNCTION("""COMPUTED_VALUE"""),2013.0)</f>
        <v>2013</v>
      </c>
      <c r="B1405" s="11">
        <f>IFERROR(__xludf.DUMMYFUNCTION("""COMPUTED_VALUE"""),3.07813169764686)</f>
        <v>3.078131698</v>
      </c>
      <c r="C1405" s="11">
        <f>IFERROR(__xludf.DUMMYFUNCTION("""COMPUTED_VALUE"""),0.534331517041921)</f>
        <v>0.534331517</v>
      </c>
      <c r="D1405" s="14">
        <f>IFERROR(__xludf.DUMMYFUNCTION("""COMPUTED_VALUE"""),0.939759551225438)</f>
        <v>0.9397595512</v>
      </c>
      <c r="E1405" s="14">
        <f>IFERROR(__xludf.DUMMYFUNCTION("""COMPUTED_VALUE"""),2.58122407520883)</f>
        <v>2.581224075</v>
      </c>
      <c r="F1405" s="14">
        <f>IFERROR(__xludf.DUMMYFUNCTION("""COMPUTED_VALUE"""),0.310621814330149)</f>
        <v>0.3106218143</v>
      </c>
      <c r="G1405" s="14">
        <f>IFERROR(__xludf.DUMMYFUNCTION("""COMPUTED_VALUE"""),0.264007221989727)</f>
        <v>0.264007222</v>
      </c>
      <c r="H1405" s="14">
        <f>IFERROR(__xludf.DUMMYFUNCTION("""COMPUTED_VALUE"""),0.246371197230376)</f>
        <v>0.2463711972</v>
      </c>
      <c r="I1405" s="14">
        <f>IFERROR(__xludf.DUMMYFUNCTION("""COMPUTED_VALUE"""),2.58282350527393)</f>
        <v>2.582823505</v>
      </c>
      <c r="J1405" s="14">
        <f>IFERROR(__xludf.DUMMYFUNCTION("""COMPUTED_VALUE"""),3.92883555795354)</f>
        <v>3.928835558</v>
      </c>
      <c r="K1405" s="14">
        <f>IFERROR(__xludf.DUMMYFUNCTION("""COMPUTED_VALUE"""),0.530207299774902)</f>
        <v>0.5302072998</v>
      </c>
      <c r="L1405" s="14">
        <f>IFERROR(__xludf.DUMMYFUNCTION("""COMPUTED_VALUE"""),1.23515274795896)</f>
        <v>1.235152748</v>
      </c>
      <c r="M1405" s="14">
        <f>IFERROR(__xludf.DUMMYFUNCTION("""COMPUTED_VALUE"""),2.8321603202579)</f>
        <v>2.83216032</v>
      </c>
      <c r="N1405" s="14">
        <f>IFERROR(__xludf.DUMMYFUNCTION("""COMPUTED_VALUE"""),6.71435502866873)</f>
        <v>6.714355029</v>
      </c>
      <c r="O1405" s="14">
        <f>IFERROR(__xludf.DUMMYFUNCTION("""COMPUTED_VALUE"""),0.119452344367908)</f>
        <v>0.1194523444</v>
      </c>
      <c r="P1405" s="14">
        <f>IFERROR(__xludf.DUMMYFUNCTION("""COMPUTED_VALUE"""),0.258637678502808)</f>
        <v>0.2586376785</v>
      </c>
      <c r="Q1405" s="14">
        <f>IFERROR(__xludf.DUMMYFUNCTION("""COMPUTED_VALUE"""),0.874741788392174)</f>
        <v>0.8747417884</v>
      </c>
      <c r="R1405" s="14">
        <f>IFERROR(__xludf.DUMMYFUNCTION("""COMPUTED_VALUE"""),1.05339982574793)</f>
        <v>1.053399826</v>
      </c>
      <c r="S1405" s="14">
        <f>IFERROR(__xludf.DUMMYFUNCTION("""COMPUTED_VALUE"""),0.14876356597332)</f>
        <v>0.148763566</v>
      </c>
      <c r="T1405" s="14">
        <f>IFERROR(__xludf.DUMMYFUNCTION("""COMPUTED_VALUE"""),2.92108408786786)</f>
        <v>2.921084088</v>
      </c>
      <c r="U1405" s="14">
        <f>IFERROR(__xludf.DUMMYFUNCTION("""COMPUTED_VALUE"""),0.24484826511846)</f>
        <v>0.2448482651</v>
      </c>
      <c r="V1405" s="14">
        <f>IFERROR(__xludf.DUMMYFUNCTION("""COMPUTED_VALUE"""),0.931631041197384)</f>
        <v>0.9316310412</v>
      </c>
      <c r="W1405" s="14">
        <f>IFERROR(__xludf.DUMMYFUNCTION("""COMPUTED_VALUE"""),10.2788332596298)</f>
        <v>10.27883326</v>
      </c>
      <c r="X1405" s="14">
        <f>IFERROR(__xludf.DUMMYFUNCTION("""COMPUTED_VALUE"""),0.47414623459641)</f>
        <v>0.4741462346</v>
      </c>
      <c r="Y1405" s="14">
        <f>IFERROR(__xludf.DUMMYFUNCTION("""COMPUTED_VALUE"""),0.247447444746234)</f>
        <v>0.2474474447</v>
      </c>
      <c r="Z1405" s="14">
        <f>IFERROR(__xludf.DUMMYFUNCTION("""COMPUTED_VALUE"""),1.20231694136732)</f>
        <v>1.202316941</v>
      </c>
      <c r="AA1405" s="14">
        <f>IFERROR(__xludf.DUMMYFUNCTION("""COMPUTED_VALUE"""),1.55664906474987)</f>
        <v>1.556649065</v>
      </c>
      <c r="AB1405" s="14">
        <f>IFERROR(__xludf.DUMMYFUNCTION("""COMPUTED_VALUE"""),6.36574238972535)</f>
        <v>6.36574239</v>
      </c>
      <c r="AC1405" s="14">
        <f>IFERROR(__xludf.DUMMYFUNCTION("""COMPUTED_VALUE"""),28.2194821071402)</f>
        <v>28.21948211</v>
      </c>
      <c r="AD1405" s="14">
        <f>IFERROR(__xludf.DUMMYFUNCTION("""COMPUTED_VALUE"""),2.43112800339494)</f>
        <v>2.431128003</v>
      </c>
      <c r="AE1405" s="14">
        <f>IFERROR(__xludf.DUMMYFUNCTION("""COMPUTED_VALUE"""),1.0495225387391)</f>
        <v>1.049522539</v>
      </c>
    </row>
    <row r="1406">
      <c r="A1406" s="11">
        <f>IFERROR(__xludf.DUMMYFUNCTION("""COMPUTED_VALUE"""),2014.0)</f>
        <v>2014</v>
      </c>
      <c r="B1406" s="11">
        <f>IFERROR(__xludf.DUMMYFUNCTION("""COMPUTED_VALUE"""),2.96520895206414)</f>
        <v>2.965208952</v>
      </c>
      <c r="C1406" s="11">
        <f>IFERROR(__xludf.DUMMYFUNCTION("""COMPUTED_VALUE"""),0.587270415234709)</f>
        <v>0.5872704152</v>
      </c>
      <c r="D1406" s="14">
        <f>IFERROR(__xludf.DUMMYFUNCTION("""COMPUTED_VALUE"""),0.96582858869896)</f>
        <v>0.9658285887</v>
      </c>
      <c r="E1406" s="14">
        <f>IFERROR(__xludf.DUMMYFUNCTION("""COMPUTED_VALUE"""),2.59061192726714)</f>
        <v>2.590611927</v>
      </c>
      <c r="F1406" s="14">
        <f>IFERROR(__xludf.DUMMYFUNCTION("""COMPUTED_VALUE"""),0.320104671098529)</f>
        <v>0.3201046711</v>
      </c>
      <c r="G1406" s="14">
        <f>IFERROR(__xludf.DUMMYFUNCTION("""COMPUTED_VALUE"""),0.257348282003854)</f>
        <v>0.257348282</v>
      </c>
      <c r="H1406" s="14">
        <f>IFERROR(__xludf.DUMMYFUNCTION("""COMPUTED_VALUE"""),0.242176620882502)</f>
        <v>0.2421766209</v>
      </c>
      <c r="I1406" s="14">
        <f>IFERROR(__xludf.DUMMYFUNCTION("""COMPUTED_VALUE"""),2.86300459392159)</f>
        <v>2.863004594</v>
      </c>
      <c r="J1406" s="14">
        <f>IFERROR(__xludf.DUMMYFUNCTION("""COMPUTED_VALUE"""),3.84417236953944)</f>
        <v>3.84417237</v>
      </c>
      <c r="K1406" s="14">
        <f>IFERROR(__xludf.DUMMYFUNCTION("""COMPUTED_VALUE"""),0.582097075405689)</f>
        <v>0.5820970754</v>
      </c>
      <c r="L1406" s="14">
        <f>IFERROR(__xludf.DUMMYFUNCTION("""COMPUTED_VALUE"""),1.24012165317015)</f>
        <v>1.240121653</v>
      </c>
      <c r="M1406" s="14">
        <f>IFERROR(__xludf.DUMMYFUNCTION("""COMPUTED_VALUE"""),4.38183638943482)</f>
        <v>4.381836389</v>
      </c>
      <c r="N1406" s="14">
        <f>IFERROR(__xludf.DUMMYFUNCTION("""COMPUTED_VALUE"""),6.89700996444676)</f>
        <v>6.897009964</v>
      </c>
      <c r="O1406" s="14">
        <f>IFERROR(__xludf.DUMMYFUNCTION("""COMPUTED_VALUE"""),0.130930925447883)</f>
        <v>0.1309309254</v>
      </c>
      <c r="P1406" s="14">
        <f>IFERROR(__xludf.DUMMYFUNCTION("""COMPUTED_VALUE"""),0.118256398430384)</f>
        <v>0.1182563984</v>
      </c>
      <c r="Q1406" s="14">
        <f>IFERROR(__xludf.DUMMYFUNCTION("""COMPUTED_VALUE"""),1.05082482272118)</f>
        <v>1.050824823</v>
      </c>
      <c r="R1406" s="14">
        <f>IFERROR(__xludf.DUMMYFUNCTION("""COMPUTED_VALUE"""),1.06879641846102)</f>
        <v>1.068796418</v>
      </c>
      <c r="S1406" s="14">
        <f>IFERROR(__xludf.DUMMYFUNCTION("""COMPUTED_VALUE"""),0.143194370412969)</f>
        <v>0.1431943704</v>
      </c>
      <c r="T1406" s="14">
        <f>IFERROR(__xludf.DUMMYFUNCTION("""COMPUTED_VALUE"""),2.8301507867398)</f>
        <v>2.830150787</v>
      </c>
      <c r="U1406" s="14">
        <f>IFERROR(__xludf.DUMMYFUNCTION("""COMPUTED_VALUE"""),0.273745492382007)</f>
        <v>0.2737454924</v>
      </c>
      <c r="V1406" s="14">
        <f>IFERROR(__xludf.DUMMYFUNCTION("""COMPUTED_VALUE"""),0.955647726056811)</f>
        <v>0.9556477261</v>
      </c>
      <c r="W1406" s="14">
        <f>IFERROR(__xludf.DUMMYFUNCTION("""COMPUTED_VALUE"""),10.114980867808)</f>
        <v>10.11498087</v>
      </c>
      <c r="X1406" s="14">
        <f>IFERROR(__xludf.DUMMYFUNCTION("""COMPUTED_VALUE"""),0.407052737399189)</f>
        <v>0.4070527374</v>
      </c>
      <c r="Y1406" s="14">
        <f>IFERROR(__xludf.DUMMYFUNCTION("""COMPUTED_VALUE"""),0.222169319310221)</f>
        <v>0.2221693193</v>
      </c>
      <c r="Z1406" s="14">
        <f>IFERROR(__xludf.DUMMYFUNCTION("""COMPUTED_VALUE"""),1.24330871595293)</f>
        <v>1.243308716</v>
      </c>
      <c r="AA1406" s="14">
        <f>IFERROR(__xludf.DUMMYFUNCTION("""COMPUTED_VALUE"""),2.14997596268465)</f>
        <v>2.149975963</v>
      </c>
      <c r="AB1406" s="14">
        <f>IFERROR(__xludf.DUMMYFUNCTION("""COMPUTED_VALUE"""),7.78734782852031)</f>
        <v>7.787347829</v>
      </c>
      <c r="AC1406" s="14">
        <f>IFERROR(__xludf.DUMMYFUNCTION("""COMPUTED_VALUE"""),28.1591030924479)</f>
        <v>28.15910309</v>
      </c>
      <c r="AD1406" s="14">
        <f>IFERROR(__xludf.DUMMYFUNCTION("""COMPUTED_VALUE"""),2.33643400185255)</f>
        <v>2.336434002</v>
      </c>
      <c r="AE1406" s="14">
        <f>IFERROR(__xludf.DUMMYFUNCTION("""COMPUTED_VALUE"""),1.10818676371841)</f>
        <v>1.108186764</v>
      </c>
    </row>
    <row r="1407">
      <c r="A1407" s="11">
        <f>IFERROR(__xludf.DUMMYFUNCTION("""COMPUTED_VALUE"""),2015.0)</f>
        <v>2015</v>
      </c>
      <c r="B1407" s="11">
        <f>IFERROR(__xludf.DUMMYFUNCTION("""COMPUTED_VALUE"""),3.12401984721486)</f>
        <v>3.124019847</v>
      </c>
      <c r="C1407" s="11">
        <f>IFERROR(__xludf.DUMMYFUNCTION("""COMPUTED_VALUE"""),0.60696002432824)</f>
        <v>0.6069600243</v>
      </c>
      <c r="D1407" s="14">
        <f>IFERROR(__xludf.DUMMYFUNCTION("""COMPUTED_VALUE"""),1.03646004801647)</f>
        <v>1.036460048</v>
      </c>
      <c r="E1407" s="14">
        <f>IFERROR(__xludf.DUMMYFUNCTION("""COMPUTED_VALUE"""),2.81177801652627)</f>
        <v>2.811778017</v>
      </c>
      <c r="F1407" s="14">
        <f>IFERROR(__xludf.DUMMYFUNCTION("""COMPUTED_VALUE"""),0.315815979583976)</f>
        <v>0.3158159796</v>
      </c>
      <c r="G1407" s="14">
        <f>IFERROR(__xludf.DUMMYFUNCTION("""COMPUTED_VALUE"""),0.252276919639441)</f>
        <v>0.2522769196</v>
      </c>
      <c r="H1407" s="14">
        <f>IFERROR(__xludf.DUMMYFUNCTION("""COMPUTED_VALUE"""),0.248241975211193)</f>
        <v>0.2482419752</v>
      </c>
      <c r="I1407" s="14">
        <f>IFERROR(__xludf.DUMMYFUNCTION("""COMPUTED_VALUE"""),3.04745725550101)</f>
        <v>3.047457256</v>
      </c>
      <c r="J1407" s="14">
        <f>IFERROR(__xludf.DUMMYFUNCTION("""COMPUTED_VALUE"""),4.14883274236227)</f>
        <v>4.148832742</v>
      </c>
      <c r="K1407" s="14">
        <f>IFERROR(__xludf.DUMMYFUNCTION("""COMPUTED_VALUE"""),0.699247965998027)</f>
        <v>0.699247966</v>
      </c>
      <c r="L1407" s="14">
        <f>IFERROR(__xludf.DUMMYFUNCTION("""COMPUTED_VALUE"""),1.2958420233838)</f>
        <v>1.295842023</v>
      </c>
      <c r="M1407" s="14">
        <f>IFERROR(__xludf.DUMMYFUNCTION("""COMPUTED_VALUE"""),3.17954966347367)</f>
        <v>3.179549663</v>
      </c>
      <c r="N1407" s="14">
        <f>IFERROR(__xludf.DUMMYFUNCTION("""COMPUTED_VALUE"""),7.35298935358501)</f>
        <v>7.352989354</v>
      </c>
      <c r="O1407" s="14">
        <f>IFERROR(__xludf.DUMMYFUNCTION("""COMPUTED_VALUE"""),0.167459006308137)</f>
        <v>0.1674590063</v>
      </c>
      <c r="P1407" s="14">
        <f>IFERROR(__xludf.DUMMYFUNCTION("""COMPUTED_VALUE"""),0.116786882266581)</f>
        <v>0.1167868823</v>
      </c>
      <c r="Q1407" s="14">
        <f>IFERROR(__xludf.DUMMYFUNCTION("""COMPUTED_VALUE"""),1.03199458067129)</f>
        <v>1.031994581</v>
      </c>
      <c r="R1407" s="14">
        <f>IFERROR(__xludf.DUMMYFUNCTION("""COMPUTED_VALUE"""),1.18151225086912)</f>
        <v>1.181512251</v>
      </c>
      <c r="S1407" s="14">
        <f>IFERROR(__xludf.DUMMYFUNCTION("""COMPUTED_VALUE"""),0.155443719344218)</f>
        <v>0.1554437193</v>
      </c>
      <c r="T1407" s="14">
        <f>IFERROR(__xludf.DUMMYFUNCTION("""COMPUTED_VALUE"""),3.01126995320716)</f>
        <v>3.011269953</v>
      </c>
      <c r="U1407" s="14">
        <f>IFERROR(__xludf.DUMMYFUNCTION("""COMPUTED_VALUE"""),0.27768841326011)</f>
        <v>0.2776884133</v>
      </c>
      <c r="V1407" s="14">
        <f>IFERROR(__xludf.DUMMYFUNCTION("""COMPUTED_VALUE"""),0.968787059279514)</f>
        <v>0.9687870593</v>
      </c>
      <c r="W1407" s="14">
        <f>IFERROR(__xludf.DUMMYFUNCTION("""COMPUTED_VALUE"""),11.1386578428514)</f>
        <v>11.13865784</v>
      </c>
      <c r="X1407" s="14">
        <f>IFERROR(__xludf.DUMMYFUNCTION("""COMPUTED_VALUE"""),0.42997486132832)</f>
        <v>0.4299748613</v>
      </c>
      <c r="Y1407" s="14">
        <f>IFERROR(__xludf.DUMMYFUNCTION("""COMPUTED_VALUE"""),0.224033407129116)</f>
        <v>0.2240334071</v>
      </c>
      <c r="Z1407" s="14">
        <f>IFERROR(__xludf.DUMMYFUNCTION("""COMPUTED_VALUE"""),1.26861980129899)</f>
        <v>1.268619801</v>
      </c>
      <c r="AA1407" s="14">
        <f>IFERROR(__xludf.DUMMYFUNCTION("""COMPUTED_VALUE"""),2.10374838061928)</f>
        <v>2.103748381</v>
      </c>
      <c r="AB1407" s="14">
        <f>IFERROR(__xludf.DUMMYFUNCTION("""COMPUTED_VALUE"""),6.57567820936392)</f>
        <v>6.575678209</v>
      </c>
      <c r="AC1407" s="14">
        <f>IFERROR(__xludf.DUMMYFUNCTION("""COMPUTED_VALUE"""),30.2670437736309)</f>
        <v>30.26704377</v>
      </c>
      <c r="AD1407" s="14">
        <f>IFERROR(__xludf.DUMMYFUNCTION("""COMPUTED_VALUE"""),2.26872934535424)</f>
        <v>2.268729345</v>
      </c>
      <c r="AE1407" s="14">
        <f>IFERROR(__xludf.DUMMYFUNCTION("""COMPUTED_VALUE"""),1.18827175217237)</f>
        <v>1.188271752</v>
      </c>
    </row>
    <row r="1408">
      <c r="A1408" s="11">
        <f>IFERROR(__xludf.DUMMYFUNCTION("""COMPUTED_VALUE"""),2016.0)</f>
        <v>2016</v>
      </c>
      <c r="B1408" s="11">
        <f>IFERROR(__xludf.DUMMYFUNCTION("""COMPUTED_VALUE"""),2.99181024476541)</f>
        <v>2.991810245</v>
      </c>
      <c r="C1408" s="11">
        <f>IFERROR(__xludf.DUMMYFUNCTION("""COMPUTED_VALUE"""),0.519061450410838)</f>
        <v>0.5190614504</v>
      </c>
      <c r="D1408" s="14">
        <f>IFERROR(__xludf.DUMMYFUNCTION("""COMPUTED_VALUE"""),1.23490641412986)</f>
        <v>1.234906414</v>
      </c>
      <c r="E1408" s="14">
        <f>IFERROR(__xludf.DUMMYFUNCTION("""COMPUTED_VALUE"""),2.68856816762699)</f>
        <v>2.688568168</v>
      </c>
      <c r="F1408" s="14">
        <f>IFERROR(__xludf.DUMMYFUNCTION("""COMPUTED_VALUE"""),0.296098868320141)</f>
        <v>0.2960988683</v>
      </c>
      <c r="G1408" s="14">
        <f>IFERROR(__xludf.DUMMYFUNCTION("""COMPUTED_VALUE"""),0.163723652117353)</f>
        <v>0.1637236521</v>
      </c>
      <c r="H1408" s="14">
        <f>IFERROR(__xludf.DUMMYFUNCTION("""COMPUTED_VALUE"""),0.218933360996843)</f>
        <v>0.218933361</v>
      </c>
      <c r="I1408" s="14">
        <f>IFERROR(__xludf.DUMMYFUNCTION("""COMPUTED_VALUE"""),3.18341657063277)</f>
        <v>3.183416571</v>
      </c>
      <c r="J1408" s="14">
        <f>IFERROR(__xludf.DUMMYFUNCTION("""COMPUTED_VALUE"""),3.92444713661508)</f>
        <v>3.924447137</v>
      </c>
      <c r="K1408" s="14">
        <f>IFERROR(__xludf.DUMMYFUNCTION("""COMPUTED_VALUE"""),0.671937510611495)</f>
        <v>0.6719375106</v>
      </c>
      <c r="L1408" s="14">
        <f>IFERROR(__xludf.DUMMYFUNCTION("""COMPUTED_VALUE"""),1.21602087729615)</f>
        <v>1.216020877</v>
      </c>
      <c r="M1408" s="14">
        <f>IFERROR(__xludf.DUMMYFUNCTION("""COMPUTED_VALUE"""),3.12394199300037)</f>
        <v>3.123941993</v>
      </c>
      <c r="N1408" s="14">
        <f>IFERROR(__xludf.DUMMYFUNCTION("""COMPUTED_VALUE"""),7.36883280793289)</f>
        <v>7.368832808</v>
      </c>
      <c r="O1408" s="14">
        <f>IFERROR(__xludf.DUMMYFUNCTION("""COMPUTED_VALUE"""),0.166264579647046)</f>
        <v>0.1662645796</v>
      </c>
      <c r="P1408" s="14">
        <f>IFERROR(__xludf.DUMMYFUNCTION("""COMPUTED_VALUE"""),0.247938068844693)</f>
        <v>0.2479380688</v>
      </c>
      <c r="Q1408" s="14">
        <f>IFERROR(__xludf.DUMMYFUNCTION("""COMPUTED_VALUE"""),0.951683539387096)</f>
        <v>0.9516835394</v>
      </c>
      <c r="R1408" s="14">
        <f>IFERROR(__xludf.DUMMYFUNCTION("""COMPUTED_VALUE"""),1.19360599253469)</f>
        <v>1.193605993</v>
      </c>
      <c r="S1408" s="14">
        <f>IFERROR(__xludf.DUMMYFUNCTION("""COMPUTED_VALUE"""),0.153105851697821)</f>
        <v>0.1531058517</v>
      </c>
      <c r="T1408" s="14">
        <f>IFERROR(__xludf.DUMMYFUNCTION("""COMPUTED_VALUE"""),2.98492355030355)</f>
        <v>2.98492355</v>
      </c>
      <c r="U1408" s="14">
        <f>IFERROR(__xludf.DUMMYFUNCTION("""COMPUTED_VALUE"""),0.255172565550951)</f>
        <v>0.2551725656</v>
      </c>
      <c r="V1408" s="14">
        <f>IFERROR(__xludf.DUMMYFUNCTION("""COMPUTED_VALUE"""),0.95507809971264)</f>
        <v>0.9550780997</v>
      </c>
      <c r="W1408" s="14">
        <f>IFERROR(__xludf.DUMMYFUNCTION("""COMPUTED_VALUE"""),11.266580224456)</f>
        <v>11.26658022</v>
      </c>
      <c r="X1408" s="14">
        <f>IFERROR(__xludf.DUMMYFUNCTION("""COMPUTED_VALUE"""),0.391855393708049)</f>
        <v>0.3918553937</v>
      </c>
      <c r="Y1408" s="14">
        <f>IFERROR(__xludf.DUMMYFUNCTION("""COMPUTED_VALUE"""),0.211871406378167)</f>
        <v>0.2118714064</v>
      </c>
      <c r="Z1408" s="14">
        <f>IFERROR(__xludf.DUMMYFUNCTION("""COMPUTED_VALUE"""),1.1974865541497)</f>
        <v>1.197486554</v>
      </c>
      <c r="AA1408" s="14">
        <f>IFERROR(__xludf.DUMMYFUNCTION("""COMPUTED_VALUE"""),4.06491546716384)</f>
        <v>4.064915467</v>
      </c>
      <c r="AB1408" s="14">
        <f>IFERROR(__xludf.DUMMYFUNCTION("""COMPUTED_VALUE"""),6.19405187561651)</f>
        <v>6.194051876</v>
      </c>
      <c r="AC1408" s="14">
        <f>IFERROR(__xludf.DUMMYFUNCTION("""COMPUTED_VALUE"""),29.6802113012333)</f>
        <v>29.6802113</v>
      </c>
      <c r="AD1408" s="14">
        <f>IFERROR(__xludf.DUMMYFUNCTION("""COMPUTED_VALUE"""),2.09309369159273)</f>
        <v>2.093093692</v>
      </c>
      <c r="AE1408" s="14">
        <f>IFERROR(__xludf.DUMMYFUNCTION("""COMPUTED_VALUE"""),0.941570220296285)</f>
        <v>0.9415702203</v>
      </c>
    </row>
    <row r="1409">
      <c r="A1409" s="11">
        <f>IFERROR(__xludf.DUMMYFUNCTION("""COMPUTED_VALUE"""),2017.0)</f>
        <v>2017</v>
      </c>
      <c r="B1409" s="11">
        <f>IFERROR(__xludf.DUMMYFUNCTION("""COMPUTED_VALUE"""),3.00814018909452)</f>
        <v>3.008140189</v>
      </c>
      <c r="C1409" s="11">
        <f>IFERROR(__xludf.DUMMYFUNCTION("""COMPUTED_VALUE"""),0.559556246712744)</f>
        <v>0.5595562467</v>
      </c>
      <c r="D1409" s="14">
        <f>IFERROR(__xludf.DUMMYFUNCTION("""COMPUTED_VALUE"""),1.25082988232968)</f>
        <v>1.250829882</v>
      </c>
      <c r="E1409" s="14">
        <f>IFERROR(__xludf.DUMMYFUNCTION("""COMPUTED_VALUE"""),2.72766388635881)</f>
        <v>2.727663886</v>
      </c>
      <c r="F1409" s="14">
        <f>IFERROR(__xludf.DUMMYFUNCTION("""COMPUTED_VALUE"""),0.283502036250579)</f>
        <v>0.2835020363</v>
      </c>
      <c r="G1409" s="14">
        <f>IFERROR(__xludf.DUMMYFUNCTION("""COMPUTED_VALUE"""),0.152416996357582)</f>
        <v>0.1524169964</v>
      </c>
      <c r="H1409" s="14">
        <f>IFERROR(__xludf.DUMMYFUNCTION("""COMPUTED_VALUE"""),0.236690946765625)</f>
        <v>0.2366909468</v>
      </c>
      <c r="I1409" s="14">
        <f>IFERROR(__xludf.DUMMYFUNCTION("""COMPUTED_VALUE"""),3.07542298905713)</f>
        <v>3.075422989</v>
      </c>
      <c r="J1409" s="14">
        <f>IFERROR(__xludf.DUMMYFUNCTION("""COMPUTED_VALUE"""),3.86901752104739)</f>
        <v>3.869017521</v>
      </c>
      <c r="K1409" s="14">
        <f>IFERROR(__xludf.DUMMYFUNCTION("""COMPUTED_VALUE"""),0.613888970691831)</f>
        <v>0.6138889707</v>
      </c>
      <c r="L1409" s="14">
        <f>IFERROR(__xludf.DUMMYFUNCTION("""COMPUTED_VALUE"""),1.26249289024356)</f>
        <v>1.26249289</v>
      </c>
      <c r="M1409" s="14">
        <f>IFERROR(__xludf.DUMMYFUNCTION("""COMPUTED_VALUE"""),1.72437885965963)</f>
        <v>1.72437886</v>
      </c>
      <c r="N1409" s="14">
        <f>IFERROR(__xludf.DUMMYFUNCTION("""COMPUTED_VALUE"""),7.31175566978709)</f>
        <v>7.31175567</v>
      </c>
      <c r="O1409" s="14">
        <f>IFERROR(__xludf.DUMMYFUNCTION("""COMPUTED_VALUE"""),0.139620772355604)</f>
        <v>0.1396207724</v>
      </c>
      <c r="P1409" s="14">
        <f>IFERROR(__xludf.DUMMYFUNCTION("""COMPUTED_VALUE"""),0.228060647910213)</f>
        <v>0.2280606479</v>
      </c>
      <c r="Q1409" s="14">
        <f>IFERROR(__xludf.DUMMYFUNCTION("""COMPUTED_VALUE"""),0.904487881276515)</f>
        <v>0.9044878813</v>
      </c>
      <c r="R1409" s="14">
        <f>IFERROR(__xludf.DUMMYFUNCTION("""COMPUTED_VALUE"""),1.22819249163544)</f>
        <v>1.228192492</v>
      </c>
      <c r="S1409" s="14">
        <f>IFERROR(__xludf.DUMMYFUNCTION("""COMPUTED_VALUE"""),0.160530040000907)</f>
        <v>0.16053004</v>
      </c>
      <c r="T1409" s="14">
        <f>IFERROR(__xludf.DUMMYFUNCTION("""COMPUTED_VALUE"""),3.10753620955683)</f>
        <v>3.10753621</v>
      </c>
      <c r="U1409" s="14">
        <f>IFERROR(__xludf.DUMMYFUNCTION("""COMPUTED_VALUE"""),0.281406195007616)</f>
        <v>0.281406195</v>
      </c>
      <c r="V1409" s="14">
        <f>IFERROR(__xludf.DUMMYFUNCTION("""COMPUTED_VALUE"""),1.00604214291774)</f>
        <v>1.006042143</v>
      </c>
      <c r="W1409" s="14">
        <f>IFERROR(__xludf.DUMMYFUNCTION("""COMPUTED_VALUE"""),11.7874932566281)</f>
        <v>11.78749326</v>
      </c>
      <c r="X1409" s="14">
        <f>IFERROR(__xludf.DUMMYFUNCTION("""COMPUTED_VALUE"""),0.417780435374059)</f>
        <v>0.4177804354</v>
      </c>
      <c r="Y1409" s="14">
        <f>IFERROR(__xludf.DUMMYFUNCTION("""COMPUTED_VALUE"""),0.244754694540347)</f>
        <v>0.2447546945</v>
      </c>
      <c r="Z1409" s="14">
        <f>IFERROR(__xludf.DUMMYFUNCTION("""COMPUTED_VALUE"""),1.38200371378809)</f>
        <v>1.382003714</v>
      </c>
      <c r="AA1409" s="14">
        <f>IFERROR(__xludf.DUMMYFUNCTION("""COMPUTED_VALUE"""),3.41088459957246)</f>
        <v>3.4108846</v>
      </c>
      <c r="AB1409" s="14">
        <f>IFERROR(__xludf.DUMMYFUNCTION("""COMPUTED_VALUE"""),4.87773305724704)</f>
        <v>4.877733057</v>
      </c>
      <c r="AC1409" s="14">
        <f>IFERROR(__xludf.DUMMYFUNCTION("""COMPUTED_VALUE"""),30.6474449825931)</f>
        <v>30.64744498</v>
      </c>
      <c r="AD1409" s="14">
        <f>IFERROR(__xludf.DUMMYFUNCTION("""COMPUTED_VALUE"""),2.16212979849254)</f>
        <v>2.162129798</v>
      </c>
      <c r="AE1409" s="14">
        <f>IFERROR(__xludf.DUMMYFUNCTION("""COMPUTED_VALUE"""),1.02289401557416)</f>
        <v>1.022894016</v>
      </c>
    </row>
    <row r="1410">
      <c r="A1410" s="11">
        <f>IFERROR(__xludf.DUMMYFUNCTION("""COMPUTED_VALUE"""),2018.0)</f>
        <v>2018</v>
      </c>
      <c r="B1410" s="11">
        <f>IFERROR(__xludf.DUMMYFUNCTION("""COMPUTED_VALUE"""),2.70729817548758)</f>
        <v>2.707298175</v>
      </c>
      <c r="C1410" s="11">
        <f>IFERROR(__xludf.DUMMYFUNCTION("""COMPUTED_VALUE"""),0.475161680868284)</f>
        <v>0.4751616809</v>
      </c>
      <c r="D1410" s="14">
        <f>IFERROR(__xludf.DUMMYFUNCTION("""COMPUTED_VALUE"""),1.19282271152916)</f>
        <v>1.192822712</v>
      </c>
      <c r="E1410" s="14">
        <f>IFERROR(__xludf.DUMMYFUNCTION("""COMPUTED_VALUE"""),2.52516873941891)</f>
        <v>2.525168739</v>
      </c>
      <c r="F1410" s="14">
        <f>IFERROR(__xludf.DUMMYFUNCTION("""COMPUTED_VALUE"""),0.227936774479841)</f>
        <v>0.2279367745</v>
      </c>
      <c r="G1410" s="14">
        <f>IFERROR(__xludf.DUMMYFUNCTION("""COMPUTED_VALUE"""),0.123576983572242)</f>
        <v>0.1235769836</v>
      </c>
      <c r="H1410" s="14">
        <f>IFERROR(__xludf.DUMMYFUNCTION("""COMPUTED_VALUE"""),0.20861679836099)</f>
        <v>0.2086167984</v>
      </c>
      <c r="I1410" s="14">
        <f>IFERROR(__xludf.DUMMYFUNCTION("""COMPUTED_VALUE"""),2.73206964872273)</f>
        <v>2.732069649</v>
      </c>
      <c r="J1410" s="14">
        <f>IFERROR(__xludf.DUMMYFUNCTION("""COMPUTED_VALUE"""),3.47423580480618)</f>
        <v>3.474235805</v>
      </c>
      <c r="K1410" s="14">
        <f>IFERROR(__xludf.DUMMYFUNCTION("""COMPUTED_VALUE"""),0.495446996286636)</f>
        <v>0.4954469963</v>
      </c>
      <c r="L1410" s="14">
        <f>IFERROR(__xludf.DUMMYFUNCTION("""COMPUTED_VALUE"""),1.19688968791896)</f>
        <v>1.196889688</v>
      </c>
      <c r="M1410" s="14">
        <f>IFERROR(__xludf.DUMMYFUNCTION("""COMPUTED_VALUE"""),1.55874515298174)</f>
        <v>1.558745153</v>
      </c>
      <c r="N1410" s="14">
        <f>IFERROR(__xludf.DUMMYFUNCTION("""COMPUTED_VALUE"""),6.59364789079859)</f>
        <v>6.593647891</v>
      </c>
      <c r="O1410" s="14">
        <f>IFERROR(__xludf.DUMMYFUNCTION("""COMPUTED_VALUE"""),0.11163938935535)</f>
        <v>0.1116393894</v>
      </c>
      <c r="P1410" s="14">
        <f>IFERROR(__xludf.DUMMYFUNCTION("""COMPUTED_VALUE"""),0.16396597846632)</f>
        <v>0.1639659785</v>
      </c>
      <c r="Q1410" s="14">
        <f>IFERROR(__xludf.DUMMYFUNCTION("""COMPUTED_VALUE"""),0.747251265599453)</f>
        <v>0.7472512656</v>
      </c>
      <c r="R1410" s="14">
        <f>IFERROR(__xludf.DUMMYFUNCTION("""COMPUTED_VALUE"""),1.15428006658827)</f>
        <v>1.154280067</v>
      </c>
      <c r="S1410" s="14">
        <f>IFERROR(__xludf.DUMMYFUNCTION("""COMPUTED_VALUE"""),0.148335040723779)</f>
        <v>0.1483350407</v>
      </c>
      <c r="T1410" s="14">
        <f>IFERROR(__xludf.DUMMYFUNCTION("""COMPUTED_VALUE"""),2.8790509265424)</f>
        <v>2.879050927</v>
      </c>
      <c r="U1410" s="14">
        <f>IFERROR(__xludf.DUMMYFUNCTION("""COMPUTED_VALUE"""),0.225604215495101)</f>
        <v>0.2256042155</v>
      </c>
      <c r="V1410" s="14">
        <f>IFERROR(__xludf.DUMMYFUNCTION("""COMPUTED_VALUE"""),0.975392890474161)</f>
        <v>0.9753928905</v>
      </c>
      <c r="W1410" s="14">
        <f>IFERROR(__xludf.DUMMYFUNCTION("""COMPUTED_VALUE"""),10.95250485343)</f>
        <v>10.95250485</v>
      </c>
      <c r="X1410" s="14">
        <f>IFERROR(__xludf.DUMMYFUNCTION("""COMPUTED_VALUE"""),0.371508277626083)</f>
        <v>0.3715082776</v>
      </c>
      <c r="Y1410" s="14">
        <f>IFERROR(__xludf.DUMMYFUNCTION("""COMPUTED_VALUE"""),0.191596240696081)</f>
        <v>0.1915962407</v>
      </c>
      <c r="Z1410" s="14">
        <f>IFERROR(__xludf.DUMMYFUNCTION("""COMPUTED_VALUE"""),1.3346844571651)</f>
        <v>1.334684457</v>
      </c>
      <c r="AA1410" s="14">
        <f>IFERROR(__xludf.DUMMYFUNCTION("""COMPUTED_VALUE"""),4.31894731500475)</f>
        <v>4.318947315</v>
      </c>
      <c r="AB1410" s="14">
        <f>IFERROR(__xludf.DUMMYFUNCTION("""COMPUTED_VALUE"""),4.58464514392888)</f>
        <v>4.584645144</v>
      </c>
      <c r="AC1410" s="14">
        <f>IFERROR(__xludf.DUMMYFUNCTION("""COMPUTED_VALUE"""),28.0923843273443)</f>
        <v>28.09238433</v>
      </c>
      <c r="AD1410" s="14">
        <f>IFERROR(__xludf.DUMMYFUNCTION("""COMPUTED_VALUE"""),2.19357112489835)</f>
        <v>2.193571125</v>
      </c>
      <c r="AE1410" s="14">
        <f>IFERROR(__xludf.DUMMYFUNCTION("""COMPUTED_VALUE"""),0.903323480578039)</f>
        <v>0.9033234806</v>
      </c>
    </row>
    <row r="1411">
      <c r="A1411" s="11">
        <f>IFERROR(__xludf.DUMMYFUNCTION("""COMPUTED_VALUE"""),2019.0)</f>
        <v>2019</v>
      </c>
      <c r="B1411" s="11">
        <f>IFERROR(__xludf.DUMMYFUNCTION("""COMPUTED_VALUE"""),2.67367666421877)</f>
        <v>2.673676664</v>
      </c>
      <c r="C1411" s="11">
        <f>IFERROR(__xludf.DUMMYFUNCTION("""COMPUTED_VALUE"""),0.382790615139843)</f>
        <v>0.3827906151</v>
      </c>
      <c r="D1411" s="14">
        <f>IFERROR(__xludf.DUMMYFUNCTION("""COMPUTED_VALUE"""),1.16034732847089)</f>
        <v>1.160347328</v>
      </c>
      <c r="E1411" s="14">
        <f>IFERROR(__xludf.DUMMYFUNCTION("""COMPUTED_VALUE"""),2.52916043668613)</f>
        <v>2.529160437</v>
      </c>
      <c r="F1411" s="14">
        <f>IFERROR(__xludf.DUMMYFUNCTION("""COMPUTED_VALUE"""),0.199623818934709)</f>
        <v>0.1996238189</v>
      </c>
      <c r="G1411" s="14">
        <f>IFERROR(__xludf.DUMMYFUNCTION("""COMPUTED_VALUE"""),0.11179326997791)</f>
        <v>0.11179327</v>
      </c>
      <c r="H1411" s="14">
        <f>IFERROR(__xludf.DUMMYFUNCTION("""COMPUTED_VALUE"""),0.188516779160338)</f>
        <v>0.1885167792</v>
      </c>
      <c r="I1411" s="14">
        <f>IFERROR(__xludf.DUMMYFUNCTION("""COMPUTED_VALUE"""),2.55446822635101)</f>
        <v>2.554468226</v>
      </c>
      <c r="J1411" s="14">
        <f>IFERROR(__xludf.DUMMYFUNCTION("""COMPUTED_VALUE"""),3.43473747747339)</f>
        <v>3.434737477</v>
      </c>
      <c r="K1411" s="14">
        <f>IFERROR(__xludf.DUMMYFUNCTION("""COMPUTED_VALUE"""),0.523823622511627)</f>
        <v>0.5238236225</v>
      </c>
      <c r="L1411" s="14">
        <f>IFERROR(__xludf.DUMMYFUNCTION("""COMPUTED_VALUE"""),1.08072261252812)</f>
        <v>1.080722613</v>
      </c>
      <c r="M1411" s="14">
        <f>IFERROR(__xludf.DUMMYFUNCTION("""COMPUTED_VALUE"""),1.31656877890772)</f>
        <v>1.316568779</v>
      </c>
      <c r="N1411" s="14">
        <f>IFERROR(__xludf.DUMMYFUNCTION("""COMPUTED_VALUE"""),6.41411495124781)</f>
        <v>6.414114951</v>
      </c>
      <c r="O1411" s="14">
        <f>IFERROR(__xludf.DUMMYFUNCTION("""COMPUTED_VALUE"""),0.0832317430766983)</f>
        <v>0.08323174308</v>
      </c>
      <c r="P1411" s="14">
        <f>IFERROR(__xludf.DUMMYFUNCTION("""COMPUTED_VALUE"""),0.179717353020512)</f>
        <v>0.179717353</v>
      </c>
      <c r="Q1411" s="14">
        <f>IFERROR(__xludf.DUMMYFUNCTION("""COMPUTED_VALUE"""),0.819035881362264)</f>
        <v>0.8190358814</v>
      </c>
      <c r="R1411" s="14">
        <f>IFERROR(__xludf.DUMMYFUNCTION("""COMPUTED_VALUE"""),1.18597006067803)</f>
        <v>1.185970061</v>
      </c>
      <c r="S1411" s="14">
        <f>IFERROR(__xludf.DUMMYFUNCTION("""COMPUTED_VALUE"""),0.149128393828054)</f>
        <v>0.1491283938</v>
      </c>
      <c r="T1411" s="14">
        <f>IFERROR(__xludf.DUMMYFUNCTION("""COMPUTED_VALUE"""),2.89709491029367)</f>
        <v>2.89709491</v>
      </c>
      <c r="U1411" s="14">
        <f>IFERROR(__xludf.DUMMYFUNCTION("""COMPUTED_VALUE"""),0.233980828930816)</f>
        <v>0.2339808289</v>
      </c>
      <c r="V1411" s="14">
        <f>IFERROR(__xludf.DUMMYFUNCTION("""COMPUTED_VALUE"""),0.98413523039915)</f>
        <v>0.9841352304</v>
      </c>
      <c r="W1411" s="14">
        <f>IFERROR(__xludf.DUMMYFUNCTION("""COMPUTED_VALUE"""),10.918835478277)</f>
        <v>10.91883548</v>
      </c>
      <c r="X1411" s="14">
        <f>IFERROR(__xludf.DUMMYFUNCTION("""COMPUTED_VALUE"""),0.346857576055794)</f>
        <v>0.3468575761</v>
      </c>
      <c r="Y1411" s="14">
        <f>IFERROR(__xludf.DUMMYFUNCTION("""COMPUTED_VALUE"""),0.200787355136752)</f>
        <v>0.2007873551</v>
      </c>
      <c r="Z1411" s="14">
        <f>IFERROR(__xludf.DUMMYFUNCTION("""COMPUTED_VALUE"""),1.40331429583695)</f>
        <v>1.403314296</v>
      </c>
      <c r="AA1411" s="14">
        <f>IFERROR(__xludf.DUMMYFUNCTION("""COMPUTED_VALUE"""),5.04541496384379)</f>
        <v>5.045414964</v>
      </c>
      <c r="AB1411" s="14">
        <f>IFERROR(__xludf.DUMMYFUNCTION("""COMPUTED_VALUE"""),4.10162526502528)</f>
        <v>4.101625265</v>
      </c>
      <c r="AC1411" s="14">
        <f>IFERROR(__xludf.DUMMYFUNCTION("""COMPUTED_VALUE"""),27.9022394993136)</f>
        <v>27.9022395</v>
      </c>
      <c r="AD1411" s="14">
        <f>IFERROR(__xludf.DUMMYFUNCTION("""COMPUTED_VALUE"""),2.00919306807633)</f>
        <v>2.009193068</v>
      </c>
      <c r="AE1411" s="14">
        <f>IFERROR(__xludf.DUMMYFUNCTION("""COMPUTED_VALUE"""),0.850467910254129)</f>
        <v>0.8504679103</v>
      </c>
    </row>
    <row r="1412">
      <c r="A1412" s="11">
        <f>IFERROR(__xludf.DUMMYFUNCTION("""COMPUTED_VALUE"""),2020.0)</f>
        <v>2020</v>
      </c>
      <c r="B1412" s="11">
        <f>IFERROR(__xludf.DUMMYFUNCTION("""COMPUTED_VALUE"""),2.66397257850066)</f>
        <v>2.663972579</v>
      </c>
      <c r="C1412" s="11">
        <f>IFERROR(__xludf.DUMMYFUNCTION("""COMPUTED_VALUE"""),0.542350361349046)</f>
        <v>0.5423503613</v>
      </c>
      <c r="D1412" s="14">
        <f>IFERROR(__xludf.DUMMYFUNCTION("""COMPUTED_VALUE"""),1.27667732775159)</f>
        <v>1.276677328</v>
      </c>
      <c r="E1412" s="14">
        <f>IFERROR(__xludf.DUMMYFUNCTION("""COMPUTED_VALUE"""),3.07362728651143)</f>
        <v>3.073627287</v>
      </c>
      <c r="F1412" s="14">
        <f>IFERROR(__xludf.DUMMYFUNCTION("""COMPUTED_VALUE"""),0.204468297067695)</f>
        <v>0.2044682971</v>
      </c>
      <c r="G1412" s="14">
        <f>IFERROR(__xludf.DUMMYFUNCTION("""COMPUTED_VALUE"""),0.129670767253813)</f>
        <v>0.1296707673</v>
      </c>
      <c r="H1412" s="14">
        <f>IFERROR(__xludf.DUMMYFUNCTION("""COMPUTED_VALUE"""),0.185666679813651)</f>
        <v>0.1856666798</v>
      </c>
      <c r="I1412" s="14">
        <f>IFERROR(__xludf.DUMMYFUNCTION("""COMPUTED_VALUE"""),2.64072022569929)</f>
        <v>2.640720226</v>
      </c>
      <c r="J1412" s="14">
        <f>IFERROR(__xludf.DUMMYFUNCTION("""COMPUTED_VALUE"""),3.66754927336669)</f>
        <v>3.667549273</v>
      </c>
      <c r="K1412" s="14">
        <f>IFERROR(__xludf.DUMMYFUNCTION("""COMPUTED_VALUE"""),0.528711020209212)</f>
        <v>0.5287110202</v>
      </c>
      <c r="L1412" s="14">
        <f>IFERROR(__xludf.DUMMYFUNCTION("""COMPUTED_VALUE"""),1.1778968432375)</f>
        <v>1.177896843</v>
      </c>
      <c r="M1412" s="14">
        <f>IFERROR(__xludf.DUMMYFUNCTION("""COMPUTED_VALUE"""),1.97312160221922)</f>
        <v>1.973121602</v>
      </c>
      <c r="N1412" s="14">
        <f>IFERROR(__xludf.DUMMYFUNCTION("""COMPUTED_VALUE"""),6.54626437196523)</f>
        <v>6.546264372</v>
      </c>
      <c r="O1412" s="14">
        <f>IFERROR(__xludf.DUMMYFUNCTION("""COMPUTED_VALUE"""),0.545357640575407)</f>
        <v>0.5453576406</v>
      </c>
      <c r="P1412" s="14">
        <f>IFERROR(__xludf.DUMMYFUNCTION("""COMPUTED_VALUE"""),0.194505025243243)</f>
        <v>0.1945050252</v>
      </c>
      <c r="Q1412" s="14">
        <f>IFERROR(__xludf.DUMMYFUNCTION("""COMPUTED_VALUE"""),0.886428561861281)</f>
        <v>0.8864285619</v>
      </c>
      <c r="R1412" s="14">
        <f>IFERROR(__xludf.DUMMYFUNCTION("""COMPUTED_VALUE"""),1.24157156776526)</f>
        <v>1.241571568</v>
      </c>
      <c r="S1412" s="14">
        <f>IFERROR(__xludf.DUMMYFUNCTION("""COMPUTED_VALUE"""),0.164511840247989)</f>
        <v>0.1645118402</v>
      </c>
      <c r="T1412" s="14">
        <f>IFERROR(__xludf.DUMMYFUNCTION("""COMPUTED_VALUE"""),3.11798900577642)</f>
        <v>3.117989006</v>
      </c>
      <c r="U1412" s="14">
        <f>IFERROR(__xludf.DUMMYFUNCTION("""COMPUTED_VALUE"""),0.216073205126695)</f>
        <v>0.2160732051</v>
      </c>
      <c r="V1412" s="14">
        <f>IFERROR(__xludf.DUMMYFUNCTION("""COMPUTED_VALUE"""),0.960227554342953)</f>
        <v>0.9602275543</v>
      </c>
      <c r="W1412" s="14">
        <f>IFERROR(__xludf.DUMMYFUNCTION("""COMPUTED_VALUE"""),12.1348711968218)</f>
        <v>12.1348712</v>
      </c>
      <c r="X1412" s="14">
        <f>IFERROR(__xludf.DUMMYFUNCTION("""COMPUTED_VALUE"""),0.373655288504759)</f>
        <v>0.3736552885</v>
      </c>
      <c r="Y1412" s="14">
        <f>IFERROR(__xludf.DUMMYFUNCTION("""COMPUTED_VALUE"""),1.05708998125293)</f>
        <v>1.057089981</v>
      </c>
      <c r="Z1412" s="14">
        <f>IFERROR(__xludf.DUMMYFUNCTION("""COMPUTED_VALUE"""),2.87138258742378)</f>
        <v>2.871382587</v>
      </c>
      <c r="AA1412" s="14">
        <f>IFERROR(__xludf.DUMMYFUNCTION("""COMPUTED_VALUE"""),2.7789732116533)</f>
        <v>2.778973212</v>
      </c>
      <c r="AB1412" s="14">
        <f>IFERROR(__xludf.DUMMYFUNCTION("""COMPUTED_VALUE"""),5.20940486312732)</f>
        <v>5.209404863</v>
      </c>
      <c r="AC1412" s="14">
        <f>IFERROR(__xludf.DUMMYFUNCTION("""COMPUTED_VALUE"""),32.8186791121317)</f>
        <v>32.81867911</v>
      </c>
      <c r="AD1412" s="14">
        <f>IFERROR(__xludf.DUMMYFUNCTION("""COMPUTED_VALUE"""),1.97152635944742)</f>
        <v>1.971526359</v>
      </c>
      <c r="AE1412" s="14">
        <f>IFERROR(__xludf.DUMMYFUNCTION("""COMPUTED_VALUE"""),0.774726269854473)</f>
        <v>0.7747262699</v>
      </c>
    </row>
    <row r="1413">
      <c r="A1413" s="11">
        <f>IFERROR(__xludf.DUMMYFUNCTION("""COMPUTED_VALUE"""),2021.0)</f>
        <v>2021</v>
      </c>
      <c r="B1413" s="11">
        <f>IFERROR(__xludf.DUMMYFUNCTION("""COMPUTED_VALUE"""),2.57392576370915)</f>
        <v>2.573925764</v>
      </c>
      <c r="C1413" s="11">
        <f>IFERROR(__xludf.DUMMYFUNCTION("""COMPUTED_VALUE"""),0.560541625190203)</f>
        <v>0.5605416252</v>
      </c>
      <c r="D1413" s="14">
        <f>IFERROR(__xludf.DUMMYFUNCTION("""COMPUTED_VALUE"""),1.11474048143197)</f>
        <v>1.114740481</v>
      </c>
      <c r="E1413" s="14">
        <f>IFERROR(__xludf.DUMMYFUNCTION("""COMPUTED_VALUE"""),3.09652885869523)</f>
        <v>3.096528859</v>
      </c>
      <c r="F1413" s="14">
        <f>IFERROR(__xludf.DUMMYFUNCTION("""COMPUTED_VALUE"""),0.22031598942864)</f>
        <v>0.2203159894</v>
      </c>
      <c r="G1413" s="14">
        <f>IFERROR(__xludf.DUMMYFUNCTION("""COMPUTED_VALUE"""),0.122638628673338)</f>
        <v>0.1226386287</v>
      </c>
      <c r="H1413" s="14">
        <f>IFERROR(__xludf.DUMMYFUNCTION("""COMPUTED_VALUE"""),0.190357275099747)</f>
        <v>0.1903572751</v>
      </c>
      <c r="I1413" s="14">
        <f>IFERROR(__xludf.DUMMYFUNCTION("""COMPUTED_VALUE"""),2.42720108362088)</f>
        <v>2.427201084</v>
      </c>
      <c r="J1413" s="14">
        <f>IFERROR(__xludf.DUMMYFUNCTION("""COMPUTED_VALUE"""),3.26038215473319)</f>
        <v>3.260382155</v>
      </c>
      <c r="K1413" s="14">
        <f>IFERROR(__xludf.DUMMYFUNCTION("""COMPUTED_VALUE"""),0.566265110149987)</f>
        <v>0.5662651101</v>
      </c>
      <c r="L1413" s="14">
        <f>IFERROR(__xludf.DUMMYFUNCTION("""COMPUTED_VALUE"""),1.05786444097302)</f>
        <v>1.057864441</v>
      </c>
      <c r="M1413" s="14">
        <f>IFERROR(__xludf.DUMMYFUNCTION("""COMPUTED_VALUE"""),2.40534187090059)</f>
        <v>2.405341871</v>
      </c>
      <c r="N1413" s="14">
        <f>IFERROR(__xludf.DUMMYFUNCTION("""COMPUTED_VALUE"""),6.17320859174794)</f>
        <v>6.173208592</v>
      </c>
      <c r="O1413" s="14">
        <f>IFERROR(__xludf.DUMMYFUNCTION("""COMPUTED_VALUE"""),0.338172090671297)</f>
        <v>0.3381720907</v>
      </c>
      <c r="P1413" s="14">
        <f>IFERROR(__xludf.DUMMYFUNCTION("""COMPUTED_VALUE"""),0.169334069339624)</f>
        <v>0.1693340693</v>
      </c>
      <c r="Q1413" s="14">
        <f>IFERROR(__xludf.DUMMYFUNCTION("""COMPUTED_VALUE"""),0.771715565554806)</f>
        <v>0.7717155656</v>
      </c>
      <c r="R1413" s="14">
        <f>IFERROR(__xludf.DUMMYFUNCTION("""COMPUTED_VALUE"""),1.1720817444179)</f>
        <v>1.172081744</v>
      </c>
      <c r="S1413" s="14">
        <f>IFERROR(__xludf.DUMMYFUNCTION("""COMPUTED_VALUE"""),0.139681696598426)</f>
        <v>0.1396816966</v>
      </c>
      <c r="T1413" s="14">
        <f>IFERROR(__xludf.DUMMYFUNCTION("""COMPUTED_VALUE"""),2.65383913948818)</f>
        <v>2.653839139</v>
      </c>
      <c r="U1413" s="14">
        <f>IFERROR(__xludf.DUMMYFUNCTION("""COMPUTED_VALUE"""),0.291756808840099)</f>
        <v>0.2917568088</v>
      </c>
      <c r="V1413" s="14">
        <f>IFERROR(__xludf.DUMMYFUNCTION("""COMPUTED_VALUE"""),0.994880786840875)</f>
        <v>0.9948807868</v>
      </c>
      <c r="W1413" s="14">
        <f>IFERROR(__xludf.DUMMYFUNCTION("""COMPUTED_VALUE"""),10.2521426594551)</f>
        <v>10.25214266</v>
      </c>
      <c r="X1413" s="14">
        <f>IFERROR(__xludf.DUMMYFUNCTION("""COMPUTED_VALUE"""),0.368961810016842)</f>
        <v>0.36896181</v>
      </c>
      <c r="Y1413" s="14">
        <f>IFERROR(__xludf.DUMMYFUNCTION("""COMPUTED_VALUE"""),0.436668644067172)</f>
        <v>0.4366686441</v>
      </c>
      <c r="Z1413" s="14">
        <f>IFERROR(__xludf.DUMMYFUNCTION("""COMPUTED_VALUE"""),2.22169023943166)</f>
        <v>2.221690239</v>
      </c>
      <c r="AA1413" s="14">
        <f>IFERROR(__xludf.DUMMYFUNCTION("""COMPUTED_VALUE"""),2.02088012420722)</f>
        <v>2.020880124</v>
      </c>
      <c r="AB1413" s="14">
        <f>IFERROR(__xludf.DUMMYFUNCTION("""COMPUTED_VALUE"""),5.56297672378984)</f>
        <v>5.562976724</v>
      </c>
      <c r="AC1413" s="14">
        <f>IFERROR(__xludf.DUMMYFUNCTION("""COMPUTED_VALUE"""),29.0518180303589)</f>
        <v>29.05181803</v>
      </c>
      <c r="AD1413" s="14">
        <f>IFERROR(__xludf.DUMMYFUNCTION("""COMPUTED_VALUE"""),2.03610551468767)</f>
        <v>2.036105515</v>
      </c>
      <c r="AE1413" s="14">
        <f>IFERROR(__xludf.DUMMYFUNCTION("""COMPUTED_VALUE"""),1.34486929388104)</f>
        <v>1.344869294</v>
      </c>
    </row>
    <row r="1414">
      <c r="A1414" s="11">
        <f>IFERROR(__xludf.DUMMYFUNCTION("""COMPUTED_VALUE"""),2022.0)</f>
        <v>2022</v>
      </c>
      <c r="B1414" s="11">
        <f>IFERROR(__xludf.DUMMYFUNCTION("""COMPUTED_VALUE"""),2.57300612826636)</f>
        <v>2.573006128</v>
      </c>
      <c r="C1414" s="11">
        <f>IFERROR(__xludf.DUMMYFUNCTION("""COMPUTED_VALUE"""),0.593181930983876)</f>
        <v>0.593181931</v>
      </c>
      <c r="D1414" s="14">
        <f>IFERROR(__xludf.DUMMYFUNCTION("""COMPUTED_VALUE"""),1.04987231924594)</f>
        <v>1.049872319</v>
      </c>
      <c r="E1414" s="14">
        <f>IFERROR(__xludf.DUMMYFUNCTION("""COMPUTED_VALUE"""),2.75574031283965)</f>
        <v>2.755740313</v>
      </c>
      <c r="F1414" s="14">
        <f>IFERROR(__xludf.DUMMYFUNCTION("""COMPUTED_VALUE"""),0.246089651636702)</f>
        <v>0.2460896516</v>
      </c>
      <c r="G1414" s="14">
        <f>IFERROR(__xludf.DUMMYFUNCTION("""COMPUTED_VALUE"""),0.155796022110739)</f>
        <v>0.1557960221</v>
      </c>
      <c r="H1414" s="14">
        <f>IFERROR(__xludf.DUMMYFUNCTION("""COMPUTED_VALUE"""),0.196900832202738)</f>
        <v>0.1969008322</v>
      </c>
      <c r="I1414" s="14">
        <f>IFERROR(__xludf.DUMMYFUNCTION("""COMPUTED_VALUE"""),2.47966401355572)</f>
        <v>2.479664014</v>
      </c>
      <c r="J1414" s="14">
        <f>IFERROR(__xludf.DUMMYFUNCTION("""COMPUTED_VALUE"""),3.2523612326731)</f>
        <v>3.252361233</v>
      </c>
      <c r="K1414" s="14">
        <f>IFERROR(__xludf.DUMMYFUNCTION("""COMPUTED_VALUE"""),0.67050418159962)</f>
        <v>0.6705041816</v>
      </c>
      <c r="L1414" s="14">
        <f>IFERROR(__xludf.DUMMYFUNCTION("""COMPUTED_VALUE"""),1.04926585923016)</f>
        <v>1.049265859</v>
      </c>
      <c r="M1414" s="14">
        <f>IFERROR(__xludf.DUMMYFUNCTION("""COMPUTED_VALUE"""),2.5871983539642)</f>
        <v>2.587198354</v>
      </c>
      <c r="N1414" s="14">
        <f>IFERROR(__xludf.DUMMYFUNCTION("""COMPUTED_VALUE"""),6.22660698845558)</f>
        <v>6.226606988</v>
      </c>
      <c r="O1414" s="14">
        <f>IFERROR(__xludf.DUMMYFUNCTION("""COMPUTED_VALUE"""),0.164597377843138)</f>
        <v>0.1645973778</v>
      </c>
      <c r="P1414" s="14">
        <f>IFERROR(__xludf.DUMMYFUNCTION("""COMPUTED_VALUE"""),0.17308577718543)</f>
        <v>0.1730857772</v>
      </c>
      <c r="Q1414" s="14">
        <f>IFERROR(__xludf.DUMMYFUNCTION("""COMPUTED_VALUE"""),0.788813432235231)</f>
        <v>0.7888134322</v>
      </c>
      <c r="R1414" s="14">
        <f>IFERROR(__xludf.DUMMYFUNCTION("""COMPUTED_VALUE"""),1.17393684663349)</f>
        <v>1.173936847</v>
      </c>
      <c r="S1414" s="14">
        <f>IFERROR(__xludf.DUMMYFUNCTION("""COMPUTED_VALUE"""),0.13637622210721)</f>
        <v>0.1363762221</v>
      </c>
      <c r="T1414" s="14">
        <f>IFERROR(__xludf.DUMMYFUNCTION("""COMPUTED_VALUE"""),2.56434756446758)</f>
        <v>2.564347564</v>
      </c>
      <c r="U1414" s="14">
        <f>IFERROR(__xludf.DUMMYFUNCTION("""COMPUTED_VALUE"""),0.308689806797321)</f>
        <v>0.3086898068</v>
      </c>
      <c r="V1414" s="14">
        <f>IFERROR(__xludf.DUMMYFUNCTION("""COMPUTED_VALUE"""),0.939506633756532)</f>
        <v>0.9395066338</v>
      </c>
      <c r="W1414" s="14">
        <f>IFERROR(__xludf.DUMMYFUNCTION("""COMPUTED_VALUE"""),10.0249198460687)</f>
        <v>10.02491985</v>
      </c>
      <c r="X1414" s="14">
        <f>IFERROR(__xludf.DUMMYFUNCTION("""COMPUTED_VALUE"""),0.417449810498628)</f>
        <v>0.4174498105</v>
      </c>
      <c r="Y1414" s="14">
        <f>IFERROR(__xludf.DUMMYFUNCTION("""COMPUTED_VALUE"""),0.176286212613072)</f>
        <v>0.1762862126</v>
      </c>
      <c r="Z1414" s="14">
        <f>IFERROR(__xludf.DUMMYFUNCTION("""COMPUTED_VALUE"""),2.5343599394945)</f>
        <v>2.534359939</v>
      </c>
      <c r="AA1414" s="14">
        <f>IFERROR(__xludf.DUMMYFUNCTION("""COMPUTED_VALUE"""),2.24905313407792)</f>
        <v>2.249053134</v>
      </c>
      <c r="AB1414" s="14">
        <f>IFERROR(__xludf.DUMMYFUNCTION("""COMPUTED_VALUE"""),5.61647856715444)</f>
        <v>5.616478567</v>
      </c>
      <c r="AC1414" s="14">
        <f>IFERROR(__xludf.DUMMYFUNCTION("""COMPUTED_VALUE"""),28.1643100000146)</f>
        <v>28.16431</v>
      </c>
      <c r="AD1414" s="14">
        <f>IFERROR(__xludf.DUMMYFUNCTION("""COMPUTED_VALUE"""),1.98274719594041)</f>
        <v>1.982747196</v>
      </c>
      <c r="AE1414" s="14">
        <f>IFERROR(__xludf.DUMMYFUNCTION("""COMPUTED_VALUE"""),1.01269805167452)</f>
        <v>1.012698052</v>
      </c>
    </row>
    <row r="1415">
      <c r="A1415" s="12">
        <f>IFERROR(__xludf.DUMMYFUNCTION("""COMPUTED_VALUE"""),2023.0)</f>
        <v>2023</v>
      </c>
      <c r="B1415" s="12">
        <f>IFERROR(__xludf.DUMMYFUNCTION("""COMPUTED_VALUE"""),2.75379546737265)</f>
        <v>2.753795467</v>
      </c>
      <c r="C1415" s="12">
        <f>IFERROR(__xludf.DUMMYFUNCTION("""COMPUTED_VALUE"""),0.680249048691894)</f>
        <v>0.6802490487</v>
      </c>
      <c r="D1415" s="15">
        <f>IFERROR(__xludf.DUMMYFUNCTION("""COMPUTED_VALUE"""),0.705148935609698)</f>
        <v>0.7051489356</v>
      </c>
      <c r="E1415" s="15">
        <f>IFERROR(__xludf.DUMMYFUNCTION("""COMPUTED_VALUE"""),2.73847209063528)</f>
        <v>2.738472091</v>
      </c>
      <c r="F1415" s="15">
        <f>IFERROR(__xludf.DUMMYFUNCTION("""COMPUTED_VALUE"""),0.267382988187198)</f>
        <v>0.2673829882</v>
      </c>
      <c r="G1415" s="15">
        <f>IFERROR(__xludf.DUMMYFUNCTION("""COMPUTED_VALUE"""),0.145212126990021)</f>
        <v>0.145212127</v>
      </c>
      <c r="H1415" s="15">
        <f>IFERROR(__xludf.DUMMYFUNCTION("""COMPUTED_VALUE"""),0.200339244226641)</f>
        <v>0.2003392442</v>
      </c>
      <c r="I1415" s="15">
        <f>IFERROR(__xludf.DUMMYFUNCTION("""COMPUTED_VALUE"""),2.56439351000322)</f>
        <v>2.56439351</v>
      </c>
      <c r="J1415" s="15">
        <f>IFERROR(__xludf.DUMMYFUNCTION("""COMPUTED_VALUE"""),3.45927897594365)</f>
        <v>3.459278976</v>
      </c>
      <c r="K1415" s="15">
        <f>IFERROR(__xludf.DUMMYFUNCTION("""COMPUTED_VALUE"""),0.793024305904271)</f>
        <v>0.7930243059</v>
      </c>
      <c r="L1415" s="15">
        <f>IFERROR(__xludf.DUMMYFUNCTION("""COMPUTED_VALUE"""),1.12745658453769)</f>
        <v>1.127456585</v>
      </c>
      <c r="M1415" s="15">
        <f>IFERROR(__xludf.DUMMYFUNCTION("""COMPUTED_VALUE"""),2.00719834940272)</f>
        <v>2.007198349</v>
      </c>
      <c r="N1415" s="15">
        <f>IFERROR(__xludf.DUMMYFUNCTION("""COMPUTED_VALUE"""),6.56488195353367)</f>
        <v>6.564881954</v>
      </c>
      <c r="O1415" s="15">
        <f>IFERROR(__xludf.DUMMYFUNCTION("""COMPUTED_VALUE"""),0.137636612512571)</f>
        <v>0.1376366125</v>
      </c>
      <c r="P1415" s="15">
        <f>IFERROR(__xludf.DUMMYFUNCTION("""COMPUTED_VALUE"""),0.225013499900488)</f>
        <v>0.2250134999</v>
      </c>
      <c r="Q1415" s="15">
        <f>IFERROR(__xludf.DUMMYFUNCTION("""COMPUTED_VALUE"""),1.02546652903556)</f>
        <v>1.025466529</v>
      </c>
      <c r="R1415" s="15">
        <f>IFERROR(__xludf.DUMMYFUNCTION("""COMPUTED_VALUE"""),1.24669297615779)</f>
        <v>1.246692976</v>
      </c>
      <c r="S1415" s="15">
        <f>IFERROR(__xludf.DUMMYFUNCTION("""COMPUTED_VALUE"""),0.133667070881879)</f>
        <v>0.1336670709</v>
      </c>
      <c r="T1415" s="15">
        <f>IFERROR(__xludf.DUMMYFUNCTION("""COMPUTED_VALUE"""),2.5255728386879)</f>
        <v>2.525572839</v>
      </c>
      <c r="U1415" s="15">
        <f>IFERROR(__xludf.DUMMYFUNCTION("""COMPUTED_VALUE"""),0.315892453284517)</f>
        <v>0.3158924533</v>
      </c>
      <c r="V1415" s="15">
        <f>IFERROR(__xludf.DUMMYFUNCTION("""COMPUTED_VALUE"""),0.939485945415393)</f>
        <v>0.9394859454</v>
      </c>
      <c r="W1415" s="15">
        <f>IFERROR(__xludf.DUMMYFUNCTION("""COMPUTED_VALUE"""),9.79877955508495)</f>
        <v>9.798779555</v>
      </c>
      <c r="X1415" s="15">
        <f>IFERROR(__xludf.DUMMYFUNCTION("""COMPUTED_VALUE"""),0.435872141886336)</f>
        <v>0.4358721419</v>
      </c>
      <c r="Y1415" s="15">
        <f>IFERROR(__xludf.DUMMYFUNCTION("""COMPUTED_VALUE"""),0.211971363356368)</f>
        <v>0.2119713634</v>
      </c>
      <c r="Z1415" s="15">
        <f>IFERROR(__xludf.DUMMYFUNCTION("""COMPUTED_VALUE"""),2.4222227589445)</f>
        <v>2.422222759</v>
      </c>
      <c r="AA1415" s="15">
        <f>IFERROR(__xludf.DUMMYFUNCTION("""COMPUTED_VALUE"""),2.17834192232627)</f>
        <v>2.178341922</v>
      </c>
      <c r="AB1415" s="15">
        <f>IFERROR(__xludf.DUMMYFUNCTION("""COMPUTED_VALUE"""),4.93150058947682)</f>
        <v>4.931500589</v>
      </c>
      <c r="AC1415" s="15">
        <f>IFERROR(__xludf.DUMMYFUNCTION("""COMPUTED_VALUE"""),28.1918159869333)</f>
        <v>28.19181599</v>
      </c>
      <c r="AD1415" s="15">
        <f>IFERROR(__xludf.DUMMYFUNCTION("""COMPUTED_VALUE"""),1.88968890540065)</f>
        <v>1.889688905</v>
      </c>
      <c r="AE1415" s="15">
        <f>IFERROR(__xludf.DUMMYFUNCTION("""COMPUTED_VALUE"""),0.938284251889905)</f>
        <v>0.9382842519</v>
      </c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</row>
    <row r="1417">
      <c r="A1417" s="10" t="str">
        <f>IFERROR(__xludf.DUMMYFUNCTION("QUERY(
  clean_data!A:E,
  ""SELECT Col5, SUM(Col3)
   WHERE Col5 &lt;&gt; 'PIB'
     AND Col5 IS NOT NULL
     AND Col3 IS NOT NULL
   GROUP BY Col5
   ORDER BY SUM(Col3) DESC
   LABEL Col5 'Función', SUM(Col3) 'Gasto total'"",
  1
)
"),"Función")</f>
        <v>Función</v>
      </c>
      <c r="B1417" s="10" t="str">
        <f>IFERROR(__xludf.DUMMYFUNCTION("""COMPUTED_VALUE"""),"Gasto total")</f>
        <v>Gasto total</v>
      </c>
      <c r="C1417" s="7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</row>
    <row r="1418">
      <c r="A1418" s="11" t="str">
        <f>IFERROR(__xludf.DUMMYFUNCTION("""COMPUTED_VALUE"""),"Servicios Sociales")</f>
        <v>Servicios Sociales</v>
      </c>
      <c r="B1418" s="11">
        <f>IFERROR(__xludf.DUMMYFUNCTION("""COMPUTED_VALUE"""),956.9783400411906)</f>
        <v>956.97834</v>
      </c>
      <c r="C1418" s="6"/>
    </row>
    <row r="1419">
      <c r="A1419" s="11" t="str">
        <f>IFERROR(__xludf.DUMMYFUNCTION("""COMPUTED_VALUE"""),"Prevision Social")</f>
        <v>Prevision Social</v>
      </c>
      <c r="B1419" s="11">
        <f>IFERROR(__xludf.DUMMYFUNCTION("""COMPUTED_VALUE"""),349.49291544937785)</f>
        <v>349.4929154</v>
      </c>
      <c r="C1419" s="6"/>
    </row>
    <row r="1420">
      <c r="A1420" s="11" t="str">
        <f>IFERROR(__xludf.DUMMYFUNCTION("""COMPUTED_VALUE"""),"Funcionamiento Estado")</f>
        <v>Funcionamiento Estado</v>
      </c>
      <c r="B1420" s="11">
        <f>IFERROR(__xludf.DUMMYFUNCTION("""COMPUTED_VALUE"""),256.19831703975075)</f>
        <v>256.198317</v>
      </c>
      <c r="C1420" s="6"/>
    </row>
    <row r="1421">
      <c r="A1421" s="11" t="str">
        <f>IFERROR(__xludf.DUMMYFUNCTION("""COMPUTED_VALUE"""),"Servicios Economicos")</f>
        <v>Servicios Economicos</v>
      </c>
      <c r="B1421" s="11">
        <f>IFERROR(__xludf.DUMMYFUNCTION("""COMPUTED_VALUE"""),210.78653140070784)</f>
        <v>210.7865314</v>
      </c>
      <c r="C1421" s="6"/>
    </row>
    <row r="1422">
      <c r="A1422" s="11" t="str">
        <f>IFERROR(__xludf.DUMMYFUNCTION("""COMPUTED_VALUE"""),"Educacion Basica")</f>
        <v>Educacion Basica</v>
      </c>
      <c r="B1422" s="11">
        <f>IFERROR(__xludf.DUMMYFUNCTION("""COMPUTED_VALUE"""),130.54995169189218)</f>
        <v>130.5499517</v>
      </c>
      <c r="C1422" s="6"/>
    </row>
    <row r="1423">
      <c r="A1423" s="11" t="str">
        <f>IFERROR(__xludf.DUMMYFUNCTION("""COMPUTED_VALUE"""),"Servicios Deuda Publica")</f>
        <v>Servicios Deuda Publica</v>
      </c>
      <c r="B1423" s="11">
        <f>IFERROR(__xludf.DUMMYFUNCTION("""COMPUTED_VALUE"""),121.1296649433351)</f>
        <v>121.1296649</v>
      </c>
      <c r="C1423" s="6"/>
    </row>
    <row r="1424">
      <c r="A1424" s="11" t="str">
        <f>IFERROR(__xludf.DUMMYFUNCTION("""COMPUTED_VALUE"""),"Administracion General")</f>
        <v>Administracion General</v>
      </c>
      <c r="B1424" s="11">
        <f>IFERROR(__xludf.DUMMYFUNCTION("""COMPUTED_VALUE"""),114.95854993421145)</f>
        <v>114.9585499</v>
      </c>
      <c r="C1424" s="6"/>
    </row>
    <row r="1425">
      <c r="A1425" s="11" t="str">
        <f>IFERROR(__xludf.DUMMYFUNCTION("""COMPUTED_VALUE"""),"Defensa Seguridad")</f>
        <v>Defensa Seguridad</v>
      </c>
      <c r="B1425" s="11">
        <f>IFERROR(__xludf.DUMMYFUNCTION("""COMPUTED_VALUE"""),106.87298307201162)</f>
        <v>106.8729831</v>
      </c>
      <c r="C1425" s="6"/>
    </row>
    <row r="1426">
      <c r="A1426" s="11" t="str">
        <f>IFERROR(__xludf.DUMMYFUNCTION("""COMPUTED_VALUE"""),"Obras Sociales Salud")</f>
        <v>Obras Sociales Salud</v>
      </c>
      <c r="B1426" s="11">
        <f>IFERROR(__xludf.DUMMYFUNCTION("""COMPUTED_VALUE"""),97.49140905962722)</f>
        <v>97.49140906</v>
      </c>
      <c r="C1426" s="6"/>
    </row>
    <row r="1427">
      <c r="A1427" s="11" t="str">
        <f>IFERROR(__xludf.DUMMYFUNCTION("""COMPUTED_VALUE"""),"Atencion Salud")</f>
        <v>Atencion Salud</v>
      </c>
      <c r="B1427" s="11">
        <f>IFERROR(__xludf.DUMMYFUNCTION("""COMPUTED_VALUE"""),87.35795899554235)</f>
        <v>87.357959</v>
      </c>
      <c r="C1427" s="6"/>
    </row>
    <row r="1428">
      <c r="A1428" s="11" t="str">
        <f>IFERROR(__xludf.DUMMYFUNCTION("""COMPUTED_VALUE"""),"Energia Combustible")</f>
        <v>Energia Combustible</v>
      </c>
      <c r="B1428" s="11">
        <f>IFERROR(__xludf.DUMMYFUNCTION("""COMPUTED_VALUE"""),76.5222899360511)</f>
        <v>76.52228994</v>
      </c>
      <c r="C1428" s="6"/>
    </row>
    <row r="1429">
      <c r="A1429" s="11" t="str">
        <f>IFERROR(__xludf.DUMMYFUNCTION("""COMPUTED_VALUE"""),"Transporte")</f>
        <v>Transporte</v>
      </c>
      <c r="B1429" s="11">
        <f>IFERROR(__xludf.DUMMYFUNCTION("""COMPUTED_VALUE"""),73.31183151078753)</f>
        <v>73.31183151</v>
      </c>
      <c r="C1429" s="6"/>
    </row>
    <row r="1430">
      <c r="A1430" s="11" t="str">
        <f>IFERROR(__xludf.DUMMYFUNCTION("""COMPUTED_VALUE"""),"Promocion Asistencia Social")</f>
        <v>Promocion Asistencia Social</v>
      </c>
      <c r="B1430" s="11">
        <f>IFERROR(__xludf.DUMMYFUNCTION("""COMPUTED_VALUE"""),46.68909040901281)</f>
        <v>46.68909041</v>
      </c>
      <c r="C1430" s="6"/>
    </row>
    <row r="1431">
      <c r="A1431" s="11" t="str">
        <f>IFERROR(__xludf.DUMMYFUNCTION("""COMPUTED_VALUE"""),"Educacion Universitaria")</f>
        <v>Educacion Universitaria</v>
      </c>
      <c r="B1431" s="11">
        <f>IFERROR(__xludf.DUMMYFUNCTION("""COMPUTED_VALUE"""),37.58213514830636)</f>
        <v>37.58213515</v>
      </c>
      <c r="C1431" s="6"/>
    </row>
    <row r="1432">
      <c r="A1432" s="11" t="str">
        <f>IFERROR(__xludf.DUMMYFUNCTION("""COMPUTED_VALUE"""),"Otros Servicios Urbanos")</f>
        <v>Otros Servicios Urbanos</v>
      </c>
      <c r="B1432" s="11">
        <f>IFERROR(__xludf.DUMMYFUNCTION("""COMPUTED_VALUE"""),35.36740199256092)</f>
        <v>35.36740199</v>
      </c>
      <c r="C1432" s="6"/>
    </row>
    <row r="1433">
      <c r="A1433" s="11" t="str">
        <f>IFERROR(__xludf.DUMMYFUNCTION("""COMPUTED_VALUE"""),"Justicia")</f>
        <v>Justicia</v>
      </c>
      <c r="B1433" s="11">
        <f>IFERROR(__xludf.DUMMYFUNCTION("""COMPUTED_VALUE"""),34.36678403352743)</f>
        <v>34.36678403</v>
      </c>
      <c r="C1433" s="6"/>
    </row>
    <row r="1434">
      <c r="A1434" s="11" t="str">
        <f>IFERROR(__xludf.DUMMYFUNCTION("""COMPUTED_VALUE"""),"Vivienda Urbanismo")</f>
        <v>Vivienda Urbanismo</v>
      </c>
      <c r="B1434" s="11">
        <f>IFERROR(__xludf.DUMMYFUNCTION("""COMPUTED_VALUE"""),33.79528017893609)</f>
        <v>33.79528018</v>
      </c>
      <c r="C1434" s="6"/>
    </row>
    <row r="1435">
      <c r="A1435" s="11" t="str">
        <f>IFERROR(__xludf.DUMMYFUNCTION("""COMPUTED_VALUE"""),"Inssjyp Salud")</f>
        <v>Inssjyp Salud</v>
      </c>
      <c r="B1435" s="11">
        <f>IFERROR(__xludf.DUMMYFUNCTION("""COMPUTED_VALUE"""),32.18100458930944)</f>
        <v>32.18100459</v>
      </c>
      <c r="C1435" s="6"/>
    </row>
    <row r="1436">
      <c r="A1436" s="11" t="str">
        <f>IFERROR(__xludf.DUMMYFUNCTION("""COMPUTED_VALUE"""),"Asignaciones Familiares")</f>
        <v>Asignaciones Familiares</v>
      </c>
      <c r="B1436" s="11">
        <f>IFERROR(__xludf.DUMMYFUNCTION("""COMPUTED_VALUE"""),31.041791787292667)</f>
        <v>31.04179179</v>
      </c>
      <c r="C1436" s="6"/>
    </row>
    <row r="1437">
      <c r="A1437" s="11" t="str">
        <f>IFERROR(__xludf.DUMMYFUNCTION("""COMPUTED_VALUE"""),"Otros Servicios Economicos")</f>
        <v>Otros Servicios Economicos</v>
      </c>
      <c r="B1437" s="11">
        <f>IFERROR(__xludf.DUMMYFUNCTION("""COMPUTED_VALUE"""),26.96388993363976)</f>
        <v>26.96388993</v>
      </c>
      <c r="C1437" s="6"/>
    </row>
    <row r="1438">
      <c r="A1438" s="11" t="str">
        <f>IFERROR(__xludf.DUMMYFUNCTION("""COMPUTED_VALUE"""),"Educacion Cultura Sin Discriminar")</f>
        <v>Educacion Cultura Sin Discriminar</v>
      </c>
      <c r="B1438" s="11">
        <f>IFERROR(__xludf.DUMMYFUNCTION("""COMPUTED_VALUE"""),18.047126965600658)</f>
        <v>18.04712697</v>
      </c>
      <c r="C1438" s="6"/>
    </row>
    <row r="1439">
      <c r="A1439" s="11" t="str">
        <f>IFERROR(__xludf.DUMMYFUNCTION("""COMPUTED_VALUE"""),"Produccion Primaria")</f>
        <v>Produccion Primaria</v>
      </c>
      <c r="B1439" s="11">
        <f>IFERROR(__xludf.DUMMYFUNCTION("""COMPUTED_VALUE"""),16.926503168542638)</f>
        <v>16.92650317</v>
      </c>
      <c r="C1439" s="6"/>
    </row>
    <row r="1440">
      <c r="A1440" s="11" t="str">
        <f>IFERROR(__xludf.DUMMYFUNCTION("""COMPUTED_VALUE"""),"Agua Alcantarillado")</f>
        <v>Agua Alcantarillado</v>
      </c>
      <c r="B1440" s="11">
        <f>IFERROR(__xludf.DUMMYFUNCTION("""COMPUTED_VALUE"""),14.33623927965155)</f>
        <v>14.33623928</v>
      </c>
      <c r="C1440" s="6"/>
    </row>
    <row r="1441">
      <c r="A1441" s="11" t="str">
        <f>IFERROR(__xludf.DUMMYFUNCTION("""COMPUTED_VALUE"""),"Programas Empleo")</f>
        <v>Programas Empleo</v>
      </c>
      <c r="B1441" s="11">
        <f>IFERROR(__xludf.DUMMYFUNCTION("""COMPUTED_VALUE"""),12.919551818127973)</f>
        <v>12.91955182</v>
      </c>
      <c r="C1441" s="6"/>
    </row>
    <row r="1442">
      <c r="A1442" s="11" t="str">
        <f>IFERROR(__xludf.DUMMYFUNCTION("""COMPUTED_VALUE"""),"Ciencia Tecnica")</f>
        <v>Ciencia Tecnica</v>
      </c>
      <c r="B1442" s="11">
        <f>IFERROR(__xludf.DUMMYFUNCTION("""COMPUTED_VALUE"""),10.644398983792751)</f>
        <v>10.64439898</v>
      </c>
      <c r="C1442" s="6"/>
    </row>
    <row r="1443">
      <c r="A1443" s="11" t="str">
        <f>IFERROR(__xludf.DUMMYFUNCTION("""COMPUTED_VALUE"""),"Comunicaciones")</f>
        <v>Comunicaciones</v>
      </c>
      <c r="B1443" s="11">
        <f>IFERROR(__xludf.DUMMYFUNCTION("""COMPUTED_VALUE"""),9.060711462280214)</f>
        <v>9.060711462</v>
      </c>
      <c r="C1443" s="6"/>
    </row>
    <row r="1444">
      <c r="A1444" s="11" t="str">
        <f>IFERROR(__xludf.DUMMYFUNCTION("""COMPUTED_VALUE"""),"Industria")</f>
        <v>Industria</v>
      </c>
      <c r="B1444" s="11">
        <f>IFERROR(__xludf.DUMMYFUNCTION("""COMPUTED_VALUE"""),8.001305389406358)</f>
        <v>8.001305389</v>
      </c>
      <c r="C1444" s="6"/>
    </row>
    <row r="1445">
      <c r="A1445" s="11" t="str">
        <f>IFERROR(__xludf.DUMMYFUNCTION("""COMPUTED_VALUE"""),"Obras Sociales Prestaciones")</f>
        <v>Obras Sociales Prestaciones</v>
      </c>
      <c r="B1445" s="11">
        <f>IFERROR(__xludf.DUMMYFUNCTION("""COMPUTED_VALUE"""),7.195091295031985)</f>
        <v>7.195091295</v>
      </c>
      <c r="C1445" s="6"/>
    </row>
    <row r="1446">
      <c r="A1446" s="11" t="str">
        <f>IFERROR(__xludf.DUMMYFUNCTION("""COMPUTED_VALUE"""),"Cultura")</f>
        <v>Cultura</v>
      </c>
      <c r="B1446" s="11">
        <f>IFERROR(__xludf.DUMMYFUNCTION("""COMPUTED_VALUE"""),6.761594651794719)</f>
        <v>6.761594652</v>
      </c>
      <c r="C1446" s="6"/>
    </row>
    <row r="1447">
      <c r="A1447" s="12" t="str">
        <f>IFERROR(__xludf.DUMMYFUNCTION("""COMPUTED_VALUE"""),"Inssjyp Prestaciones")</f>
        <v>Inssjyp Prestaciones</v>
      </c>
      <c r="B1447" s="12">
        <f>IFERROR(__xludf.DUMMYFUNCTION("""COMPUTED_VALUE"""),5.525397745333374)</f>
        <v>5.525397745</v>
      </c>
      <c r="C1447" s="6"/>
    </row>
    <row r="1448">
      <c r="A1448" s="6"/>
      <c r="B1448" s="6"/>
      <c r="C1448" s="6"/>
    </row>
    <row r="1449">
      <c r="A1449" s="6"/>
      <c r="B1449" s="6"/>
      <c r="C1449" s="6"/>
    </row>
    <row r="1450">
      <c r="A1450" s="6"/>
      <c r="B1450" s="6"/>
      <c r="C1450" s="6"/>
    </row>
    <row r="1451">
      <c r="A1451" s="6"/>
      <c r="B1451" s="6"/>
      <c r="C1451" s="6"/>
    </row>
    <row r="1452">
      <c r="A1452" s="6"/>
      <c r="B1452" s="6"/>
      <c r="C1452" s="6"/>
    </row>
    <row r="1453">
      <c r="A1453" s="6"/>
      <c r="B1453" s="6"/>
      <c r="C1453" s="6"/>
    </row>
    <row r="1454">
      <c r="A1454" s="6"/>
      <c r="B1454" s="6"/>
      <c r="C1454" s="6"/>
    </row>
    <row r="1455">
      <c r="A1455" s="6"/>
      <c r="B1455" s="6"/>
      <c r="C1455" s="6"/>
    </row>
    <row r="1456">
      <c r="A1456" s="6"/>
      <c r="B1456" s="6"/>
      <c r="C1456" s="6"/>
    </row>
    <row r="1457">
      <c r="A1457" s="6"/>
      <c r="B1457" s="6"/>
      <c r="C1457" s="6"/>
    </row>
    <row r="1458">
      <c r="A1458" s="6"/>
      <c r="B1458" s="6"/>
      <c r="C1458" s="6"/>
    </row>
    <row r="1459">
      <c r="A1459" s="6"/>
      <c r="B1459" s="6"/>
      <c r="C1459" s="6"/>
    </row>
    <row r="1460">
      <c r="A1460" s="6"/>
      <c r="B1460" s="6"/>
      <c r="C1460" s="6"/>
    </row>
    <row r="1461">
      <c r="A1461" s="6"/>
      <c r="B1461" s="6"/>
      <c r="C1461" s="6"/>
    </row>
    <row r="1462">
      <c r="A1462" s="6"/>
      <c r="B1462" s="6"/>
      <c r="C1462" s="6"/>
    </row>
    <row r="1463">
      <c r="A1463" s="6"/>
      <c r="B1463" s="6"/>
      <c r="C1463" s="6"/>
    </row>
    <row r="1464">
      <c r="A1464" s="6"/>
      <c r="B1464" s="6"/>
      <c r="C1464" s="6"/>
    </row>
    <row r="1465">
      <c r="A1465" s="6"/>
      <c r="B1465" s="6"/>
      <c r="C1465" s="6"/>
    </row>
    <row r="1466">
      <c r="A1466" s="6"/>
      <c r="B1466" s="6"/>
      <c r="C1466" s="6"/>
    </row>
    <row r="1467">
      <c r="A1467" s="6"/>
      <c r="B1467" s="6"/>
      <c r="C1467" s="6"/>
    </row>
    <row r="1468">
      <c r="A1468" s="6"/>
      <c r="B1468" s="6"/>
      <c r="C1468" s="6"/>
    </row>
    <row r="1469">
      <c r="A1469" s="6"/>
      <c r="B1469" s="6"/>
      <c r="C1469" s="6"/>
    </row>
    <row r="1470">
      <c r="A1470" s="6"/>
      <c r="B1470" s="6"/>
      <c r="C1470" s="6"/>
    </row>
    <row r="1471">
      <c r="A1471" s="6"/>
      <c r="B1471" s="6"/>
      <c r="C1471" s="6"/>
    </row>
    <row r="1472">
      <c r="A1472" s="6"/>
      <c r="B1472" s="6"/>
      <c r="C1472" s="6"/>
    </row>
    <row r="1473">
      <c r="A1473" s="6"/>
      <c r="B1473" s="6"/>
      <c r="C1473" s="6"/>
    </row>
    <row r="1474">
      <c r="A1474" s="6"/>
      <c r="B1474" s="6"/>
      <c r="C1474" s="6"/>
    </row>
    <row r="1475">
      <c r="A1475" s="6"/>
      <c r="B1475" s="6"/>
      <c r="C1475" s="6"/>
    </row>
    <row r="1476">
      <c r="A1476" s="6"/>
      <c r="B1476" s="6"/>
      <c r="C1476" s="6"/>
    </row>
    <row r="1477">
      <c r="A1477" s="6"/>
      <c r="B1477" s="6"/>
      <c r="C1477" s="6"/>
    </row>
    <row r="1478">
      <c r="A1478" s="6"/>
      <c r="B1478" s="6"/>
      <c r="C1478" s="6"/>
    </row>
    <row r="1479">
      <c r="A1479" s="6"/>
      <c r="B1479" s="6"/>
      <c r="C1479" s="6"/>
    </row>
    <row r="1480">
      <c r="A1480" s="6"/>
      <c r="B1480" s="6"/>
      <c r="C1480" s="6"/>
    </row>
    <row r="1481">
      <c r="A1481" s="6"/>
      <c r="B1481" s="6"/>
      <c r="C1481" s="6"/>
    </row>
    <row r="1482">
      <c r="A1482" s="6"/>
      <c r="B1482" s="6"/>
      <c r="C1482" s="6"/>
    </row>
    <row r="1483">
      <c r="A1483" s="6"/>
      <c r="B1483" s="6"/>
      <c r="C1483" s="6"/>
    </row>
    <row r="1484">
      <c r="A1484" s="6"/>
      <c r="B1484" s="6"/>
      <c r="C1484" s="6"/>
    </row>
    <row r="1485">
      <c r="A1485" s="6"/>
      <c r="B1485" s="6"/>
      <c r="C1485" s="6"/>
    </row>
    <row r="1486">
      <c r="A1486" s="6"/>
      <c r="B1486" s="6"/>
      <c r="C1486" s="6"/>
    </row>
    <row r="1487">
      <c r="A1487" s="6"/>
      <c r="B1487" s="6"/>
      <c r="C1487" s="6"/>
    </row>
    <row r="1488">
      <c r="A1488" s="6"/>
      <c r="B1488" s="6"/>
      <c r="C1488" s="6"/>
    </row>
    <row r="1489">
      <c r="A1489" s="6"/>
      <c r="B1489" s="6"/>
      <c r="C1489" s="6"/>
    </row>
    <row r="1490">
      <c r="A1490" s="6"/>
      <c r="B1490" s="6"/>
      <c r="C1490" s="6"/>
    </row>
    <row r="1491">
      <c r="A1491" s="6"/>
      <c r="B1491" s="6"/>
      <c r="C1491" s="6"/>
    </row>
    <row r="1492">
      <c r="A1492" s="6"/>
      <c r="B1492" s="6"/>
      <c r="C1492" s="6"/>
    </row>
    <row r="1493">
      <c r="A1493" s="6"/>
      <c r="B1493" s="6"/>
      <c r="C1493" s="6"/>
    </row>
    <row r="1494">
      <c r="A1494" s="6"/>
      <c r="B1494" s="6"/>
      <c r="C1494" s="6"/>
    </row>
    <row r="1495">
      <c r="A1495" s="6"/>
      <c r="B1495" s="6"/>
      <c r="C1495" s="6"/>
    </row>
    <row r="1496">
      <c r="A1496" s="6"/>
      <c r="B1496" s="6"/>
      <c r="C1496" s="6"/>
    </row>
    <row r="1497">
      <c r="A1497" s="6"/>
      <c r="B1497" s="6"/>
      <c r="C1497" s="6"/>
    </row>
    <row r="1498">
      <c r="A1498" s="6"/>
      <c r="B1498" s="6"/>
      <c r="C1498" s="6"/>
    </row>
    <row r="1499">
      <c r="A1499" s="6"/>
      <c r="B1499" s="6"/>
      <c r="C1499" s="6"/>
    </row>
    <row r="1500">
      <c r="A1500" s="6"/>
      <c r="B1500" s="6"/>
      <c r="C1500" s="6"/>
    </row>
    <row r="1501">
      <c r="A1501" s="6"/>
      <c r="B1501" s="6"/>
      <c r="C1501" s="6"/>
    </row>
    <row r="1502">
      <c r="A1502" s="6"/>
      <c r="B1502" s="6"/>
      <c r="C1502" s="6"/>
    </row>
    <row r="1503">
      <c r="A1503" s="6"/>
      <c r="B1503" s="6"/>
      <c r="C1503" s="6"/>
    </row>
    <row r="1504">
      <c r="A1504" s="6"/>
      <c r="B1504" s="6"/>
      <c r="C1504" s="6"/>
    </row>
    <row r="1505">
      <c r="A1505" s="6"/>
      <c r="B1505" s="6"/>
      <c r="C1505" s="6"/>
    </row>
    <row r="1506">
      <c r="A1506" s="6"/>
      <c r="B1506" s="6"/>
      <c r="C1506" s="6"/>
    </row>
    <row r="1507">
      <c r="A1507" s="6"/>
      <c r="B1507" s="6"/>
      <c r="C1507" s="6"/>
    </row>
    <row r="1508">
      <c r="A1508" s="6"/>
      <c r="B1508" s="6"/>
      <c r="C1508" s="6"/>
    </row>
    <row r="1509">
      <c r="A1509" s="6"/>
      <c r="B1509" s="6"/>
      <c r="C1509" s="6"/>
    </row>
    <row r="1510">
      <c r="A1510" s="6"/>
      <c r="B1510" s="6"/>
      <c r="C1510" s="6"/>
    </row>
    <row r="1511">
      <c r="A1511" s="6"/>
      <c r="B1511" s="6"/>
      <c r="C1511" s="6"/>
    </row>
    <row r="1512">
      <c r="A1512" s="6"/>
      <c r="B1512" s="6"/>
      <c r="C1512" s="6"/>
    </row>
    <row r="1513">
      <c r="A1513" s="6"/>
      <c r="B1513" s="6"/>
      <c r="C1513" s="6"/>
    </row>
    <row r="1514">
      <c r="A1514" s="6"/>
      <c r="B1514" s="6"/>
      <c r="C1514" s="6"/>
    </row>
    <row r="1515">
      <c r="A1515" s="6"/>
      <c r="B1515" s="6"/>
      <c r="C1515" s="6"/>
    </row>
    <row r="1516">
      <c r="A1516" s="6"/>
      <c r="B1516" s="6"/>
      <c r="C1516" s="6"/>
    </row>
    <row r="1517">
      <c r="A1517" s="6"/>
      <c r="B1517" s="6"/>
      <c r="C1517" s="6"/>
    </row>
    <row r="1518">
      <c r="A1518" s="6"/>
      <c r="B1518" s="6"/>
      <c r="C1518" s="6"/>
    </row>
    <row r="1519">
      <c r="A1519" s="6"/>
      <c r="B1519" s="6"/>
      <c r="C1519" s="6"/>
    </row>
    <row r="1520">
      <c r="A1520" s="6"/>
      <c r="B1520" s="6"/>
      <c r="C1520" s="6"/>
    </row>
    <row r="1521">
      <c r="A1521" s="6"/>
      <c r="B1521" s="6"/>
      <c r="C1521" s="6"/>
    </row>
    <row r="1522">
      <c r="A1522" s="6"/>
      <c r="B1522" s="6"/>
      <c r="C1522" s="6"/>
    </row>
    <row r="1523">
      <c r="A1523" s="6"/>
      <c r="B1523" s="6"/>
      <c r="C1523" s="6"/>
    </row>
    <row r="1524">
      <c r="A1524" s="6"/>
      <c r="B1524" s="6"/>
      <c r="C1524" s="6"/>
    </row>
    <row r="1525">
      <c r="A1525" s="6"/>
      <c r="B1525" s="6"/>
      <c r="C1525" s="6"/>
    </row>
    <row r="1526">
      <c r="A1526" s="6"/>
      <c r="B1526" s="6"/>
      <c r="C1526" s="6"/>
    </row>
    <row r="1527">
      <c r="A1527" s="6"/>
      <c r="B1527" s="6"/>
      <c r="C1527" s="6"/>
    </row>
    <row r="1528">
      <c r="A1528" s="6"/>
      <c r="B1528" s="6"/>
      <c r="C1528" s="6"/>
    </row>
    <row r="1529">
      <c r="A1529" s="6"/>
      <c r="B1529" s="6"/>
      <c r="C1529" s="6"/>
    </row>
    <row r="1530">
      <c r="A1530" s="6"/>
      <c r="B1530" s="6"/>
      <c r="C1530" s="6"/>
    </row>
    <row r="1531">
      <c r="A1531" s="6"/>
      <c r="B1531" s="6"/>
      <c r="C1531" s="6"/>
    </row>
    <row r="1532">
      <c r="A1532" s="6"/>
      <c r="B1532" s="6"/>
      <c r="C1532" s="6"/>
    </row>
    <row r="1533">
      <c r="A1533" s="6"/>
      <c r="B1533" s="6"/>
      <c r="C1533" s="6"/>
    </row>
    <row r="1534">
      <c r="A1534" s="6"/>
      <c r="B1534" s="6"/>
      <c r="C1534" s="6"/>
    </row>
    <row r="1535">
      <c r="A1535" s="6"/>
      <c r="B1535" s="6"/>
      <c r="C1535" s="6"/>
    </row>
    <row r="1536">
      <c r="A1536" s="6"/>
      <c r="B1536" s="6"/>
      <c r="C1536" s="6"/>
    </row>
    <row r="1537">
      <c r="A1537" s="6"/>
      <c r="B1537" s="6"/>
      <c r="C1537" s="6"/>
    </row>
    <row r="1538">
      <c r="A1538" s="6"/>
      <c r="B1538" s="6"/>
      <c r="C1538" s="6"/>
    </row>
    <row r="1539">
      <c r="A1539" s="6"/>
      <c r="B1539" s="6"/>
      <c r="C1539" s="6"/>
    </row>
    <row r="1540">
      <c r="A1540" s="6"/>
      <c r="B1540" s="6"/>
      <c r="C1540" s="6"/>
    </row>
    <row r="1541">
      <c r="A1541" s="6"/>
      <c r="B1541" s="6"/>
      <c r="C1541" s="6"/>
    </row>
    <row r="1542">
      <c r="A1542" s="6"/>
      <c r="B1542" s="6"/>
      <c r="C1542" s="6"/>
    </row>
    <row r="1543">
      <c r="A1543" s="6"/>
      <c r="B1543" s="6"/>
      <c r="C1543" s="6"/>
    </row>
    <row r="1544">
      <c r="A1544" s="6"/>
      <c r="B1544" s="6"/>
      <c r="C1544" s="6"/>
    </row>
    <row r="1545">
      <c r="A1545" s="6"/>
      <c r="B1545" s="6"/>
      <c r="C1545" s="6"/>
    </row>
    <row r="1546">
      <c r="A1546" s="6"/>
      <c r="B1546" s="6"/>
      <c r="C1546" s="6"/>
    </row>
    <row r="1547">
      <c r="A1547" s="6"/>
      <c r="B1547" s="6"/>
      <c r="C1547" s="6"/>
    </row>
    <row r="1548">
      <c r="A1548" s="6"/>
      <c r="B1548" s="6"/>
      <c r="C1548" s="6"/>
    </row>
    <row r="1549">
      <c r="A1549" s="6"/>
      <c r="B1549" s="6"/>
      <c r="C1549" s="6"/>
    </row>
    <row r="1550">
      <c r="A1550" s="6"/>
      <c r="B1550" s="6"/>
      <c r="C1550" s="6"/>
    </row>
    <row r="1551">
      <c r="A1551" s="6"/>
      <c r="B1551" s="6"/>
      <c r="C1551" s="6"/>
    </row>
    <row r="1552">
      <c r="A1552" s="6"/>
      <c r="B1552" s="6"/>
      <c r="C1552" s="6"/>
    </row>
    <row r="1553">
      <c r="A1553" s="6"/>
      <c r="B1553" s="6"/>
      <c r="C1553" s="6"/>
    </row>
    <row r="1554">
      <c r="A1554" s="6"/>
      <c r="B1554" s="6"/>
      <c r="C1554" s="6"/>
    </row>
    <row r="1555">
      <c r="A1555" s="6"/>
      <c r="B1555" s="6"/>
      <c r="C1555" s="6"/>
    </row>
    <row r="1556">
      <c r="A1556" s="6"/>
      <c r="B1556" s="6"/>
      <c r="C1556" s="6"/>
    </row>
    <row r="1557">
      <c r="A1557" s="6"/>
      <c r="B1557" s="6"/>
      <c r="C1557" s="6"/>
    </row>
    <row r="1558">
      <c r="A1558" s="6"/>
      <c r="B1558" s="6"/>
      <c r="C1558" s="6"/>
    </row>
    <row r="1559">
      <c r="A1559" s="6"/>
      <c r="B1559" s="6"/>
      <c r="C1559" s="6"/>
    </row>
    <row r="1560">
      <c r="A1560" s="6"/>
      <c r="B1560" s="6"/>
      <c r="C1560" s="6"/>
    </row>
    <row r="1561">
      <c r="A1561" s="6"/>
      <c r="B1561" s="6"/>
      <c r="C1561" s="6"/>
    </row>
    <row r="1562">
      <c r="A1562" s="6"/>
      <c r="B1562" s="6"/>
      <c r="C1562" s="6"/>
    </row>
    <row r="1563">
      <c r="A1563" s="6"/>
      <c r="B1563" s="6"/>
      <c r="C1563" s="6"/>
    </row>
    <row r="1564">
      <c r="A1564" s="6"/>
      <c r="B1564" s="6"/>
      <c r="C1564" s="6"/>
    </row>
    <row r="1565">
      <c r="A1565" s="6"/>
      <c r="B1565" s="6"/>
      <c r="C1565" s="6"/>
    </row>
    <row r="1566">
      <c r="A1566" s="6"/>
      <c r="B1566" s="6"/>
      <c r="C1566" s="6"/>
    </row>
    <row r="1567">
      <c r="A1567" s="6"/>
      <c r="B1567" s="6"/>
      <c r="C1567" s="6"/>
    </row>
    <row r="1568">
      <c r="A1568" s="6"/>
      <c r="B1568" s="6"/>
      <c r="C1568" s="6"/>
    </row>
    <row r="1569">
      <c r="A1569" s="6"/>
      <c r="B1569" s="6"/>
      <c r="C1569" s="6"/>
    </row>
    <row r="1570">
      <c r="A1570" s="6"/>
      <c r="B1570" s="6"/>
      <c r="C1570" s="6"/>
    </row>
    <row r="1571">
      <c r="A1571" s="6"/>
      <c r="B1571" s="6"/>
      <c r="C1571" s="6"/>
    </row>
    <row r="1572">
      <c r="A1572" s="6"/>
      <c r="B1572" s="6"/>
      <c r="C1572" s="6"/>
    </row>
    <row r="1573">
      <c r="A1573" s="6"/>
      <c r="B1573" s="6"/>
      <c r="C1573" s="6"/>
    </row>
    <row r="1574">
      <c r="A1574" s="6"/>
      <c r="B1574" s="6"/>
      <c r="C1574" s="6"/>
    </row>
    <row r="1575">
      <c r="A1575" s="6"/>
      <c r="B1575" s="6"/>
      <c r="C1575" s="6"/>
    </row>
    <row r="1576">
      <c r="A1576" s="6"/>
      <c r="B1576" s="6"/>
      <c r="C1576" s="6"/>
    </row>
    <row r="1577">
      <c r="A1577" s="6"/>
      <c r="B1577" s="6"/>
      <c r="C1577" s="6"/>
    </row>
    <row r="1578">
      <c r="A1578" s="6"/>
      <c r="B1578" s="6"/>
      <c r="C1578" s="6"/>
    </row>
    <row r="1579">
      <c r="A1579" s="6"/>
      <c r="B1579" s="6"/>
      <c r="C1579" s="6"/>
    </row>
    <row r="1580">
      <c r="A1580" s="6"/>
      <c r="B1580" s="6"/>
      <c r="C1580" s="6"/>
    </row>
    <row r="1581">
      <c r="A1581" s="6"/>
      <c r="B1581" s="6"/>
      <c r="C1581" s="6"/>
    </row>
    <row r="1582">
      <c r="A1582" s="6"/>
      <c r="B1582" s="6"/>
      <c r="C1582" s="6"/>
    </row>
    <row r="1583">
      <c r="A1583" s="6"/>
      <c r="B1583" s="6"/>
      <c r="C1583" s="6"/>
    </row>
    <row r="1584">
      <c r="A1584" s="6"/>
      <c r="B1584" s="6"/>
      <c r="C1584" s="6"/>
    </row>
    <row r="1585">
      <c r="A1585" s="6"/>
      <c r="B1585" s="6"/>
      <c r="C1585" s="6"/>
    </row>
    <row r="1586">
      <c r="A1586" s="6"/>
      <c r="B1586" s="6"/>
      <c r="C1586" s="6"/>
    </row>
    <row r="1587">
      <c r="A1587" s="6"/>
      <c r="B1587" s="6"/>
      <c r="C1587" s="6"/>
    </row>
    <row r="1588">
      <c r="A1588" s="6"/>
      <c r="B1588" s="6"/>
      <c r="C1588" s="6"/>
    </row>
    <row r="1589">
      <c r="A1589" s="6"/>
      <c r="B1589" s="6"/>
      <c r="C1589" s="6"/>
    </row>
    <row r="1590">
      <c r="A1590" s="6"/>
      <c r="B1590" s="6"/>
      <c r="C1590" s="6"/>
    </row>
    <row r="1591">
      <c r="A1591" s="6"/>
      <c r="B1591" s="6"/>
      <c r="C1591" s="6"/>
    </row>
    <row r="1592">
      <c r="A1592" s="6"/>
      <c r="B1592" s="6"/>
      <c r="C1592" s="6"/>
    </row>
    <row r="1593">
      <c r="A1593" s="6"/>
      <c r="B1593" s="6"/>
      <c r="C1593" s="6"/>
    </row>
    <row r="1594">
      <c r="A1594" s="6"/>
      <c r="B1594" s="6"/>
      <c r="C1594" s="6"/>
    </row>
    <row r="1595">
      <c r="A1595" s="6"/>
      <c r="B1595" s="6"/>
      <c r="C1595" s="6"/>
    </row>
    <row r="1596">
      <c r="A1596" s="6"/>
      <c r="B1596" s="6"/>
      <c r="C1596" s="6"/>
    </row>
    <row r="1597">
      <c r="A1597" s="6"/>
      <c r="B1597" s="6"/>
      <c r="C1597" s="6"/>
    </row>
    <row r="1598">
      <c r="A1598" s="6"/>
      <c r="B1598" s="6"/>
      <c r="C1598" s="6"/>
    </row>
    <row r="1599">
      <c r="A1599" s="6"/>
      <c r="B1599" s="6"/>
      <c r="C1599" s="6"/>
    </row>
    <row r="1600">
      <c r="A1600" s="6"/>
      <c r="B1600" s="6"/>
      <c r="C1600" s="6"/>
    </row>
    <row r="1601">
      <c r="A1601" s="6"/>
      <c r="B1601" s="6"/>
      <c r="C1601" s="6"/>
    </row>
    <row r="1602">
      <c r="A1602" s="6"/>
      <c r="B1602" s="6"/>
      <c r="C1602" s="6"/>
    </row>
    <row r="1603">
      <c r="A1603" s="6"/>
      <c r="B1603" s="6"/>
      <c r="C1603" s="6"/>
    </row>
    <row r="1604">
      <c r="A1604" s="6"/>
      <c r="B1604" s="6"/>
      <c r="C1604" s="6"/>
    </row>
    <row r="1605">
      <c r="A1605" s="6"/>
      <c r="B1605" s="6"/>
      <c r="C1605" s="6"/>
    </row>
    <row r="1606">
      <c r="A1606" s="6"/>
      <c r="B1606" s="6"/>
      <c r="C1606" s="6"/>
    </row>
    <row r="1607">
      <c r="A1607" s="6"/>
      <c r="B1607" s="6"/>
      <c r="C1607" s="6"/>
    </row>
    <row r="1608">
      <c r="A1608" s="6"/>
      <c r="B1608" s="6"/>
      <c r="C1608" s="6"/>
    </row>
    <row r="1609">
      <c r="A1609" s="6"/>
      <c r="B1609" s="6"/>
      <c r="C1609" s="6"/>
    </row>
    <row r="1610">
      <c r="A1610" s="6"/>
      <c r="B1610" s="6"/>
      <c r="C1610" s="6"/>
    </row>
    <row r="1611">
      <c r="A1611" s="6"/>
      <c r="B1611" s="6"/>
      <c r="C1611" s="6"/>
    </row>
    <row r="1612">
      <c r="A1612" s="6"/>
      <c r="B1612" s="6"/>
      <c r="C1612" s="6"/>
    </row>
    <row r="1613">
      <c r="A1613" s="6"/>
      <c r="B1613" s="6"/>
      <c r="C1613" s="6"/>
    </row>
    <row r="1614">
      <c r="A1614" s="6"/>
      <c r="B1614" s="6"/>
      <c r="C1614" s="6"/>
    </row>
    <row r="1615">
      <c r="A1615" s="6"/>
      <c r="B1615" s="6"/>
      <c r="C1615" s="6"/>
    </row>
    <row r="1616">
      <c r="A1616" s="6"/>
      <c r="B1616" s="6"/>
      <c r="C1616" s="6"/>
    </row>
    <row r="1617">
      <c r="A1617" s="6"/>
      <c r="B1617" s="6"/>
      <c r="C1617" s="6"/>
    </row>
    <row r="1618">
      <c r="A1618" s="6"/>
      <c r="B1618" s="6"/>
      <c r="C1618" s="6"/>
    </row>
    <row r="1619">
      <c r="A1619" s="6"/>
      <c r="B1619" s="6"/>
      <c r="C1619" s="6"/>
    </row>
    <row r="1620">
      <c r="A1620" s="6"/>
      <c r="B1620" s="6"/>
      <c r="C1620" s="6"/>
    </row>
    <row r="1621">
      <c r="A1621" s="6"/>
      <c r="B1621" s="6"/>
      <c r="C1621" s="6"/>
    </row>
    <row r="1622">
      <c r="A1622" s="6"/>
      <c r="B1622" s="6"/>
      <c r="C1622" s="6"/>
    </row>
    <row r="1623">
      <c r="A1623" s="6"/>
      <c r="B1623" s="6"/>
      <c r="C1623" s="6"/>
    </row>
    <row r="1624">
      <c r="A1624" s="6"/>
      <c r="B1624" s="6"/>
      <c r="C1624" s="6"/>
    </row>
    <row r="1625">
      <c r="A1625" s="6"/>
      <c r="B1625" s="6"/>
      <c r="C1625" s="6"/>
    </row>
    <row r="1626">
      <c r="A1626" s="6"/>
      <c r="B1626" s="6"/>
      <c r="C1626" s="6"/>
    </row>
    <row r="1627">
      <c r="A1627" s="6"/>
      <c r="B1627" s="6"/>
      <c r="C1627" s="6"/>
    </row>
    <row r="1628">
      <c r="A1628" s="6"/>
      <c r="B1628" s="6"/>
      <c r="C1628" s="6"/>
    </row>
    <row r="1629">
      <c r="A1629" s="6"/>
      <c r="B1629" s="6"/>
      <c r="C1629" s="6"/>
    </row>
    <row r="1630">
      <c r="A1630" s="6"/>
      <c r="B1630" s="6"/>
      <c r="C1630" s="6"/>
    </row>
    <row r="1631">
      <c r="A1631" s="6"/>
      <c r="B1631" s="6"/>
      <c r="C1631" s="6"/>
    </row>
    <row r="1632">
      <c r="A1632" s="6"/>
      <c r="B1632" s="6"/>
      <c r="C1632" s="6"/>
    </row>
    <row r="1633">
      <c r="A1633" s="6"/>
      <c r="B1633" s="6"/>
      <c r="C1633" s="6"/>
    </row>
    <row r="1634">
      <c r="A1634" s="6"/>
      <c r="B1634" s="6"/>
      <c r="C1634" s="6"/>
    </row>
    <row r="1635">
      <c r="A1635" s="6"/>
      <c r="B1635" s="6"/>
      <c r="C1635" s="6"/>
    </row>
    <row r="1636">
      <c r="A1636" s="6"/>
      <c r="B1636" s="6"/>
      <c r="C1636" s="6"/>
    </row>
    <row r="1637">
      <c r="A1637" s="6"/>
      <c r="B1637" s="6"/>
      <c r="C1637" s="6"/>
    </row>
    <row r="1638">
      <c r="A1638" s="6"/>
      <c r="B1638" s="6"/>
      <c r="C1638" s="6"/>
    </row>
    <row r="1639">
      <c r="A1639" s="6"/>
      <c r="B1639" s="6"/>
      <c r="C1639" s="6"/>
    </row>
    <row r="1640">
      <c r="A1640" s="6"/>
      <c r="B1640" s="6"/>
      <c r="C1640" s="6"/>
    </row>
    <row r="1641">
      <c r="A1641" s="6"/>
      <c r="B1641" s="6"/>
      <c r="C1641" s="6"/>
    </row>
    <row r="1642">
      <c r="A1642" s="6"/>
      <c r="B1642" s="6"/>
      <c r="C1642" s="6"/>
    </row>
    <row r="1643">
      <c r="A1643" s="6"/>
      <c r="B1643" s="6"/>
      <c r="C1643" s="6"/>
    </row>
    <row r="1644">
      <c r="A1644" s="6"/>
      <c r="B1644" s="6"/>
      <c r="C1644" s="6"/>
    </row>
    <row r="1645">
      <c r="A1645" s="6"/>
      <c r="B1645" s="6"/>
      <c r="C1645" s="6"/>
    </row>
    <row r="1646">
      <c r="A1646" s="6"/>
      <c r="B1646" s="6"/>
      <c r="C1646" s="6"/>
    </row>
    <row r="1647">
      <c r="A1647" s="6"/>
      <c r="B1647" s="6"/>
      <c r="C1647" s="6"/>
    </row>
    <row r="1648">
      <c r="A1648" s="6"/>
      <c r="B1648" s="6"/>
      <c r="C1648" s="6"/>
    </row>
    <row r="1649">
      <c r="A1649" s="6"/>
      <c r="B1649" s="6"/>
      <c r="C1649" s="6"/>
    </row>
    <row r="1650">
      <c r="A1650" s="6"/>
      <c r="B1650" s="6"/>
      <c r="C1650" s="6"/>
    </row>
    <row r="1651">
      <c r="A1651" s="6"/>
      <c r="B1651" s="6"/>
      <c r="C1651" s="6"/>
    </row>
    <row r="1652">
      <c r="A1652" s="6"/>
      <c r="B1652" s="6"/>
      <c r="C1652" s="6"/>
    </row>
    <row r="1653">
      <c r="A1653" s="6"/>
      <c r="B1653" s="6"/>
      <c r="C1653" s="6"/>
    </row>
    <row r="1654">
      <c r="A1654" s="6"/>
      <c r="B1654" s="6"/>
      <c r="C1654" s="6"/>
    </row>
    <row r="1655">
      <c r="A1655" s="6"/>
      <c r="B1655" s="6"/>
      <c r="C1655" s="6"/>
    </row>
    <row r="1656">
      <c r="A1656" s="6"/>
      <c r="B1656" s="6"/>
      <c r="C1656" s="6"/>
    </row>
    <row r="1657">
      <c r="A1657" s="6"/>
      <c r="B1657" s="6"/>
      <c r="C1657" s="6"/>
    </row>
    <row r="1658">
      <c r="A1658" s="6"/>
      <c r="B1658" s="6"/>
      <c r="C1658" s="6"/>
    </row>
    <row r="1659">
      <c r="A1659" s="6"/>
      <c r="B1659" s="6"/>
      <c r="C1659" s="6"/>
    </row>
    <row r="1660">
      <c r="A1660" s="6"/>
      <c r="B1660" s="6"/>
      <c r="C1660" s="6"/>
    </row>
    <row r="1661">
      <c r="A1661" s="6"/>
      <c r="B1661" s="6"/>
      <c r="C1661" s="6"/>
    </row>
    <row r="1662">
      <c r="A1662" s="6"/>
      <c r="B1662" s="6"/>
      <c r="C1662" s="6"/>
    </row>
    <row r="1663">
      <c r="A1663" s="6"/>
      <c r="B1663" s="6"/>
      <c r="C1663" s="6"/>
    </row>
    <row r="1664">
      <c r="A1664" s="6"/>
      <c r="B1664" s="6"/>
      <c r="C1664" s="6"/>
    </row>
    <row r="1665">
      <c r="A1665" s="6"/>
      <c r="B1665" s="6"/>
      <c r="C1665" s="6"/>
    </row>
    <row r="1666">
      <c r="A1666" s="6"/>
      <c r="B1666" s="6"/>
      <c r="C1666" s="6"/>
    </row>
    <row r="1667">
      <c r="A1667" s="6"/>
      <c r="B1667" s="6"/>
      <c r="C1667" s="6"/>
    </row>
    <row r="1668">
      <c r="A1668" s="6"/>
      <c r="B1668" s="6"/>
      <c r="C1668" s="6"/>
    </row>
    <row r="1669">
      <c r="A1669" s="6"/>
      <c r="B1669" s="6"/>
      <c r="C1669" s="6"/>
    </row>
    <row r="1670">
      <c r="A1670" s="6"/>
      <c r="B1670" s="6"/>
      <c r="C1670" s="6"/>
    </row>
    <row r="1671">
      <c r="A1671" s="6"/>
      <c r="B1671" s="6"/>
      <c r="C1671" s="6"/>
    </row>
    <row r="1672">
      <c r="A1672" s="6"/>
      <c r="B1672" s="6"/>
      <c r="C1672" s="6"/>
    </row>
    <row r="1673">
      <c r="A1673" s="6"/>
      <c r="B1673" s="6"/>
      <c r="C1673" s="6"/>
    </row>
    <row r="1674">
      <c r="A1674" s="6"/>
      <c r="B1674" s="6"/>
      <c r="C1674" s="6"/>
    </row>
    <row r="1675">
      <c r="A1675" s="6"/>
      <c r="B1675" s="6"/>
      <c r="C1675" s="6"/>
    </row>
    <row r="1676">
      <c r="A1676" s="6"/>
      <c r="B1676" s="6"/>
      <c r="C1676" s="6"/>
    </row>
    <row r="1677">
      <c r="A1677" s="6"/>
      <c r="B1677" s="6"/>
      <c r="C1677" s="6"/>
    </row>
    <row r="1678">
      <c r="A1678" s="6"/>
      <c r="B1678" s="6"/>
      <c r="C1678" s="6"/>
    </row>
    <row r="1679">
      <c r="A1679" s="6"/>
      <c r="B1679" s="6"/>
      <c r="C1679" s="6"/>
    </row>
    <row r="1680">
      <c r="A1680" s="6"/>
      <c r="B1680" s="6"/>
      <c r="C1680" s="6"/>
    </row>
    <row r="1681">
      <c r="A1681" s="6"/>
      <c r="B1681" s="6"/>
      <c r="C1681" s="6"/>
    </row>
    <row r="1682">
      <c r="A1682" s="6"/>
      <c r="B1682" s="6"/>
      <c r="C1682" s="6"/>
    </row>
    <row r="1683">
      <c r="A1683" s="6"/>
      <c r="B1683" s="6"/>
      <c r="C1683" s="6"/>
    </row>
    <row r="1684">
      <c r="A1684" s="6"/>
      <c r="B1684" s="6"/>
      <c r="C1684" s="6"/>
    </row>
    <row r="1685">
      <c r="A1685" s="6"/>
      <c r="B1685" s="6"/>
      <c r="C1685" s="6"/>
    </row>
    <row r="1686">
      <c r="A1686" s="6"/>
      <c r="B1686" s="6"/>
      <c r="C1686" s="6"/>
    </row>
    <row r="1687">
      <c r="A1687" s="6"/>
      <c r="B1687" s="6"/>
      <c r="C1687" s="6"/>
    </row>
    <row r="1688">
      <c r="A1688" s="6"/>
      <c r="B1688" s="6"/>
      <c r="C1688" s="6"/>
    </row>
    <row r="1689">
      <c r="A1689" s="6"/>
      <c r="B1689" s="6"/>
      <c r="C1689" s="6"/>
    </row>
    <row r="1690">
      <c r="A1690" s="6"/>
      <c r="B1690" s="6"/>
      <c r="C1690" s="6"/>
    </row>
    <row r="1691">
      <c r="A1691" s="6"/>
      <c r="B1691" s="6"/>
      <c r="C1691" s="6"/>
    </row>
    <row r="1692">
      <c r="A1692" s="6"/>
      <c r="B1692" s="6"/>
      <c r="C1692" s="6"/>
    </row>
    <row r="1693">
      <c r="A1693" s="6"/>
      <c r="B1693" s="6"/>
      <c r="C1693" s="6"/>
    </row>
    <row r="1694">
      <c r="A1694" s="6"/>
      <c r="B1694" s="6"/>
      <c r="C1694" s="6"/>
    </row>
    <row r="1695">
      <c r="A1695" s="6"/>
      <c r="B1695" s="6"/>
      <c r="C1695" s="6"/>
    </row>
    <row r="1696">
      <c r="A1696" s="6"/>
      <c r="B1696" s="6"/>
      <c r="C1696" s="6"/>
    </row>
    <row r="1697">
      <c r="A1697" s="6"/>
      <c r="B1697" s="6"/>
      <c r="C1697" s="6"/>
    </row>
    <row r="1698">
      <c r="A1698" s="6"/>
      <c r="B1698" s="6"/>
      <c r="C1698" s="6"/>
    </row>
    <row r="1699">
      <c r="A1699" s="6"/>
      <c r="B1699" s="6"/>
      <c r="C1699" s="6"/>
    </row>
    <row r="1700">
      <c r="A1700" s="6"/>
      <c r="B1700" s="6"/>
      <c r="C1700" s="6"/>
    </row>
    <row r="1701">
      <c r="A1701" s="6"/>
      <c r="B1701" s="6"/>
      <c r="C1701" s="6"/>
    </row>
    <row r="1702">
      <c r="A1702" s="6"/>
      <c r="B1702" s="6"/>
      <c r="C1702" s="6"/>
    </row>
    <row r="1703">
      <c r="A1703" s="6"/>
      <c r="B1703" s="6"/>
      <c r="C1703" s="6"/>
    </row>
    <row r="1704">
      <c r="A1704" s="6"/>
      <c r="B1704" s="6"/>
      <c r="C1704" s="6"/>
    </row>
    <row r="1705">
      <c r="A1705" s="6"/>
      <c r="B1705" s="6"/>
      <c r="C1705" s="6"/>
    </row>
    <row r="1706">
      <c r="A1706" s="6"/>
      <c r="B1706" s="6"/>
      <c r="C1706" s="6"/>
    </row>
    <row r="1707">
      <c r="A1707" s="6"/>
      <c r="B1707" s="6"/>
      <c r="C1707" s="6"/>
    </row>
    <row r="1708">
      <c r="A1708" s="6"/>
      <c r="B1708" s="6"/>
      <c r="C1708" s="6"/>
    </row>
    <row r="1709">
      <c r="A1709" s="6"/>
      <c r="B1709" s="6"/>
      <c r="C1709" s="6"/>
    </row>
    <row r="1710">
      <c r="A1710" s="6"/>
      <c r="B1710" s="6"/>
      <c r="C1710" s="6"/>
    </row>
    <row r="1711">
      <c r="A1711" s="6"/>
      <c r="B1711" s="6"/>
      <c r="C1711" s="6"/>
    </row>
    <row r="1712">
      <c r="A1712" s="6"/>
      <c r="B1712" s="6"/>
      <c r="C1712" s="6"/>
    </row>
    <row r="1713">
      <c r="A1713" s="6"/>
      <c r="B1713" s="6"/>
      <c r="C1713" s="6"/>
    </row>
    <row r="1714">
      <c r="A1714" s="6"/>
      <c r="B1714" s="6"/>
      <c r="C1714" s="6"/>
    </row>
    <row r="1715">
      <c r="A1715" s="6"/>
      <c r="B1715" s="6"/>
      <c r="C1715" s="6"/>
    </row>
    <row r="1716">
      <c r="A1716" s="6"/>
      <c r="B1716" s="6"/>
      <c r="C1716" s="6"/>
    </row>
    <row r="1717">
      <c r="A1717" s="6"/>
      <c r="B1717" s="6"/>
      <c r="C1717" s="6"/>
    </row>
    <row r="1718">
      <c r="A1718" s="6"/>
      <c r="B1718" s="6"/>
      <c r="C1718" s="6"/>
    </row>
    <row r="1719">
      <c r="A1719" s="6"/>
      <c r="B1719" s="6"/>
      <c r="C1719" s="6"/>
    </row>
    <row r="1720">
      <c r="A1720" s="6"/>
      <c r="B1720" s="6"/>
      <c r="C1720" s="6"/>
    </row>
    <row r="1721">
      <c r="A1721" s="6"/>
      <c r="B1721" s="6"/>
      <c r="C1721" s="6"/>
    </row>
    <row r="1722">
      <c r="A1722" s="6"/>
      <c r="B1722" s="6"/>
      <c r="C1722" s="6"/>
    </row>
    <row r="1723">
      <c r="A1723" s="6"/>
      <c r="B1723" s="6"/>
      <c r="C1723" s="6"/>
    </row>
    <row r="1724">
      <c r="A1724" s="6"/>
      <c r="B1724" s="6"/>
      <c r="C1724" s="6"/>
    </row>
    <row r="1725">
      <c r="A1725" s="6"/>
      <c r="B1725" s="6"/>
      <c r="C1725" s="6"/>
    </row>
    <row r="1726">
      <c r="A1726" s="6"/>
      <c r="B1726" s="6"/>
      <c r="C1726" s="6"/>
    </row>
    <row r="1727">
      <c r="A1727" s="6"/>
      <c r="B1727" s="6"/>
      <c r="C1727" s="6"/>
    </row>
    <row r="1728">
      <c r="A1728" s="6"/>
      <c r="B1728" s="6"/>
      <c r="C1728" s="6"/>
    </row>
    <row r="1729">
      <c r="A1729" s="6"/>
      <c r="B1729" s="6"/>
      <c r="C1729" s="6"/>
    </row>
    <row r="1730">
      <c r="A1730" s="6"/>
      <c r="B1730" s="6"/>
      <c r="C1730" s="6"/>
    </row>
    <row r="1731">
      <c r="A1731" s="6"/>
      <c r="B1731" s="6"/>
      <c r="C1731" s="6"/>
    </row>
    <row r="1732">
      <c r="A1732" s="6"/>
      <c r="B1732" s="6"/>
      <c r="C1732" s="6"/>
    </row>
    <row r="1733">
      <c r="A1733" s="6"/>
      <c r="B1733" s="6"/>
      <c r="C1733" s="6"/>
    </row>
    <row r="1734">
      <c r="A1734" s="6"/>
      <c r="B1734" s="6"/>
      <c r="C1734" s="6"/>
    </row>
    <row r="1735">
      <c r="A1735" s="6"/>
      <c r="B1735" s="6"/>
      <c r="C1735" s="6"/>
    </row>
    <row r="1736">
      <c r="A1736" s="6"/>
      <c r="B1736" s="6"/>
      <c r="C1736" s="6"/>
    </row>
    <row r="1737">
      <c r="A1737" s="6"/>
      <c r="B1737" s="6"/>
      <c r="C1737" s="6"/>
    </row>
    <row r="1738">
      <c r="A1738" s="6"/>
      <c r="B1738" s="6"/>
      <c r="C1738" s="6"/>
    </row>
    <row r="1739">
      <c r="A1739" s="6"/>
      <c r="B1739" s="6"/>
      <c r="C1739" s="6"/>
    </row>
    <row r="1740">
      <c r="A1740" s="6"/>
      <c r="B1740" s="6"/>
      <c r="C1740" s="6"/>
    </row>
    <row r="1741">
      <c r="A1741" s="6"/>
      <c r="B1741" s="6"/>
      <c r="C1741" s="6"/>
    </row>
    <row r="1742">
      <c r="A1742" s="6"/>
      <c r="B1742" s="6"/>
      <c r="C1742" s="6"/>
    </row>
    <row r="1743">
      <c r="A1743" s="6"/>
      <c r="B1743" s="6"/>
      <c r="C1743" s="6"/>
    </row>
    <row r="1744">
      <c r="A1744" s="6"/>
      <c r="B1744" s="6"/>
      <c r="C1744" s="6"/>
    </row>
    <row r="1745">
      <c r="A1745" s="6"/>
      <c r="B1745" s="6"/>
      <c r="C1745" s="6"/>
    </row>
    <row r="1746">
      <c r="A1746" s="6"/>
      <c r="B1746" s="6"/>
      <c r="C1746" s="6"/>
    </row>
    <row r="1747">
      <c r="A1747" s="6"/>
      <c r="B1747" s="6"/>
      <c r="C1747" s="6"/>
    </row>
    <row r="1748">
      <c r="A1748" s="6"/>
      <c r="B1748" s="6"/>
      <c r="C1748" s="6"/>
    </row>
    <row r="1749">
      <c r="A1749" s="6"/>
      <c r="B1749" s="6"/>
      <c r="C1749" s="6"/>
    </row>
    <row r="1750">
      <c r="A1750" s="6"/>
      <c r="B1750" s="6"/>
      <c r="C1750" s="6"/>
    </row>
    <row r="1751">
      <c r="A1751" s="6"/>
      <c r="B1751" s="6"/>
      <c r="C1751" s="6"/>
    </row>
    <row r="1752">
      <c r="A1752" s="6"/>
      <c r="B1752" s="6"/>
      <c r="C1752" s="6"/>
    </row>
    <row r="1753">
      <c r="A1753" s="6"/>
      <c r="B1753" s="6"/>
      <c r="C1753" s="6"/>
    </row>
    <row r="1754">
      <c r="A1754" s="6"/>
      <c r="B1754" s="6"/>
      <c r="C1754" s="6"/>
    </row>
    <row r="1755">
      <c r="A1755" s="6"/>
      <c r="B1755" s="6"/>
      <c r="C1755" s="6"/>
    </row>
    <row r="1756">
      <c r="A1756" s="6"/>
      <c r="B1756" s="6"/>
      <c r="C1756" s="6"/>
    </row>
    <row r="1757">
      <c r="A1757" s="6"/>
      <c r="B1757" s="6"/>
      <c r="C1757" s="6"/>
    </row>
    <row r="1758">
      <c r="A1758" s="6"/>
      <c r="B1758" s="6"/>
      <c r="C1758" s="6"/>
    </row>
    <row r="1759">
      <c r="A1759" s="6"/>
      <c r="B1759" s="6"/>
      <c r="C1759" s="6"/>
    </row>
    <row r="1760">
      <c r="A1760" s="6"/>
      <c r="B1760" s="6"/>
      <c r="C1760" s="6"/>
    </row>
    <row r="1761">
      <c r="A1761" s="6"/>
      <c r="B1761" s="6"/>
      <c r="C1761" s="6"/>
    </row>
    <row r="1762">
      <c r="A1762" s="6"/>
      <c r="B1762" s="6"/>
      <c r="C1762" s="6"/>
    </row>
    <row r="1763">
      <c r="A1763" s="6"/>
      <c r="B1763" s="6"/>
      <c r="C1763" s="6"/>
    </row>
    <row r="1764">
      <c r="A1764" s="6"/>
      <c r="B1764" s="6"/>
      <c r="C1764" s="6"/>
    </row>
    <row r="1765">
      <c r="A1765" s="6"/>
      <c r="B1765" s="6"/>
      <c r="C1765" s="6"/>
    </row>
    <row r="1766">
      <c r="A1766" s="6"/>
      <c r="B1766" s="6"/>
      <c r="C1766" s="6"/>
    </row>
    <row r="1767">
      <c r="A1767" s="6"/>
      <c r="B1767" s="6"/>
      <c r="C1767" s="6"/>
    </row>
    <row r="1768">
      <c r="A1768" s="6"/>
      <c r="B1768" s="6"/>
      <c r="C1768" s="6"/>
    </row>
    <row r="1769">
      <c r="A1769" s="6"/>
      <c r="B1769" s="6"/>
      <c r="C1769" s="6"/>
    </row>
    <row r="1770">
      <c r="A1770" s="6"/>
      <c r="B1770" s="6"/>
      <c r="C1770" s="6"/>
    </row>
    <row r="1771">
      <c r="A1771" s="6"/>
      <c r="B1771" s="6"/>
      <c r="C1771" s="6"/>
    </row>
    <row r="1772">
      <c r="A1772" s="6"/>
      <c r="B1772" s="6"/>
      <c r="C1772" s="6"/>
    </row>
    <row r="1773">
      <c r="A1773" s="6"/>
      <c r="B1773" s="6"/>
      <c r="C1773" s="6"/>
    </row>
    <row r="1774">
      <c r="A1774" s="6"/>
      <c r="B1774" s="6"/>
      <c r="C1774" s="6"/>
    </row>
    <row r="1775">
      <c r="A1775" s="6"/>
      <c r="B1775" s="6"/>
      <c r="C1775" s="6"/>
    </row>
    <row r="1776">
      <c r="A1776" s="6"/>
      <c r="B1776" s="6"/>
      <c r="C1776" s="6"/>
    </row>
    <row r="1777">
      <c r="A1777" s="6"/>
      <c r="B1777" s="6"/>
      <c r="C1777" s="6"/>
    </row>
    <row r="1778">
      <c r="A1778" s="6"/>
      <c r="B1778" s="6"/>
      <c r="C1778" s="6"/>
    </row>
    <row r="1779">
      <c r="A1779" s="6"/>
      <c r="B1779" s="6"/>
      <c r="C1779" s="6"/>
    </row>
    <row r="1780">
      <c r="A1780" s="6"/>
      <c r="B1780" s="6"/>
      <c r="C1780" s="6"/>
    </row>
    <row r="1781">
      <c r="A1781" s="6"/>
      <c r="B1781" s="6"/>
      <c r="C1781" s="6"/>
    </row>
    <row r="1782">
      <c r="A1782" s="6"/>
      <c r="B1782" s="6"/>
      <c r="C1782" s="6"/>
    </row>
    <row r="1783">
      <c r="A1783" s="6"/>
      <c r="B1783" s="6"/>
      <c r="C1783" s="6"/>
    </row>
    <row r="1784">
      <c r="A1784" s="6"/>
      <c r="B1784" s="6"/>
      <c r="C1784" s="6"/>
    </row>
    <row r="1785">
      <c r="A1785" s="6"/>
      <c r="B1785" s="6"/>
      <c r="C1785" s="6"/>
    </row>
    <row r="1786">
      <c r="A1786" s="6"/>
      <c r="B1786" s="6"/>
      <c r="C1786" s="6"/>
    </row>
    <row r="1787">
      <c r="A1787" s="6"/>
      <c r="B1787" s="6"/>
      <c r="C1787" s="6"/>
    </row>
    <row r="1788">
      <c r="A1788" s="6"/>
      <c r="B1788" s="6"/>
      <c r="C1788" s="6"/>
    </row>
    <row r="1789">
      <c r="A1789" s="6"/>
      <c r="B1789" s="6"/>
      <c r="C1789" s="6"/>
    </row>
    <row r="1790">
      <c r="A1790" s="6"/>
      <c r="B1790" s="6"/>
      <c r="C1790" s="6"/>
    </row>
    <row r="1791">
      <c r="A1791" s="6"/>
      <c r="B1791" s="6"/>
      <c r="C1791" s="6"/>
    </row>
    <row r="1792">
      <c r="A1792" s="6"/>
      <c r="B1792" s="6"/>
      <c r="C1792" s="6"/>
    </row>
    <row r="1793">
      <c r="A1793" s="6"/>
      <c r="B1793" s="6"/>
      <c r="C1793" s="6"/>
    </row>
    <row r="1794">
      <c r="A1794" s="6"/>
      <c r="B1794" s="6"/>
      <c r="C1794" s="6"/>
    </row>
    <row r="1795">
      <c r="A1795" s="6"/>
      <c r="B1795" s="6"/>
      <c r="C1795" s="6"/>
    </row>
    <row r="1796">
      <c r="A1796" s="6"/>
      <c r="B1796" s="6"/>
      <c r="C1796" s="6"/>
    </row>
    <row r="1797">
      <c r="A1797" s="6"/>
      <c r="B1797" s="6"/>
      <c r="C1797" s="6"/>
    </row>
    <row r="1798">
      <c r="A1798" s="6"/>
      <c r="B1798" s="6"/>
      <c r="C1798" s="6"/>
    </row>
    <row r="1799">
      <c r="A1799" s="6"/>
      <c r="B1799" s="6"/>
      <c r="C1799" s="6"/>
    </row>
    <row r="1800">
      <c r="A1800" s="6"/>
      <c r="B1800" s="6"/>
      <c r="C1800" s="6"/>
    </row>
    <row r="1801">
      <c r="A1801" s="6"/>
      <c r="B1801" s="6"/>
      <c r="C1801" s="6"/>
    </row>
    <row r="1802">
      <c r="A1802" s="6"/>
      <c r="B1802" s="6"/>
      <c r="C1802" s="6"/>
    </row>
    <row r="1803">
      <c r="A1803" s="6"/>
      <c r="B1803" s="6"/>
      <c r="C1803" s="6"/>
    </row>
    <row r="1804">
      <c r="A1804" s="6"/>
      <c r="B1804" s="6"/>
      <c r="C1804" s="6"/>
    </row>
    <row r="1805">
      <c r="A1805" s="6"/>
      <c r="B1805" s="6"/>
      <c r="C1805" s="6"/>
    </row>
    <row r="1806">
      <c r="A1806" s="6"/>
      <c r="B1806" s="6"/>
      <c r="C1806" s="6"/>
    </row>
    <row r="1807">
      <c r="A1807" s="6"/>
      <c r="B1807" s="6"/>
      <c r="C1807" s="6"/>
    </row>
    <row r="1808">
      <c r="A1808" s="6"/>
      <c r="B1808" s="6"/>
      <c r="C1808" s="6"/>
    </row>
    <row r="1809">
      <c r="A1809" s="6"/>
      <c r="B1809" s="6"/>
      <c r="C1809" s="6"/>
    </row>
    <row r="1810">
      <c r="A1810" s="6"/>
      <c r="B1810" s="6"/>
      <c r="C1810" s="6"/>
    </row>
    <row r="1811">
      <c r="A1811" s="6"/>
      <c r="B1811" s="6"/>
      <c r="C1811" s="6"/>
    </row>
    <row r="1812">
      <c r="A1812" s="6"/>
      <c r="B1812" s="6"/>
      <c r="C1812" s="6"/>
    </row>
    <row r="1813">
      <c r="A1813" s="6"/>
      <c r="B1813" s="6"/>
      <c r="C1813" s="6"/>
    </row>
    <row r="1814">
      <c r="A1814" s="6"/>
      <c r="B1814" s="6"/>
      <c r="C1814" s="6"/>
    </row>
    <row r="1815">
      <c r="A1815" s="6"/>
      <c r="B1815" s="6"/>
      <c r="C1815" s="6"/>
    </row>
    <row r="1816">
      <c r="A1816" s="6"/>
      <c r="B1816" s="6"/>
      <c r="C1816" s="6"/>
    </row>
    <row r="1817">
      <c r="A1817" s="6"/>
      <c r="B1817" s="6"/>
      <c r="C1817" s="6"/>
    </row>
    <row r="1818">
      <c r="A1818" s="6"/>
      <c r="B1818" s="6"/>
      <c r="C1818" s="6"/>
    </row>
    <row r="1819">
      <c r="A1819" s="6"/>
      <c r="B1819" s="6"/>
      <c r="C1819" s="6"/>
    </row>
    <row r="1820">
      <c r="A1820" s="6"/>
      <c r="B1820" s="6"/>
      <c r="C1820" s="6"/>
    </row>
    <row r="1821">
      <c r="A1821" s="6"/>
      <c r="B1821" s="6"/>
      <c r="C1821" s="6"/>
    </row>
    <row r="1822">
      <c r="A1822" s="6"/>
      <c r="B1822" s="6"/>
      <c r="C1822" s="6"/>
    </row>
    <row r="1823">
      <c r="A1823" s="6"/>
      <c r="B1823" s="6"/>
      <c r="C1823" s="6"/>
    </row>
    <row r="1824">
      <c r="A1824" s="6"/>
      <c r="B1824" s="6"/>
      <c r="C1824" s="6"/>
    </row>
    <row r="1825">
      <c r="A1825" s="6"/>
      <c r="B1825" s="6"/>
      <c r="C1825" s="6"/>
    </row>
    <row r="1826">
      <c r="A1826" s="6"/>
      <c r="B1826" s="6"/>
      <c r="C1826" s="6"/>
    </row>
    <row r="1827">
      <c r="A1827" s="6"/>
      <c r="B1827" s="6"/>
      <c r="C1827" s="6"/>
    </row>
    <row r="1828">
      <c r="A1828" s="6"/>
      <c r="B1828" s="6"/>
      <c r="C1828" s="6"/>
    </row>
    <row r="1829">
      <c r="A1829" s="6"/>
      <c r="B1829" s="6"/>
      <c r="C1829" s="6"/>
    </row>
    <row r="1830">
      <c r="A1830" s="6"/>
      <c r="B1830" s="6"/>
      <c r="C1830" s="6"/>
    </row>
    <row r="1831">
      <c r="A1831" s="6"/>
      <c r="B1831" s="6"/>
      <c r="C1831" s="6"/>
    </row>
    <row r="1832">
      <c r="A1832" s="6"/>
      <c r="B1832" s="6"/>
      <c r="C1832" s="6"/>
    </row>
    <row r="1833">
      <c r="A1833" s="6"/>
      <c r="B1833" s="6"/>
      <c r="C1833" s="6"/>
    </row>
    <row r="1834">
      <c r="A1834" s="6"/>
      <c r="B1834" s="6"/>
      <c r="C1834" s="6"/>
    </row>
    <row r="1835">
      <c r="A1835" s="6"/>
      <c r="B1835" s="6"/>
      <c r="C1835" s="6"/>
    </row>
    <row r="1836">
      <c r="A1836" s="6"/>
      <c r="B1836" s="6"/>
      <c r="C1836" s="6"/>
    </row>
    <row r="1837">
      <c r="A1837" s="6"/>
      <c r="B1837" s="6"/>
      <c r="C1837" s="6"/>
    </row>
    <row r="1838">
      <c r="A1838" s="6"/>
      <c r="B1838" s="6"/>
      <c r="C1838" s="6"/>
    </row>
    <row r="1839">
      <c r="A1839" s="6"/>
      <c r="B1839" s="6"/>
      <c r="C1839" s="6"/>
    </row>
    <row r="1840">
      <c r="A1840" s="6"/>
      <c r="B1840" s="6"/>
      <c r="C1840" s="6"/>
    </row>
    <row r="1841">
      <c r="A1841" s="6"/>
      <c r="B1841" s="6"/>
      <c r="C1841" s="6"/>
    </row>
    <row r="1842">
      <c r="A1842" s="6"/>
      <c r="B1842" s="6"/>
      <c r="C1842" s="6"/>
    </row>
    <row r="1843">
      <c r="A1843" s="6"/>
      <c r="B1843" s="6"/>
      <c r="C1843" s="6"/>
    </row>
    <row r="1844">
      <c r="A1844" s="6"/>
      <c r="B1844" s="6"/>
      <c r="C1844" s="6"/>
    </row>
    <row r="1845">
      <c r="A1845" s="6"/>
      <c r="B1845" s="6"/>
      <c r="C1845" s="6"/>
    </row>
    <row r="1846">
      <c r="A1846" s="6"/>
      <c r="B1846" s="6"/>
      <c r="C1846" s="6"/>
    </row>
    <row r="1847">
      <c r="A1847" s="6"/>
      <c r="B1847" s="6"/>
      <c r="C1847" s="6"/>
    </row>
    <row r="1848">
      <c r="A1848" s="6"/>
      <c r="B1848" s="6"/>
      <c r="C1848" s="6"/>
    </row>
    <row r="1849">
      <c r="A1849" s="6"/>
      <c r="B1849" s="6"/>
      <c r="C1849" s="6"/>
    </row>
    <row r="1850">
      <c r="A1850" s="6"/>
      <c r="B1850" s="6"/>
      <c r="C1850" s="6"/>
    </row>
    <row r="1851">
      <c r="A1851" s="6"/>
      <c r="B1851" s="6"/>
      <c r="C1851" s="6"/>
    </row>
    <row r="1852">
      <c r="A1852" s="6"/>
      <c r="B1852" s="6"/>
      <c r="C1852" s="6"/>
    </row>
    <row r="1853">
      <c r="A1853" s="6"/>
      <c r="B1853" s="6"/>
      <c r="C1853" s="6"/>
    </row>
    <row r="1854">
      <c r="A1854" s="6"/>
      <c r="B1854" s="6"/>
      <c r="C1854" s="6"/>
    </row>
    <row r="1855">
      <c r="A1855" s="6"/>
      <c r="B1855" s="6"/>
      <c r="C1855" s="6"/>
    </row>
    <row r="1856">
      <c r="A1856" s="6"/>
      <c r="B1856" s="6"/>
      <c r="C1856" s="6"/>
    </row>
    <row r="1857">
      <c r="A1857" s="6"/>
      <c r="B1857" s="6"/>
      <c r="C1857" s="6"/>
    </row>
    <row r="1858">
      <c r="A1858" s="6"/>
      <c r="B1858" s="6"/>
      <c r="C1858" s="6"/>
    </row>
    <row r="1859">
      <c r="A1859" s="6"/>
      <c r="B1859" s="6"/>
      <c r="C1859" s="6"/>
    </row>
    <row r="1860">
      <c r="A1860" s="6"/>
      <c r="B1860" s="6"/>
      <c r="C1860" s="6"/>
    </row>
    <row r="1861">
      <c r="A1861" s="6"/>
      <c r="B1861" s="6"/>
      <c r="C1861" s="6"/>
    </row>
    <row r="1862">
      <c r="A1862" s="6"/>
      <c r="B1862" s="6"/>
      <c r="C1862" s="6"/>
    </row>
    <row r="1863">
      <c r="A1863" s="6"/>
      <c r="B1863" s="6"/>
      <c r="C1863" s="6"/>
    </row>
    <row r="1864">
      <c r="A1864" s="6"/>
      <c r="B1864" s="6"/>
      <c r="C1864" s="6"/>
    </row>
    <row r="1865">
      <c r="A1865" s="6"/>
      <c r="B1865" s="6"/>
      <c r="C1865" s="6"/>
    </row>
    <row r="1866">
      <c r="A1866" s="6"/>
      <c r="B1866" s="6"/>
      <c r="C1866" s="6"/>
    </row>
    <row r="1867">
      <c r="A1867" s="6"/>
      <c r="B1867" s="6"/>
      <c r="C1867" s="6"/>
    </row>
    <row r="1868">
      <c r="A1868" s="6"/>
      <c r="B1868" s="6"/>
      <c r="C1868" s="6"/>
    </row>
    <row r="1869">
      <c r="A1869" s="6"/>
      <c r="B1869" s="6"/>
      <c r="C186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68</v>
      </c>
    </row>
    <row r="2">
      <c r="A2" s="17" t="s">
        <v>69</v>
      </c>
    </row>
  </sheetData>
  <drawing r:id="rId1"/>
</worksheet>
</file>